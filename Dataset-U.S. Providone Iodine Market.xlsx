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C:\Users\vijay\Desktop\Reports\April\US Povidone Iodine Market\State Wise\"/>
    </mc:Choice>
  </mc:AlternateContent>
  <xr:revisionPtr revIDLastSave="0" documentId="13_ncr:1_{F01AA058-4C6A-4C71-AC14-99D3E7336035}" xr6:coauthVersionLast="47" xr6:coauthVersionMax="47" xr10:uidLastSave="{00000000-0000-0000-0000-000000000000}"/>
  <bookViews>
    <workbookView xWindow="-110" yWindow="-110" windowWidth="19420" windowHeight="10420" xr2:uid="{B876100E-36C1-470B-BC97-098E9254B546}"/>
  </bookViews>
  <sheets>
    <sheet name="Home" sheetId="3" r:id="rId1"/>
    <sheet name="Value" sheetId="1" r:id="rId2"/>
    <sheet name="Master Sheet" sheetId="2" state="hidden" r:id="rId3"/>
  </sheets>
  <externalReferences>
    <externalReference r:id="rId4"/>
  </externalReferences>
  <definedNames>
    <definedName name="_xlnm._FilterDatabase" localSheetId="2" hidden="1">'Master Sheet'!$A$6:$P$1193</definedName>
    <definedName name="ASP_Graph">'[1]Trend Sheet'!$AS$119:$AS$139</definedName>
    <definedName name="FCAGR">'[1]By Metal Type'!$F$7</definedName>
    <definedName name="HCAGR">'[1]By Metal Type'!$F$8</definedName>
    <definedName name="Rx">[1]Taxonomy!$D$7</definedName>
    <definedName name="Slicer_Region">#N/A</definedName>
    <definedName name="Slicer_Segment">#N/A</definedName>
    <definedName name="Slicer_Sub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476" i="1" l="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20" i="1"/>
  <c r="E6" i="2"/>
  <c r="F6" i="2" s="1"/>
  <c r="G6" i="2" s="1"/>
  <c r="H6" i="2" s="1"/>
  <c r="I6" i="2" s="1"/>
  <c r="J6" i="2" s="1"/>
  <c r="K6" i="2" s="1"/>
  <c r="L6" i="2" s="1"/>
  <c r="M6" i="2" s="1"/>
  <c r="N6" i="2" s="1"/>
  <c r="O6" i="2" s="1"/>
  <c r="P6" i="2" s="1"/>
  <c r="O19" i="1"/>
  <c r="A5" i="2" l="1"/>
</calcChain>
</file>

<file path=xl/sharedStrings.xml><?xml version="1.0" encoding="utf-8"?>
<sst xmlns="http://schemas.openxmlformats.org/spreadsheetml/2006/main" count="4111" uniqueCount="99">
  <si>
    <t>Row Labels</t>
  </si>
  <si>
    <t xml:space="preserve"> 2021</t>
  </si>
  <si>
    <t xml:space="preserve"> 2022</t>
  </si>
  <si>
    <t xml:space="preserve"> 2023</t>
  </si>
  <si>
    <t xml:space="preserve"> 2024</t>
  </si>
  <si>
    <t xml:space="preserve"> 2025</t>
  </si>
  <si>
    <t xml:space="preserve"> 2026</t>
  </si>
  <si>
    <t xml:space="preserve"> 2027</t>
  </si>
  <si>
    <t xml:space="preserve"> 2028</t>
  </si>
  <si>
    <t xml:space="preserve"> 2029</t>
  </si>
  <si>
    <t xml:space="preserve"> 2030</t>
  </si>
  <si>
    <t xml:space="preserve"> 2031</t>
  </si>
  <si>
    <t xml:space="preserve"> 2032</t>
  </si>
  <si>
    <t>Region</t>
  </si>
  <si>
    <t>Segment</t>
  </si>
  <si>
    <t>Sub-segment</t>
  </si>
  <si>
    <t>Value</t>
  </si>
  <si>
    <t>CAGR</t>
  </si>
  <si>
    <t>By Region</t>
  </si>
  <si>
    <t xml:space="preserve"> 2033</t>
  </si>
  <si>
    <t>U.S.</t>
  </si>
  <si>
    <t>Global Spectral Sensor Market Value (US$ Million) &amp; Volume (Mn Units) Analysis and Forecast, 2021-2033</t>
  </si>
  <si>
    <t>By End User</t>
  </si>
  <si>
    <t>U.S. Providone Iodine Market Value (US$ Million) Analysis and Forecast, 2021-2033</t>
  </si>
  <si>
    <t>By Prescription Type</t>
  </si>
  <si>
    <t>Rx (Prescription) Share</t>
  </si>
  <si>
    <t>OTC (Over-the-Counter) Share</t>
  </si>
  <si>
    <t xml:space="preserve">By Indication </t>
  </si>
  <si>
    <t>Infection Prevention / Antiviral</t>
  </si>
  <si>
    <t>Chronic Rhinosinusitis / Sinusitis</t>
  </si>
  <si>
    <t>Allergic Rhinitis</t>
  </si>
  <si>
    <t>Nasal Congestion (Cold / Flu)</t>
  </si>
  <si>
    <t>Non-Allergic Rhinitis</t>
  </si>
  <si>
    <t>Other (Pre/Post-Op Antisepsis, etc.)</t>
  </si>
  <si>
    <t>By Distribution Channel</t>
  </si>
  <si>
    <t>Online Pharmacies</t>
  </si>
  <si>
    <t>Retail Pharmacies</t>
  </si>
  <si>
    <t>Hospital Pharmacies</t>
  </si>
  <si>
    <t>Supermarkets &amp; Hypermarkets</t>
  </si>
  <si>
    <t>Hospitals</t>
  </si>
  <si>
    <t>ENT Clinics</t>
  </si>
  <si>
    <t>Ambulatory Surgical Centers</t>
  </si>
  <si>
    <t>Others (Homecare, LTC, etc.)</t>
  </si>
  <si>
    <t>Northeast</t>
  </si>
  <si>
    <t>Midwest</t>
  </si>
  <si>
    <t>South</t>
  </si>
  <si>
    <t>Southwest</t>
  </si>
  <si>
    <t>West</t>
  </si>
  <si>
    <t>By State</t>
  </si>
  <si>
    <t>Connecticut</t>
  </si>
  <si>
    <t>Maine</t>
  </si>
  <si>
    <t>Massachusetts</t>
  </si>
  <si>
    <t>New Hampshire</t>
  </si>
  <si>
    <t>Rhode Island</t>
  </si>
  <si>
    <t>Vermont</t>
  </si>
  <si>
    <t>New Jersey</t>
  </si>
  <si>
    <t>New York</t>
  </si>
  <si>
    <t>Pennsylvania</t>
  </si>
  <si>
    <t>Illinois</t>
  </si>
  <si>
    <t>Indiana</t>
  </si>
  <si>
    <t>Iowa</t>
  </si>
  <si>
    <t>Kansas</t>
  </si>
  <si>
    <t>Michigan</t>
  </si>
  <si>
    <t>Minnesota</t>
  </si>
  <si>
    <t>Missouri</t>
  </si>
  <si>
    <t>Nebraska</t>
  </si>
  <si>
    <t>North Dakota</t>
  </si>
  <si>
    <t>Ohio</t>
  </si>
  <si>
    <t>South Dakota</t>
  </si>
  <si>
    <t>Wisconsin</t>
  </si>
  <si>
    <t>Alabama</t>
  </si>
  <si>
    <t>Arkansas</t>
  </si>
  <si>
    <t>Delaware</t>
  </si>
  <si>
    <t>Florida</t>
  </si>
  <si>
    <t>Georgia</t>
  </si>
  <si>
    <t>Kentucky</t>
  </si>
  <si>
    <t>Louisiana</t>
  </si>
  <si>
    <t>Maryland</t>
  </si>
  <si>
    <t>Mississippi</t>
  </si>
  <si>
    <t>North Carolina</t>
  </si>
  <si>
    <t>Oklahoma</t>
  </si>
  <si>
    <t>South Carolina</t>
  </si>
  <si>
    <t>Tennessee</t>
  </si>
  <si>
    <t>Texas</t>
  </si>
  <si>
    <t>Virginia</t>
  </si>
  <si>
    <t>West Virginia</t>
  </si>
  <si>
    <t>Arizona</t>
  </si>
  <si>
    <t>New Mexico</t>
  </si>
  <si>
    <t>Alaska</t>
  </si>
  <si>
    <t>California</t>
  </si>
  <si>
    <t>Colorado</t>
  </si>
  <si>
    <t>Hawaii</t>
  </si>
  <si>
    <t>Idaho</t>
  </si>
  <si>
    <t>Montana</t>
  </si>
  <si>
    <t>Nevada</t>
  </si>
  <si>
    <t>Oregon</t>
  </si>
  <si>
    <t>Utah</t>
  </si>
  <si>
    <t>Washington</t>
  </si>
  <si>
    <t>Wyoming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</si>
</sst>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11"/>
      <color theme="1"/>
      <name val="Calibri"/>
      <family val="2"/>
      <scheme val="minor"/>
    </font>
    <font>
      <sz val="11"/>
      <color theme="0"/>
      <name val="Calibri"/>
      <family val="2"/>
      <scheme val="minor"/>
    </font>
    <font>
      <b/>
      <sz val="14"/>
      <color theme="0"/>
      <name val="Calibri"/>
      <family val="2"/>
      <scheme val="minor"/>
    </font>
    <font>
      <b/>
      <i/>
      <sz val="14"/>
      <color theme="0"/>
      <name val="Calibri"/>
      <family val="2"/>
      <scheme val="minor"/>
    </font>
    <font>
      <b/>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s>
  <fills count="11">
    <fill>
      <patternFill patternType="none"/>
    </fill>
    <fill>
      <patternFill patternType="gray125"/>
    </fill>
    <fill>
      <patternFill patternType="solid">
        <fgColor theme="4" tint="-0.24997711111789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9" tint="0.59999389629810485"/>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42">
    <xf numFmtId="0" fontId="0" fillId="0" borderId="0" xfId="0"/>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applyAlignment="1">
      <alignment horizontal="center" vertical="center"/>
    </xf>
    <xf numFmtId="0" fontId="1" fillId="2" borderId="0" xfId="0" applyFont="1" applyFill="1" applyAlignment="1">
      <alignment horizontal="center"/>
    </xf>
    <xf numFmtId="3" fontId="0" fillId="0" borderId="0" xfId="0" applyNumberFormat="1" applyAlignment="1">
      <alignment horizontal="center" vertical="center"/>
    </xf>
    <xf numFmtId="0" fontId="0" fillId="0" borderId="0" xfId="0" pivotButton="1"/>
    <xf numFmtId="0" fontId="0" fillId="0" borderId="0" xfId="0" applyAlignment="1">
      <alignment horizontal="center" vertical="center"/>
    </xf>
    <xf numFmtId="0" fontId="4" fillId="3" borderId="0" xfId="0" applyFont="1" applyFill="1"/>
    <xf numFmtId="0" fontId="4" fillId="4" borderId="1" xfId="0" applyFont="1" applyFill="1" applyBorder="1" applyAlignment="1">
      <alignment horizontal="center" vertical="center"/>
    </xf>
    <xf numFmtId="165" fontId="0" fillId="0" borderId="0" xfId="1" applyNumberFormat="1" applyFont="1" applyAlignment="1">
      <alignment horizontal="center" vertical="center"/>
    </xf>
    <xf numFmtId="3" fontId="0" fillId="0" borderId="0" xfId="0" applyNumberFormat="1"/>
    <xf numFmtId="0" fontId="0" fillId="0" borderId="2" xfId="0" applyBorder="1"/>
    <xf numFmtId="4" fontId="0" fillId="0" borderId="2" xfId="0" applyNumberFormat="1" applyBorder="1" applyAlignment="1">
      <alignment horizontal="center" vertical="center"/>
    </xf>
    <xf numFmtId="0" fontId="0" fillId="0" borderId="0" xfId="0" applyAlignment="1">
      <alignment horizontal="left" vertical="center"/>
    </xf>
    <xf numFmtId="0" fontId="1" fillId="2" borderId="0" xfId="0" applyFont="1" applyFill="1" applyAlignment="1">
      <alignment horizontal="left" vertical="center"/>
    </xf>
    <xf numFmtId="0" fontId="4" fillId="7" borderId="2" xfId="0" applyFont="1" applyFill="1" applyBorder="1"/>
    <xf numFmtId="0" fontId="4" fillId="0" borderId="2" xfId="0" applyFont="1" applyBorder="1"/>
    <xf numFmtId="0" fontId="4" fillId="0" borderId="2" xfId="0" applyFont="1" applyBorder="1" applyAlignment="1">
      <alignment horizontal="left"/>
    </xf>
    <xf numFmtId="0" fontId="4" fillId="0" borderId="0" xfId="0" applyFont="1"/>
    <xf numFmtId="4" fontId="0" fillId="8" borderId="2" xfId="0" applyNumberFormat="1" applyFill="1" applyBorder="1" applyAlignment="1">
      <alignment horizontal="center" vertical="center"/>
    </xf>
    <xf numFmtId="0" fontId="4" fillId="6" borderId="2" xfId="0" applyFont="1" applyFill="1" applyBorder="1" applyAlignment="1">
      <alignment vertical="center"/>
    </xf>
    <xf numFmtId="0" fontId="0" fillId="0" borderId="2" xfId="0" applyBorder="1" applyAlignment="1">
      <alignment vertical="center"/>
    </xf>
    <xf numFmtId="164" fontId="0" fillId="0" borderId="2" xfId="0" applyNumberFormat="1" applyBorder="1" applyAlignment="1">
      <alignment horizontal="center" vertical="center"/>
    </xf>
    <xf numFmtId="0" fontId="0" fillId="5" borderId="2" xfId="0" applyFill="1" applyBorder="1" applyAlignment="1">
      <alignment vertical="center"/>
    </xf>
    <xf numFmtId="0" fontId="0" fillId="0" borderId="2" xfId="0" applyBorder="1" applyAlignment="1">
      <alignment horizontal="left" vertical="center" indent="3"/>
    </xf>
    <xf numFmtId="0" fontId="4" fillId="0" borderId="0" xfId="0" applyFont="1" applyAlignment="1">
      <alignment horizontal="left"/>
    </xf>
    <xf numFmtId="10" fontId="4" fillId="0" borderId="0" xfId="0" applyNumberFormat="1" applyFont="1"/>
    <xf numFmtId="164" fontId="0" fillId="8" borderId="2" xfId="0" applyNumberFormat="1" applyFill="1" applyBorder="1" applyAlignment="1">
      <alignment horizontal="center" vertical="center"/>
    </xf>
    <xf numFmtId="3" fontId="0" fillId="8" borderId="2" xfId="0" applyNumberFormat="1" applyFill="1" applyBorder="1" applyAlignment="1">
      <alignment horizontal="center" vertical="center"/>
    </xf>
    <xf numFmtId="3" fontId="0" fillId="0" borderId="2" xfId="0" applyNumberFormat="1" applyBorder="1" applyAlignment="1">
      <alignment horizontal="center" vertical="center"/>
    </xf>
    <xf numFmtId="0" fontId="0" fillId="10" borderId="2" xfId="0" applyFill="1" applyBorder="1"/>
    <xf numFmtId="4" fontId="0" fillId="9" borderId="2" xfId="0" applyNumberFormat="1" applyFill="1" applyBorder="1" applyAlignment="1">
      <alignment horizontal="center" vertical="center"/>
    </xf>
    <xf numFmtId="4" fontId="0" fillId="10" borderId="2" xfId="0" applyNumberFormat="1" applyFill="1" applyBorder="1" applyAlignment="1">
      <alignment horizontal="center" vertical="center"/>
    </xf>
    <xf numFmtId="0" fontId="6" fillId="0" borderId="0" xfId="0" applyFont="1" applyAlignment="1">
      <alignment horizontal="left" vertical="center"/>
    </xf>
    <xf numFmtId="0" fontId="7" fillId="0" borderId="0" xfId="0" applyFont="1" applyAlignment="1">
      <alignment horizontal="left" vertical="center"/>
    </xf>
    <xf numFmtId="0" fontId="6" fillId="0" borderId="2" xfId="0" applyFont="1" applyBorder="1" applyAlignment="1">
      <alignment horizontal="left" vertical="center" indent="1"/>
    </xf>
    <xf numFmtId="0" fontId="7" fillId="0" borderId="2" xfId="0" applyFont="1" applyBorder="1" applyAlignment="1">
      <alignment horizontal="left" vertical="center" indent="1"/>
    </xf>
    <xf numFmtId="0" fontId="7" fillId="0" borderId="2" xfId="0" applyFont="1" applyBorder="1" applyAlignment="1">
      <alignment horizontal="left" vertical="center" indent="2"/>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cellXfs>
  <cellStyles count="2">
    <cellStyle name="Normal" xfId="0" builtinId="0"/>
    <cellStyle name="Percent" xfId="1" builtinId="5"/>
  </cellStyles>
  <dxfs count="119">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alignment vertical="center"/>
    </dxf>
    <dxf>
      <alignment horizontal="center"/>
    </dxf>
    <dxf>
      <numFmt numFmtId="164" formatCode="#,##0.0"/>
    </dxf>
    <dxf>
      <alignment horizontal="center" vertical="center"/>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Value!A1"/></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12</xdr:col>
      <xdr:colOff>287337</xdr:colOff>
      <xdr:row>6</xdr:row>
      <xdr:rowOff>79375</xdr:rowOff>
    </xdr:from>
    <xdr:to>
      <xdr:col>17</xdr:col>
      <xdr:colOff>515937</xdr:colOff>
      <xdr:row>10</xdr:row>
      <xdr:rowOff>9525</xdr:rowOff>
    </xdr:to>
    <xdr:sp macro="" textlink="">
      <xdr:nvSpPr>
        <xdr:cNvPr id="2" name="Rectangle: Rounded Corners 1">
          <a:hlinkClick xmlns:r="http://schemas.openxmlformats.org/officeDocument/2006/relationships" r:id="rId1" tooltip="Click here to see &quot;Value Data&quot;"/>
          <a:extLst>
            <a:ext uri="{FF2B5EF4-FFF2-40B4-BE49-F238E27FC236}">
              <a16:creationId xmlns:a16="http://schemas.microsoft.com/office/drawing/2014/main" id="{520FD73E-F25E-4CF2-A3D7-10BBEB1D408B}"/>
            </a:ext>
          </a:extLst>
        </xdr:cNvPr>
        <xdr:cNvSpPr/>
      </xdr:nvSpPr>
      <xdr:spPr>
        <a:xfrm>
          <a:off x="7602537" y="1184275"/>
          <a:ext cx="3276600" cy="66675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U.S. Providone Iodine Market Value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123456</xdr:colOff>
      <xdr:row>0</xdr:row>
      <xdr:rowOff>137708</xdr:rowOff>
    </xdr:from>
    <xdr:to>
      <xdr:col>0</xdr:col>
      <xdr:colOff>856881</xdr:colOff>
      <xdr:row>2</xdr:row>
      <xdr:rowOff>80558</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C62686F2-2FF0-4BDF-8C2A-ED52303EA7B5}"/>
            </a:ext>
          </a:extLst>
        </xdr:cNvPr>
        <xdr:cNvSpPr/>
      </xdr:nvSpPr>
      <xdr:spPr>
        <a:xfrm>
          <a:off x="123456" y="137708"/>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0</xdr:col>
      <xdr:colOff>2741147</xdr:colOff>
      <xdr:row>3</xdr:row>
      <xdr:rowOff>45440</xdr:rowOff>
    </xdr:from>
    <xdr:to>
      <xdr:col>9</xdr:col>
      <xdr:colOff>118463</xdr:colOff>
      <xdr:row>16</xdr:row>
      <xdr:rowOff>35915</xdr:rowOff>
    </xdr:to>
    <xdr:grpSp>
      <xdr:nvGrpSpPr>
        <xdr:cNvPr id="9" name="Group 8">
          <a:extLst>
            <a:ext uri="{FF2B5EF4-FFF2-40B4-BE49-F238E27FC236}">
              <a16:creationId xmlns:a16="http://schemas.microsoft.com/office/drawing/2014/main" id="{5CE59122-621D-B436-20D1-BA98691AD61F}"/>
            </a:ext>
          </a:extLst>
        </xdr:cNvPr>
        <xdr:cNvGrpSpPr/>
      </xdr:nvGrpSpPr>
      <xdr:grpSpPr>
        <a:xfrm>
          <a:off x="2741147" y="605734"/>
          <a:ext cx="6035728" cy="2418416"/>
          <a:chOff x="2741147" y="605734"/>
          <a:chExt cx="6035728" cy="2418416"/>
        </a:xfrm>
      </xdr:grpSpPr>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0DB7E42-115F-4776-A4FF-25F5C31129F1}"/>
                  </a:ext>
                </a:extLst>
              </xdr:cNvPr>
              <xdr:cNvGraphicFramePr/>
            </xdr:nvGraphicFramePr>
            <xdr:xfrm>
              <a:off x="2741147" y="605734"/>
              <a:ext cx="1916818" cy="2418416"/>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41147" y="605734"/>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2408BA6E-0977-4E0F-ACF0-8301F9DBA626}"/>
                  </a:ext>
                </a:extLst>
              </xdr:cNvPr>
              <xdr:cNvGraphicFramePr/>
            </xdr:nvGraphicFramePr>
            <xdr:xfrm>
              <a:off x="4800602" y="605734"/>
              <a:ext cx="1916818" cy="2418416"/>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800602" y="605734"/>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ub-segment">
                <a:extLst>
                  <a:ext uri="{FF2B5EF4-FFF2-40B4-BE49-F238E27FC236}">
                    <a16:creationId xmlns:a16="http://schemas.microsoft.com/office/drawing/2014/main" id="{BDBBB158-CC2E-4CD0-B4F4-1D8C42AB33DC}"/>
                  </a:ext>
                </a:extLst>
              </xdr:cNvPr>
              <xdr:cNvGraphicFramePr/>
            </xdr:nvGraphicFramePr>
            <xdr:xfrm>
              <a:off x="6860057" y="605734"/>
              <a:ext cx="1916818" cy="2418416"/>
            </xdr:xfrm>
            <a:graphic>
              <a:graphicData uri="http://schemas.microsoft.com/office/drawing/2010/slicer">
                <sle:slicer xmlns:sle="http://schemas.microsoft.com/office/drawing/2010/slicer" name="Sub-segment"/>
              </a:graphicData>
            </a:graphic>
          </xdr:graphicFrame>
        </mc:Choice>
        <mc:Fallback xmlns="">
          <xdr:sp macro="" textlink="">
            <xdr:nvSpPr>
              <xdr:cNvPr id="0" name=""/>
              <xdr:cNvSpPr>
                <a:spLocks noTextEdit="1"/>
              </xdr:cNvSpPr>
            </xdr:nvSpPr>
            <xdr:spPr>
              <a:xfrm>
                <a:off x="6860057" y="605734"/>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e/Desktop/ME%20Update/Engineering%20Plastics%20Market/ME%20Model%20Value.xlsm" TargetMode="External"/><Relationship Id="rId1" Type="http://schemas.openxmlformats.org/officeDocument/2006/relationships/externalLinkPath" Target="/Users/me/Desktop/ME%20Update/Engineering%20Plastics%20Market/ME%20Model%20Valu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end Sheet"/>
      <sheetName val="Taxonomy"/>
      <sheetName val="RD"/>
      <sheetName val="Value"/>
      <sheetName val="Volume"/>
      <sheetName val="Master Sheet"/>
      <sheetName val="Product Type"/>
      <sheetName val="Application"/>
      <sheetName val="Category 3"/>
      <sheetName val="Category 4"/>
      <sheetName val="Category 5"/>
      <sheetName val="Category 6"/>
      <sheetName val="Category 7"/>
      <sheetName val="Category 8"/>
      <sheetName val="Product Type ASP"/>
      <sheetName val="Country Data"/>
      <sheetName val="Region"/>
      <sheetName val="North America"/>
      <sheetName val="Europe"/>
      <sheetName val="Asia Pacific"/>
      <sheetName val="Latin America"/>
      <sheetName val="Middle East &amp; Africa"/>
      <sheetName val="Global1"/>
      <sheetName val="Global"/>
      <sheetName val="Raw Data"/>
      <sheetName val="CP"/>
      <sheetName val="By Application"/>
      <sheetName val="Category 2"/>
      <sheetName val="By Application ASP"/>
      <sheetName val="By Metal Type"/>
      <sheetName val="By End-Use Industry"/>
      <sheetName val="By Metal Type ASP"/>
    </sheetNames>
    <sheetDataSet>
      <sheetData sheetId="0">
        <row r="119">
          <cell r="AS119" t="str">
            <v>Graph_1</v>
          </cell>
        </row>
        <row r="120">
          <cell r="AS120" t="str">
            <v>Graph_2</v>
          </cell>
        </row>
        <row r="121">
          <cell r="AS121" t="str">
            <v>Graph_3</v>
          </cell>
        </row>
        <row r="122">
          <cell r="AS122" t="str">
            <v>Graph_4</v>
          </cell>
        </row>
        <row r="123">
          <cell r="AS123" t="str">
            <v>Graph_5</v>
          </cell>
        </row>
        <row r="124">
          <cell r="AS124" t="str">
            <v>Graph_6</v>
          </cell>
        </row>
        <row r="125">
          <cell r="AS125" t="str">
            <v>Graph_7</v>
          </cell>
        </row>
        <row r="126">
          <cell r="AS126" t="str">
            <v>Graph_8</v>
          </cell>
        </row>
        <row r="127">
          <cell r="AS127" t="str">
            <v>Graph_9</v>
          </cell>
        </row>
        <row r="128">
          <cell r="AS128" t="str">
            <v>Graph_10</v>
          </cell>
        </row>
        <row r="129">
          <cell r="AS129" t="str">
            <v>Graph_11</v>
          </cell>
        </row>
        <row r="130">
          <cell r="AS130" t="str">
            <v>Graph_12</v>
          </cell>
        </row>
        <row r="131">
          <cell r="AS131" t="str">
            <v>Graph_13</v>
          </cell>
        </row>
        <row r="132">
          <cell r="AS132" t="str">
            <v>Graph_14</v>
          </cell>
        </row>
        <row r="133">
          <cell r="AS133" t="str">
            <v>Graph_15</v>
          </cell>
        </row>
        <row r="134">
          <cell r="AS134" t="str">
            <v>Graph_16</v>
          </cell>
        </row>
        <row r="135">
          <cell r="AS135" t="str">
            <v>Graph_17</v>
          </cell>
        </row>
        <row r="136">
          <cell r="AS136" t="str">
            <v>Graph_18</v>
          </cell>
        </row>
        <row r="137">
          <cell r="AS137" t="str">
            <v>Graph_19</v>
          </cell>
        </row>
        <row r="138">
          <cell r="AS138" t="str">
            <v>Graph_20</v>
          </cell>
        </row>
        <row r="139">
          <cell r="AS139" t="str">
            <v>Graph_21</v>
          </cell>
        </row>
      </sheetData>
      <sheetData sheetId="1">
        <row r="1">
          <cell r="C1" t="str">
            <v>Electroplating Market</v>
          </cell>
        </row>
        <row r="7">
          <cell r="D7">
            <v>1</v>
          </cell>
        </row>
      </sheetData>
      <sheetData sheetId="2" refreshError="1"/>
      <sheetData sheetId="3" refreshError="1"/>
      <sheetData sheetId="4" refreshError="1"/>
      <sheetData sheetId="5"/>
      <sheetData sheetId="6">
        <row r="7">
          <cell r="F7">
            <v>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7">
          <cell r="F7">
            <v>7</v>
          </cell>
        </row>
      </sheetData>
      <sheetData sheetId="27" refreshError="1"/>
      <sheetData sheetId="28" refreshError="1"/>
      <sheetData sheetId="29">
        <row r="7">
          <cell r="F7">
            <v>7</v>
          </cell>
        </row>
        <row r="8">
          <cell r="F8">
            <v>4</v>
          </cell>
        </row>
      </sheetData>
      <sheetData sheetId="30" refreshError="1"/>
      <sheetData sheetId="3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40.659426273145" createdVersion="8" refreshedVersion="8" minRefreshableVersion="3" recordCount="951" xr:uid="{EF77DE34-E608-444F-972B-7C983D88E160}">
  <cacheSource type="worksheet">
    <worksheetSource ref="A6:P957" sheet="Master Sheet"/>
  </cacheSource>
  <cacheFields count="16">
    <cacheField name="Region" numFmtId="0">
      <sharedItems count="56">
        <s v="U.S."/>
        <s v="Northeast"/>
        <s v="Connecticut"/>
        <s v="Maine"/>
        <s v="Massachusetts"/>
        <s v="New Hampshire"/>
        <s v="Rhode Island"/>
        <s v="Vermont"/>
        <s v="New Jersey"/>
        <s v="New York"/>
        <s v="Pennsylvania"/>
        <s v="Midwest"/>
        <s v="Illinois"/>
        <s v="Indiana"/>
        <s v="Iowa"/>
        <s v="Kansas"/>
        <s v="Michigan"/>
        <s v="Minnesota"/>
        <s v="Missouri"/>
        <s v="Nebraska"/>
        <s v="North Dakota"/>
        <s v="Ohio"/>
        <s v="South Dakota"/>
        <s v="Wisconsin"/>
        <s v="South"/>
        <s v="Alabama"/>
        <s v="Arkansas"/>
        <s v="Delaware"/>
        <s v="Florida"/>
        <s v="Georgia"/>
        <s v="Kentucky"/>
        <s v="Louisiana"/>
        <s v="Maryland"/>
        <s v="Mississippi"/>
        <s v="North Carolina"/>
        <s v="Oklahoma"/>
        <s v="South Carolina"/>
        <s v="Tennessee"/>
        <s v="Texas"/>
        <s v="Virginia"/>
        <s v="West Virginia"/>
        <s v="Southwest"/>
        <s v="Arizona"/>
        <s v="New Mexico"/>
        <s v="West"/>
        <s v="Alaska"/>
        <s v="California"/>
        <s v="Colorado"/>
        <s v="Hawaii"/>
        <s v="Idaho"/>
        <s v="Montana"/>
        <s v="Nevada"/>
        <s v="Oregon"/>
        <s v="Utah"/>
        <s v="Washington"/>
        <s v="Wyoming"/>
      </sharedItems>
    </cacheField>
    <cacheField name="Segment" numFmtId="0">
      <sharedItems count="6">
        <s v="By Prescription Type"/>
        <s v="By Indication "/>
        <s v="By Distribution Channel"/>
        <s v="By End User"/>
        <s v="By Region"/>
        <s v="By State"/>
      </sharedItems>
    </cacheField>
    <cacheField name="Sub-segment" numFmtId="0">
      <sharedItems count="71">
        <s v="Rx (Prescription) Share"/>
        <s v="OTC (Over-the-Counter) Share"/>
        <s v="Infection Prevention / Antiviral"/>
        <s v="Chronic Rhinosinusitis / Sinusitis"/>
        <s v="Allergic Rhinitis"/>
        <s v="Nasal Congestion (Cold / Flu)"/>
        <s v="Non-Allergic Rhinitis"/>
        <s v="Other (Pre/Post-Op Antisepsis, etc.)"/>
        <s v="Online Pharmacies"/>
        <s v="Retail Pharmacies"/>
        <s v="Hospital Pharmacies"/>
        <s v="Supermarkets &amp; Hypermarkets"/>
        <s v="Hospitals"/>
        <s v="ENT Clinics"/>
        <s v="Ambulatory Surgical Centers"/>
        <s v="Others (Homecare, LTC, etc.)"/>
        <s v="Northeast"/>
        <s v="Midwest"/>
        <s v="South"/>
        <s v="Southwest"/>
        <s v="West"/>
        <s v="Connecticut"/>
        <s v="Maine"/>
        <s v="Massachusetts"/>
        <s v="New Hampshire"/>
        <s v="Rhode Island"/>
        <s v="Vermont"/>
        <s v="New Jersey"/>
        <s v="New York"/>
        <s v="Pennsylvania"/>
        <s v="Illinois"/>
        <s v="Indiana"/>
        <s v="Iowa"/>
        <s v="Kansas"/>
        <s v="Michigan"/>
        <s v="Minnesota"/>
        <s v="Missouri"/>
        <s v="Nebraska"/>
        <s v="North Dakota"/>
        <s v="Ohio"/>
        <s v="South Dakota"/>
        <s v="Wisconsin"/>
        <s v="Alabama"/>
        <s v="Arkansas"/>
        <s v="Delaware"/>
        <s v="Florida"/>
        <s v="Georgia"/>
        <s v="Kentucky"/>
        <s v="Louisiana"/>
        <s v="Maryland"/>
        <s v="Mississippi"/>
        <s v="North Carolina"/>
        <s v="Oklahoma"/>
        <s v="South Carolina"/>
        <s v="Tennessee"/>
        <s v="Texas"/>
        <s v="Virginia"/>
        <s v="West Virginia"/>
        <s v="Arizona"/>
        <s v="New Mexico"/>
        <s v="Alaska"/>
        <s v="California"/>
        <s v="Colorado"/>
        <s v="Hawaii"/>
        <s v="Idaho"/>
        <s v="Montana"/>
        <s v="Nevada"/>
        <s v="Oregon"/>
        <s v="Utah"/>
        <s v="Washington"/>
        <s v="Wyoming"/>
      </sharedItems>
    </cacheField>
    <cacheField name="2021" numFmtId="164">
      <sharedItems containsSemiMixedTypes="0" containsString="0" containsNumber="1" minValue="1.8460618733423333" maxValue="18967.076336197366"/>
    </cacheField>
    <cacheField name="2022" numFmtId="164">
      <sharedItems containsSemiMixedTypes="0" containsString="0" containsNumber="1" minValue="1.8862599891194174" maxValue="20092.648622320346"/>
    </cacheField>
    <cacheField name="2023" numFmtId="164">
      <sharedItems containsSemiMixedTypes="0" containsString="0" containsNumber="1" minValue="1.9319281741984127" maxValue="21329.966914902478"/>
    </cacheField>
    <cacheField name="2024" numFmtId="164">
      <sharedItems containsSemiMixedTypes="0" containsString="0" containsNumber="1" minValue="1.9801716035765367" maxValue="22660.271982562972"/>
    </cacheField>
    <cacheField name="2025" numFmtId="164">
      <sharedItems containsSemiMixedTypes="0" containsString="0" containsNumber="1" minValue="2.0312164993536266" maxValue="24096.203084220804"/>
    </cacheField>
    <cacheField name="2026" numFmtId="164">
      <sharedItems containsSemiMixedTypes="0" containsString="0" containsNumber="1" minValue="2.0860925757467559" maxValue="25648.861655254663"/>
    </cacheField>
    <cacheField name="2027" numFmtId="164">
      <sharedItems containsSemiMixedTypes="0" containsString="0" containsNumber="1" minValue="2.1440313999070888" maxValue="27326.586149581217"/>
    </cacheField>
    <cacheField name="2028" numFmtId="164">
      <sharedItems containsSemiMixedTypes="0" containsString="0" containsNumber="1" minValue="2.2059978099176485" maxValue="29155.263611634404"/>
    </cacheField>
    <cacheField name="2029" numFmtId="164">
      <sharedItems containsSemiMixedTypes="0" containsString="0" containsNumber="1" minValue="2.2731905709015874" maxValue="31145.853966255134"/>
    </cacheField>
    <cacheField name="2030" numFmtId="164">
      <sharedItems containsSemiMixedTypes="0" containsString="0" containsNumber="1" minValue="2.3442535319976736" maxValue="33312.909090700319"/>
    </cacheField>
    <cacheField name="2031" numFmtId="164">
      <sharedItems containsSemiMixedTypes="0" containsString="0" containsNumber="1" minValue="2.4204299886990324" maxValue="35678.005242163155"/>
    </cacheField>
    <cacheField name="2032" numFmtId="164">
      <sharedItems containsSemiMixedTypes="0" containsString="0" containsNumber="1" minValue="2.5021582220424405" maxValue="38257.922481261994"/>
    </cacheField>
    <cacheField name="2033" numFmtId="164">
      <sharedItems containsSemiMixedTypes="0" containsString="0" containsNumber="1" minValue="2.5910369004484064" maxValue="41087.366854820444"/>
    </cacheField>
  </cacheFields>
  <extLst>
    <ext xmlns:x14="http://schemas.microsoft.com/office/spreadsheetml/2009/9/main" uri="{725AE2AE-9491-48be-B2B4-4EB974FC3084}">
      <x14:pivotCacheDefinition pivotCacheId="1016368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1">
  <r>
    <x v="0"/>
    <x v="0"/>
    <x v="0"/>
    <n v="1960.8530599557987"/>
    <n v="2059.7821116315154"/>
    <n v="2168.1621663729738"/>
    <n v="2284.4461754334993"/>
    <n v="2409.3623523191936"/>
    <n v="2544.6013364174846"/>
    <n v="2689.7785785442265"/>
    <n v="2848.2370088858961"/>
    <n v="3020.0817085835101"/>
    <n v="3206.7655345051539"/>
    <n v="3410.382116187262"/>
    <n v="3632.24371524863"/>
    <n v="3875.0739803746592"/>
  </r>
  <r>
    <x v="0"/>
    <x v="0"/>
    <x v="1"/>
    <n v="18967.076336197366"/>
    <n v="20092.648622320346"/>
    <n v="21329.966914902478"/>
    <n v="22660.271982562972"/>
    <n v="24096.203084220804"/>
    <n v="25648.861655254663"/>
    <n v="27326.586149581217"/>
    <n v="29155.263611634404"/>
    <n v="31145.853966255134"/>
    <n v="33312.909090700319"/>
    <n v="35678.005242163155"/>
    <n v="38257.922481261994"/>
    <n v="41087.366854820444"/>
  </r>
  <r>
    <x v="0"/>
    <x v="1"/>
    <x v="2"/>
    <n v="7152.7062948859093"/>
    <n v="7515.8685522985134"/>
    <n v="7918.1543436963157"/>
    <n v="8345.2830110355044"/>
    <n v="8802.3524062614433"/>
    <n v="9288.8027694520297"/>
    <n v="9807.226181951728"/>
    <n v="10364.772850077823"/>
    <n v="10963.104055904281"/>
    <n v="11605.831974007386"/>
    <n v="12295.544585315052"/>
    <n v="13035.601530372976"/>
    <n v="13833.309416945534"/>
  </r>
  <r>
    <x v="0"/>
    <x v="1"/>
    <x v="3"/>
    <n v="4510.066629586272"/>
    <n v="4810.3670475844492"/>
    <n v="5139.0634791909033"/>
    <n v="5495.0964115004044"/>
    <n v="5881.34977977982"/>
    <n v="6302.325492355435"/>
    <n v="6759.7775679032738"/>
    <n v="7260.9841018026091"/>
    <n v="7810.1954335635928"/>
    <n v="8412.2017704803638"/>
    <n v="9073.7112846332602"/>
    <n v="9799.6490354811176"/>
    <n v="10600.726640661534"/>
  </r>
  <r>
    <x v="0"/>
    <x v="1"/>
    <x v="4"/>
    <n v="3637.9798848389814"/>
    <n v="3898.0214732381551"/>
    <n v="4183.6338907560403"/>
    <n v="4494.0644303937243"/>
    <n v="4831.7621777765062"/>
    <n v="5201.1555718327418"/>
    <n v="5604.0994461667869"/>
    <n v="6046.7395576073659"/>
    <n v="6533.6544259734319"/>
    <n v="7069.0397040988846"/>
    <n v="7659.5177329216358"/>
    <n v="8310.1838580949789"/>
    <n v="9031.0942921250789"/>
  </r>
  <r>
    <x v="0"/>
    <x v="1"/>
    <x v="5"/>
    <n v="2749.6289992465154"/>
    <n v="2913.8789434499022"/>
    <n v="3094.099997374155"/>
    <n v="3287.9975310922559"/>
    <n v="3497.3572546348578"/>
    <n v="3724.677886521099"/>
    <n v="3971.4036243286232"/>
    <n v="4242.3430729579941"/>
    <n v="4537.575101358515"/>
    <n v="4859.3199543477131"/>
    <n v="5212.3508080319352"/>
    <n v="5599.5717249723621"/>
    <n v="6026.6181406133801"/>
  </r>
  <r>
    <x v="0"/>
    <x v="1"/>
    <x v="6"/>
    <n v="1778.1332939811532"/>
    <n v="1855.328303537168"/>
    <n v="1938.7030285404878"/>
    <n v="2027.3874811449305"/>
    <n v="2122.0890912672066"/>
    <n v="2223.8104509242103"/>
    <n v="2332.6154997227204"/>
    <n v="2450.7313373813126"/>
    <n v="2578.4502921181929"/>
    <n v="2716.1409978709348"/>
    <n v="2865.6593264428175"/>
    <n v="3027.524299852862"/>
    <n v="3203.6662006898014"/>
  </r>
  <r>
    <x v="0"/>
    <x v="1"/>
    <x v="7"/>
    <n v="1099.4142936143344"/>
    <n v="1158.9664138436717"/>
    <n v="1224.4743417175519"/>
    <n v="1294.8892928296498"/>
    <n v="1370.6547268201662"/>
    <n v="1452.6908205866314"/>
    <n v="1541.2424080523115"/>
    <n v="1637.9297006931904"/>
    <n v="1742.9563659206319"/>
    <n v="1857.1402244001936"/>
    <n v="1981.6036210057164"/>
    <n v="2117.6357477363204"/>
    <n v="2267.0261441597663"/>
  </r>
  <r>
    <x v="0"/>
    <x v="2"/>
    <x v="8"/>
    <n v="7045.1952164498962"/>
    <n v="7405.3159187939182"/>
    <n v="7799.5431660069717"/>
    <n v="8217.4170071841072"/>
    <n v="8664.658749321532"/>
    <n v="9140.0277323039591"/>
    <n v="9647.3759348007006"/>
    <n v="10191.630932727969"/>
    <n v="10777.499158377668"/>
    <n v="11407.263448189256"/>
    <n v="12085.85331194289"/>
    <n v="12811.683888119207"/>
    <n v="13593.575927403521"/>
  </r>
  <r>
    <x v="0"/>
    <x v="2"/>
    <x v="9"/>
    <n v="7330.9063405950656"/>
    <n v="7819.1266445930287"/>
    <n v="8357.1594116545202"/>
    <n v="8939.9817622341652"/>
    <n v="9572.420197201347"/>
    <n v="10261.503923803308"/>
    <n v="11010.662410920484"/>
    <n v="11832.239612597503"/>
    <n v="12732.00687363922"/>
    <n v="13717.225612453014"/>
    <n v="14798.123140795891"/>
    <n v="15986.282022576666"/>
    <n v="17298.370049671557"/>
  </r>
  <r>
    <x v="0"/>
    <x v="2"/>
    <x v="10"/>
    <n v="4614.4752786484269"/>
    <n v="4888.6988372616324"/>
    <n v="5189.9490417885609"/>
    <n v="5515.2662784001577"/>
    <n v="5866.7033078017967"/>
    <n v="6249.5216814690721"/>
    <n v="6664.2257627039135"/>
    <n v="7119.4350391824246"/>
    <n v="7616.0207845822661"/>
    <n v="8158.4205622063173"/>
    <n v="8753.4012078091509"/>
    <n v="9407.0037111437468"/>
    <n v="10127.857322869"/>
  </r>
  <r>
    <x v="0"/>
    <x v="2"/>
    <x v="11"/>
    <n v="1937.3525604597748"/>
    <n v="2039.2893333032789"/>
    <n v="2151.4774618253987"/>
    <n v="2272.0531101780421"/>
    <n v="2401.7831822153266"/>
    <n v="2542.4096540958103"/>
    <n v="2694.1006197003453"/>
    <n v="2860.1950360123992"/>
    <n v="3040.4088582394879"/>
    <n v="3236.7650023568872"/>
    <n v="3451.0096978024881"/>
    <n v="3685.1965746709975"/>
    <n v="3942.6375352510204"/>
  </r>
  <r>
    <x v="0"/>
    <x v="3"/>
    <x v="12"/>
    <n v="5416.3542986608982"/>
    <n v="5754.6646214040493"/>
    <n v="6132.6917636985754"/>
    <n v="6537.9363551061333"/>
    <n v="6975.8396792164422"/>
    <n v="7445.2547582641255"/>
    <n v="7951.0759081909546"/>
    <n v="8497.5836930999976"/>
    <n v="9089.2408234787636"/>
    <n v="9731.7465499212049"/>
    <n v="10426.873957446704"/>
    <n v="11177.699468917534"/>
    <n v="11994.867862449124"/>
  </r>
  <r>
    <x v="0"/>
    <x v="3"/>
    <x v="13"/>
    <n v="5429.5673168173489"/>
    <n v="5723.9389694147249"/>
    <n v="6044.0314205042432"/>
    <n v="6387.5770890694021"/>
    <n v="6756.7812417893583"/>
    <n v="7156.1266321835301"/>
    <n v="7586.6770491993548"/>
    <n v="8055.2105904177342"/>
    <n v="8565.0199365721619"/>
    <n v="9118.4582521808243"/>
    <n v="9721.986911781798"/>
    <n v="10379.990387832686"/>
    <n v="11101.01754907555"/>
  </r>
  <r>
    <x v="0"/>
    <x v="3"/>
    <x v="14"/>
    <n v="3974.1821239699871"/>
    <n v="4161.4004436787936"/>
    <n v="4364.4823095160755"/>
    <n v="4580.7554366581508"/>
    <n v="4812.4076478131856"/>
    <n v="5061.528080189777"/>
    <n v="5328.7329308691205"/>
    <n v="5619.3093085614937"/>
    <n v="5933.8492154980659"/>
    <n v="6273.5561992350204"/>
    <n v="6643.1913715210485"/>
    <n v="7043.6821787608369"/>
    <n v="7480.3884954136302"/>
  </r>
  <r>
    <x v="0"/>
    <x v="3"/>
    <x v="15"/>
    <n v="6107.8256567049293"/>
    <n v="6512.4266994542913"/>
    <n v="6956.9235875565582"/>
    <n v="7438.4492771627847"/>
    <n v="7960.5368677210154"/>
    <n v="8530.5535210347171"/>
    <n v="9149.8788398660145"/>
    <n v="9831.3970284410716"/>
    <n v="10577.825699289657"/>
    <n v="11395.913623868426"/>
    <n v="12296.335117600869"/>
    <n v="13288.794160999561"/>
    <n v="14386.166928256793"/>
  </r>
  <r>
    <x v="0"/>
    <x v="4"/>
    <x v="16"/>
    <n v="3742.9927100607665"/>
    <n v="3945.7056918012177"/>
    <n v="4169.2538037470795"/>
    <n v="4408.6559480949782"/>
    <n v="4666.0797478491604"/>
    <n v="4943.058885853543"/>
    <n v="5240.9764152990574"/>
    <n v="5564.6910347906523"/>
    <n v="5915.096347065084"/>
    <n v="6294.8085604300149"/>
    <n v="6705.8286821517022"/>
    <n v="7152.409253169255"/>
    <n v="7641.4285489747508"/>
  </r>
  <r>
    <x v="0"/>
    <x v="4"/>
    <x v="17"/>
    <n v="4383.7920140810129"/>
    <n v="4600.9093504712982"/>
    <n v="4835.0403801464336"/>
    <n v="5084.7964572565961"/>
    <n v="5352.0237771464863"/>
    <n v="5638.9207663991328"/>
    <n v="5946.2171843967617"/>
    <n v="6278.2700989088607"/>
    <n v="6638.282912007794"/>
    <n v="7026.6331862391171"/>
    <n v="7447.5942038873527"/>
    <n v="7903.3380027121793"/>
    <n v="8399.0464309186518"/>
  </r>
  <r>
    <x v="0"/>
    <x v="4"/>
    <x v="18"/>
    <n v="7979.9410567211225"/>
    <n v="8488.3284947371249"/>
    <n v="9049.6550889682967"/>
    <n v="9655.4073653091218"/>
    <n v="10312.365311842064"/>
    <n v="11026.47107206186"/>
    <n v="11802.294008310344"/>
    <n v="12654.32181824661"/>
    <n v="13584.990528536677"/>
    <n v="14602.590128537062"/>
    <n v="15720.23240847456"/>
    <n v="16945.816056439278"/>
    <n v="18296.8469231405"/>
  </r>
  <r>
    <x v="0"/>
    <x v="4"/>
    <x v="19"/>
    <n v="565.58311663085203"/>
    <n v="605.9752061678164"/>
    <n v="650.64347452760558"/>
    <n v="698.95844983354777"/>
    <n v="751.35776437467371"/>
    <n v="808.17360297068944"/>
    <n v="869.77750889765457"/>
    <n v="936.84997571324277"/>
    <n v="1010.1037170239141"/>
    <n v="1090.3479985580263"/>
    <n v="1178.1797931207641"/>
    <n v="1274.1490761399282"/>
    <n v="1379.398524987407"/>
  </r>
  <r>
    <x v="0"/>
    <x v="4"/>
    <x v="20"/>
    <n v="4255.6204986594112"/>
    <n v="4511.5119907744011"/>
    <n v="4793.536333886037"/>
    <n v="5096.8999375022277"/>
    <n v="5423.7388353276165"/>
    <n v="5776.8386643869208"/>
    <n v="6157.0996112216262"/>
    <n v="6569.367692860932"/>
    <n v="7017.4621702051745"/>
    <n v="7505.294751441259"/>
    <n v="8036.5522707160408"/>
    <n v="8614.4538080499788"/>
    <n v="9245.7204071737942"/>
  </r>
  <r>
    <x v="1"/>
    <x v="0"/>
    <x v="0"/>
    <n v="353.66056095836041"/>
    <n v="370.18445392591155"/>
    <n v="388.31242330170983"/>
    <n v="407.60135417397646"/>
    <n v="428.21628637341627"/>
    <n v="450.387167852527"/>
    <n v="474.06485845046973"/>
    <n v="500.0090206914748"/>
    <n v="527.93139074316423"/>
    <n v="558.13232213203855"/>
    <n v="590.93005296812896"/>
    <n v="626.59812659813451"/>
    <n v="665.57773738930928"/>
  </r>
  <r>
    <x v="1"/>
    <x v="0"/>
    <x v="1"/>
    <n v="3389.3321491024067"/>
    <n v="3575.5212378753058"/>
    <n v="3780.9413804453702"/>
    <n v="4001.054593921001"/>
    <n v="4237.8634614757439"/>
    <n v="4492.6717180010164"/>
    <n v="4766.9115568485886"/>
    <n v="5064.6820140991767"/>
    <n v="5387.1649563219198"/>
    <n v="5736.6762382979759"/>
    <n v="6114.8986291835727"/>
    <n v="6525.8111265711195"/>
    <n v="6975.8508115854429"/>
  </r>
  <r>
    <x v="1"/>
    <x v="1"/>
    <x v="2"/>
    <n v="1290.2311621094877"/>
    <n v="1350.4777644763012"/>
    <n v="1418.2873310352402"/>
    <n v="1489.8428372729231"/>
    <n v="1566.1502437034119"/>
    <n v="1646.4008145742848"/>
    <n v="1732.0851279764129"/>
    <n v="1823.3458632570391"/>
    <n v="1920.7298374798929"/>
    <n v="2024.9315895873888"/>
    <n v="2134.7622281674553"/>
    <n v="2251.6199848993274"/>
    <n v="2378.4976109877748"/>
  </r>
  <r>
    <x v="1"/>
    <x v="1"/>
    <x v="3"/>
    <n v="812.32791646445003"/>
    <n v="862.28326253079013"/>
    <n v="917.10208647823924"/>
    <n v="976.39985503100809"/>
    <n v="1040.592004370257"/>
    <n v="1110.4705696796805"/>
    <n v="1185.8254954652939"/>
    <n v="1268.4307243013388"/>
    <n v="1358.4596085639216"/>
    <n v="1456.6905242160133"/>
    <n v="1564.1589871057618"/>
    <n v="1681.9904887666337"/>
    <n v="1811.6330089394137"/>
  </r>
  <r>
    <x v="1"/>
    <x v="1"/>
    <x v="4"/>
    <n v="638.83213095764131"/>
    <n v="680.72081497879572"/>
    <n v="726.90759039104046"/>
    <n v="777.07527624472289"/>
    <n v="831.4397005630002"/>
    <n v="890.91141176163478"/>
    <n v="955.3716189814229"/>
    <n v="1026.3043393031915"/>
    <n v="1103.8096195821115"/>
    <n v="1188.8548905241323"/>
    <n v="1282.2490574389285"/>
    <n v="1385.1762104162181"/>
    <n v="1498.8211684728446"/>
  </r>
  <r>
    <x v="1"/>
    <x v="1"/>
    <x v="5"/>
    <n v="491.50906684260622"/>
    <n v="519.55909892924831"/>
    <n v="549.79057049632456"/>
    <n v="582.14847411133576"/>
    <n v="617.03193588532395"/>
    <n v="654.75240264126717"/>
    <n v="695.38555291882835"/>
    <n v="739.80339725841611"/>
    <n v="788.08884267456131"/>
    <n v="840.30562627632787"/>
    <n v="897.36829320471111"/>
    <n v="959.35295184863753"/>
    <n v="1027.0626285169481"/>
  </r>
  <r>
    <x v="1"/>
    <x v="1"/>
    <x v="6"/>
    <n v="310.39437134328477"/>
    <n v="322.68632380017391"/>
    <n v="336.00780714497256"/>
    <n v="350.03837045201408"/>
    <n v="364.83239590443054"/>
    <n v="380.57260677962006"/>
    <n v="397.4815623158853"/>
    <n v="415.8440925207351"/>
    <n v="435.53103332727471"/>
    <n v="456.65203821791897"/>
    <n v="479.39070606800772"/>
    <n v="504.06498730849836"/>
    <n v="530.88617666799894"/>
  </r>
  <r>
    <x v="1"/>
    <x v="1"/>
    <x v="7"/>
    <n v="199.69806234329613"/>
    <n v="209.97842708590827"/>
    <n v="221.15841820126312"/>
    <n v="233.15113498297382"/>
    <n v="246.03346742273669"/>
    <n v="259.95108041705623"/>
    <n v="274.82705764121511"/>
    <n v="290.96261814993159"/>
    <n v="308.47740543732175"/>
    <n v="327.37389160823358"/>
    <n v="347.89941016683736"/>
    <n v="370.20462992993959"/>
    <n v="394.52795538977188"/>
  </r>
  <r>
    <x v="1"/>
    <x v="2"/>
    <x v="8"/>
    <n v="1227.8993667507357"/>
    <n v="1279.7677452018693"/>
    <n v="1339.2666442870691"/>
    <n v="1402.5262254201975"/>
    <n v="1470.7324435255723"/>
    <n v="1543.5240034506116"/>
    <n v="1620.023241948199"/>
    <n v="1703.1027751490087"/>
    <n v="1791.630201148485"/>
    <n v="1887.0824215560463"/>
    <n v="1988.994987505745"/>
    <n v="2098.003759699217"/>
    <n v="2216.8600046630318"/>
  </r>
  <r>
    <x v="1"/>
    <x v="2"/>
    <x v="9"/>
    <n v="1324.9840390800859"/>
    <n v="1410.4551842705791"/>
    <n v="1503.067580461872"/>
    <n v="1602.8684905853984"/>
    <n v="1710.4265257135878"/>
    <n v="1826.7548798966118"/>
    <n v="1952.9634449759399"/>
    <n v="2090.0293412675956"/>
    <n v="2239.7787889168908"/>
    <n v="2402.365552930587"/>
    <n v="2579.3143364560328"/>
    <n v="2772.7920730844335"/>
    <n v="2984.8871733850829"/>
  </r>
  <r>
    <x v="1"/>
    <x v="2"/>
    <x v="10"/>
    <n v="840.49489195850401"/>
    <n v="888.18334860789673"/>
    <n v="940.48863640863669"/>
    <n v="996.41514971940842"/>
    <n v="1056.2991258083482"/>
    <n v="1120.7642249472772"/>
    <n v="1190.7972936114495"/>
    <n v="1267.1977614859725"/>
    <n v="1349.9174681404943"/>
    <n v="1439.6305921647865"/>
    <n v="1537.1490495466403"/>
    <n v="1643.7838192038896"/>
    <n v="1760.8671425344658"/>
  </r>
  <r>
    <x v="1"/>
    <x v="2"/>
    <x v="11"/>
    <n v="349.61441227144098"/>
    <n v="367.29941372087239"/>
    <n v="386.43094258950151"/>
    <n v="406.8460823699736"/>
    <n v="428.62165280165209"/>
    <n v="452.01577755904293"/>
    <n v="477.19243476346981"/>
    <n v="504.36115688807513"/>
    <n v="533.76988885921412"/>
    <n v="565.72999377859492"/>
    <n v="600.37030864328369"/>
    <n v="637.82960118171457"/>
    <n v="678.81422839217089"/>
  </r>
  <r>
    <x v="1"/>
    <x v="3"/>
    <x v="12"/>
    <n v="973.06599419591066"/>
    <n v="1025.9181705108811"/>
    <n v="1085.803467740257"/>
    <n v="1150.1211901417182"/>
    <n v="1219.4525269314918"/>
    <n v="1293.8307262382014"/>
    <n v="1374.025956644959"/>
    <n v="1461.3958873555252"/>
    <n v="1555.3148974659239"/>
    <n v="1657.3106416885403"/>
    <n v="1766.6232638675008"/>
    <n v="1885.6893144053427"/>
    <n v="2016.8728680796414"/>
  </r>
  <r>
    <x v="1"/>
    <x v="3"/>
    <x v="13"/>
    <n v="955.80589828716018"/>
    <n v="1004.8720273688737"/>
    <n v="1057.8679469308615"/>
    <n v="1114.4657350894415"/>
    <n v="1175.1810699419052"/>
    <n v="1240.5332655345767"/>
    <n v="1310.3650291951899"/>
    <n v="1385.7934840003302"/>
    <n v="1467.7319015216819"/>
    <n v="1555.836677261671"/>
    <n v="1651.4629420346228"/>
    <n v="1754.9266093388594"/>
    <n v="1867.5425994553907"/>
  </r>
  <r>
    <x v="1"/>
    <x v="3"/>
    <x v="14"/>
    <n v="739.89162997496794"/>
    <n v="772.11613254227541"/>
    <n v="807.14778444030253"/>
    <n v="844.13352517228134"/>
    <n v="883.51532895971684"/>
    <n v="925.64404290104596"/>
    <n v="970.65215902661021"/>
    <n v="1019.8389747049375"/>
    <n v="1072.6974419323053"/>
    <n v="1129.6617733901685"/>
    <n v="1191.484750128624"/>
    <n v="1258.3140269805078"/>
    <n v="1331.1821831007264"/>
  </r>
  <r>
    <x v="1"/>
    <x v="3"/>
    <x v="15"/>
    <n v="1074.2291876027277"/>
    <n v="1142.7993613791873"/>
    <n v="1218.4346046356586"/>
    <n v="1299.9354976915367"/>
    <n v="1387.9308220160465"/>
    <n v="1483.0508511797198"/>
    <n v="1585.9332704322992"/>
    <n v="1697.6626887298592"/>
    <n v="1819.3521061451729"/>
    <n v="1951.9994680896345"/>
    <n v="2096.2577261209544"/>
    <n v="2253.4793024445444"/>
    <n v="2425.8308983389925"/>
  </r>
  <r>
    <x v="1"/>
    <x v="5"/>
    <x v="21"/>
    <n v="246.48382994357075"/>
    <n v="256.97444000646726"/>
    <n v="268.86815228858035"/>
    <n v="281.50548506374349"/>
    <n v="295.05563011564396"/>
    <n v="309.5221964397852"/>
    <n v="325.01711427843975"/>
    <n v="341.88769528892499"/>
    <n v="359.91105505658794"/>
    <n v="379.41989247950096"/>
    <n v="400.32882796288686"/>
    <n v="422.87133494328793"/>
    <n v="447.55653209666451"/>
  </r>
  <r>
    <x v="1"/>
    <x v="5"/>
    <x v="22"/>
    <n v="86.841438072523715"/>
    <n v="89.858906762254719"/>
    <n v="93.329431079212696"/>
    <n v="96.999954540144017"/>
    <n v="100.91902738531688"/>
    <n v="105.07793020826098"/>
    <n v="109.51168644298791"/>
    <n v="114.31936000994202"/>
    <n v="119.42675362357951"/>
    <n v="124.94523519966414"/>
    <n v="130.8189884201214"/>
    <n v="137.12266561340883"/>
    <n v="144.00828247253443"/>
  </r>
  <r>
    <x v="1"/>
    <x v="5"/>
    <x v="23"/>
    <n v="472.09904379592149"/>
    <n v="496.22979730665116"/>
    <n v="522.04657571409541"/>
    <n v="549.53789973774349"/>
    <n v="578.70911045732748"/>
    <n v="609.83695102006084"/>
    <n v="643.50931322381075"/>
    <n v="679.65268314813159"/>
    <n v="718.73569510793732"/>
    <n v="760.77877601960688"/>
    <n v="805.85570636020316"/>
    <n v="854.73606600191715"/>
    <n v="907.83104185825437"/>
  </r>
  <r>
    <x v="1"/>
    <x v="5"/>
    <x v="24"/>
    <n v="90.75474213663459"/>
    <n v="94.644040145626491"/>
    <n v="98.912184003897607"/>
    <n v="103.4281815902109"/>
    <n v="108.22040399495825"/>
    <n v="113.29131357192236"/>
    <n v="118.64403585228058"/>
    <n v="124.31122665381334"/>
    <n v="130.38438706609378"/>
    <n v="136.93542380456051"/>
    <n v="143.93820903667043"/>
    <n v="151.3847765317322"/>
    <n v="159.36323172408808"/>
  </r>
  <r>
    <x v="1"/>
    <x v="5"/>
    <x v="25"/>
    <n v="76.400363694834823"/>
    <n v="78.4703280487103"/>
    <n v="80.723144058142935"/>
    <n v="83.186409985276001"/>
    <n v="85.816179877702567"/>
    <n v="88.745730746610491"/>
    <n v="91.821736527128252"/>
    <n v="95.226342994261486"/>
    <n v="98.906949883122692"/>
    <n v="102.89252768942131"/>
    <n v="107.26356146156206"/>
    <n v="112.06178447137093"/>
    <n v="117.27511842975694"/>
  </r>
  <r>
    <x v="1"/>
    <x v="5"/>
    <x v="26"/>
    <n v="44.753331669062405"/>
    <n v="45.850133450185233"/>
    <n v="47.157622523027165"/>
    <n v="48.536430758414781"/>
    <n v="50.009428833160001"/>
    <n v="51.568969789236021"/>
    <n v="53.231024697563242"/>
    <n v="55.043046880736995"/>
    <n v="56.958191943221237"/>
    <n v="59.028039045830113"/>
    <n v="61.220256371332368"/>
    <n v="63.568931892377933"/>
    <n v="66.14263581644515"/>
  </r>
  <r>
    <x v="1"/>
    <x v="5"/>
    <x v="27"/>
    <n v="617.60152076174336"/>
    <n v="650.35892432346043"/>
    <n v="686.3948599308743"/>
    <n v="725.02640610097683"/>
    <n v="766.44450629701009"/>
    <n v="811.27986266032315"/>
    <n v="859.34382587395351"/>
    <n v="911.33473058441564"/>
    <n v="967.89982737608977"/>
    <n v="1028.8253952745938"/>
    <n v="1094.9481741788188"/>
    <n v="1166.8144757350371"/>
    <n v="1245.4575156706842"/>
  </r>
  <r>
    <x v="1"/>
    <x v="5"/>
    <x v="28"/>
    <n v="1284.0478734526662"/>
    <n v="1360.0565679731767"/>
    <n v="1445.772753323148"/>
    <n v="1537.8494755653765"/>
    <n v="1637.4087188553247"/>
    <n v="1744.797001476476"/>
    <n v="1861.0123108736771"/>
    <n v="1988.5015689775205"/>
    <n v="2126.2354182313084"/>
    <n v="2276.7456131052845"/>
    <n v="2439.9218100423627"/>
    <n v="2617.9107494725768"/>
    <n v="2814.3865056556992"/>
  </r>
  <r>
    <x v="1"/>
    <x v="5"/>
    <x v="29"/>
    <n v="824.01056653380931"/>
    <n v="873.26255378468511"/>
    <n v="926.0490808261012"/>
    <n v="982.58570475309182"/>
    <n v="1043.4967420327164"/>
    <n v="1108.9389299408685"/>
    <n v="1178.8853675292169"/>
    <n v="1254.4143802529054"/>
    <n v="1336.6380687771432"/>
    <n v="1425.2376578115525"/>
    <n v="1521.5331483177442"/>
    <n v="1625.9384685075456"/>
    <n v="1739.4076852506246"/>
  </r>
  <r>
    <x v="2"/>
    <x v="0"/>
    <x v="0"/>
    <n v="24.597646451144815"/>
    <n v="25.50966360043682"/>
    <n v="26.484569161373297"/>
    <n v="27.514336017245753"/>
    <n v="28.620396121217464"/>
    <n v="29.811624008182136"/>
    <n v="31.07890716033376"/>
    <n v="32.467307268376921"/>
    <n v="33.961589978420328"/>
    <n v="35.556000000282587"/>
    <n v="37.292908383484281"/>
    <n v="39.15121240428951"/>
    <n v="41.161119914128626"/>
  </r>
  <r>
    <x v="2"/>
    <x v="0"/>
    <x v="1"/>
    <n v="221.88618349242594"/>
    <n v="231.46477640603047"/>
    <n v="242.38358312720706"/>
    <n v="253.99114904649772"/>
    <n v="266.43523399442648"/>
    <n v="279.71057243160305"/>
    <n v="293.93820711810599"/>
    <n v="309.42038802054805"/>
    <n v="325.94946507816763"/>
    <n v="343.86389247921835"/>
    <n v="363.03591957940256"/>
    <n v="383.72012253899845"/>
    <n v="406.39541218253589"/>
  </r>
  <r>
    <x v="2"/>
    <x v="1"/>
    <x v="2"/>
    <n v="83.185160368366496"/>
    <n v="85.547957064423684"/>
    <n v="88.668602006289262"/>
    <n v="91.987119119193096"/>
    <n v="95.598024157468672"/>
    <n v="99.400572701286052"/>
    <n v="103.49830504152115"/>
    <n v="107.91516764065909"/>
    <n v="112.49059130050108"/>
    <n v="117.49871373788"/>
    <n v="122.63995057032764"/>
    <n v="128.01422698717806"/>
    <n v="133.98532530731427"/>
  </r>
  <r>
    <x v="2"/>
    <x v="1"/>
    <x v="3"/>
    <n v="52.386028890236403"/>
    <n v="55.320273459844188"/>
    <n v="58.434014943102447"/>
    <n v="61.757028915241861"/>
    <n v="65.325316507603574"/>
    <n v="69.145728310028304"/>
    <n v="73.208722135008742"/>
    <n v="77.576076630763936"/>
    <n v="82.324575023137996"/>
    <n v="87.416737368495859"/>
    <n v="92.939856201122154"/>
    <n v="98.907691309795581"/>
    <n v="105.36372590345314"/>
  </r>
  <r>
    <x v="2"/>
    <x v="1"/>
    <x v="4"/>
    <n v="45.86211491366241"/>
    <n v="48.494600291814166"/>
    <n v="51.380364455577322"/>
    <n v="54.442390824244626"/>
    <n v="57.712881250619958"/>
    <n v="61.232518769011051"/>
    <n v="65.014821037749854"/>
    <n v="69.210626819311088"/>
    <n v="73.734417260875929"/>
    <n v="78.647612880643905"/>
    <n v="84.026204346404839"/>
    <n v="89.926066556394701"/>
    <n v="96.411063054316841"/>
  </r>
  <r>
    <x v="2"/>
    <x v="1"/>
    <x v="5"/>
    <n v="30.252540844975723"/>
    <n v="31.659549400205186"/>
    <n v="33.198700258191337"/>
    <n v="34.815610987304588"/>
    <n v="36.527887008316725"/>
    <n v="38.3577177509096"/>
    <n v="40.309292327449832"/>
    <n v="42.471680940879494"/>
    <n v="44.785174141099013"/>
    <n v="47.281609657234938"/>
    <n v="50.000172809051804"/>
    <n v="52.966349280568416"/>
    <n v="56.209136211579782"/>
  </r>
  <r>
    <x v="2"/>
    <x v="1"/>
    <x v="6"/>
    <n v="23.100550708934158"/>
    <n v="23.826531644651084"/>
    <n v="24.598479931877996"/>
    <n v="25.411081463326365"/>
    <n v="26.259951080292311"/>
    <n v="27.155611379938694"/>
    <n v="28.12347566720095"/>
    <n v="29.152581546993154"/>
    <n v="30.257621689658727"/>
    <n v="31.435399646436213"/>
    <n v="32.68092816684922"/>
    <n v="34.022736255002549"/>
    <n v="35.470476086081582"/>
  </r>
  <r>
    <x v="2"/>
    <x v="1"/>
    <x v="7"/>
    <n v="11.697434217395571"/>
    <n v="12.125528145528969"/>
    <n v="12.587990693541986"/>
    <n v="13.092253754432967"/>
    <n v="13.631570111342752"/>
    <n v="14.230047528611497"/>
    <n v="14.86249806950922"/>
    <n v="15.561561710318223"/>
    <n v="16.318675641315192"/>
    <n v="17.139819188810087"/>
    <n v="18.041715869131238"/>
    <n v="19.034264554348599"/>
    <n v="20.116805533918853"/>
  </r>
  <r>
    <x v="2"/>
    <x v="2"/>
    <x v="8"/>
    <n v="91.159094389509193"/>
    <n v="93.605909350537843"/>
    <n v="96.873624758674737"/>
    <n v="100.35205683045547"/>
    <n v="104.12513186781075"/>
    <n v="108.134067842608"/>
    <n v="112.46977633767355"/>
    <n v="117.23534351247929"/>
    <n v="122.17125776449561"/>
    <n v="127.61177838653876"/>
    <n v="133.26631105940794"/>
    <n v="139.2669014174005"/>
    <n v="145.98672039060597"/>
  </r>
  <r>
    <x v="2"/>
    <x v="2"/>
    <x v="9"/>
    <n v="81.56239527977948"/>
    <n v="86.217710008300074"/>
    <n v="91.162337246349324"/>
    <n v="96.443605064867626"/>
    <n v="102.11875358302437"/>
    <n v="108.19968314555535"/>
    <n v="114.67268898410327"/>
    <n v="121.63572537524375"/>
    <n v="129.21066575482538"/>
    <n v="137.34053191817748"/>
    <n v="146.1641448187402"/>
    <n v="155.70523698962126"/>
    <n v="166.03442552138307"/>
  </r>
  <r>
    <x v="2"/>
    <x v="2"/>
    <x v="10"/>
    <n v="52.084411763858753"/>
    <n v="54.548960920616373"/>
    <n v="57.245058676355249"/>
    <n v="60.079469223988383"/>
    <n v="63.082893718724677"/>
    <n v="66.294044326612948"/>
    <n v="69.720642119648502"/>
    <n v="73.517245337640446"/>
    <n v="77.581353731560768"/>
    <n v="81.968737952786967"/>
    <n v="86.748077202440811"/>
    <n v="91.964491992317761"/>
    <n v="97.669336553132737"/>
  </r>
  <r>
    <x v="2"/>
    <x v="2"/>
    <x v="11"/>
    <n v="21.677928510423335"/>
    <n v="22.601859727012975"/>
    <n v="23.587131607201016"/>
    <n v="24.630353944432002"/>
    <n v="25.728850946084155"/>
    <n v="26.894401125008887"/>
    <n v="28.154006837014418"/>
    <n v="29.499381063561501"/>
    <n v="30.947777805706188"/>
    <n v="32.498844221997757"/>
    <n v="34.150294882297892"/>
    <n v="35.934704543948406"/>
    <n v="37.866049631542765"/>
  </r>
  <r>
    <x v="2"/>
    <x v="3"/>
    <x v="12"/>
    <n v="74.132776840583233"/>
    <n v="76.638901114126213"/>
    <n v="80.059351184359798"/>
    <n v="83.716223548359011"/>
    <n v="87.749544396392537"/>
    <n v="92.087475408339344"/>
    <n v="96.707889300533338"/>
    <n v="101.95963398027979"/>
    <n v="107.41412019533612"/>
    <n v="113.39759117644854"/>
    <n v="119.76182459216511"/>
    <n v="126.64040124067918"/>
    <n v="134.32911651124425"/>
  </r>
  <r>
    <x v="2"/>
    <x v="3"/>
    <x v="13"/>
    <n v="58.926422878895913"/>
    <n v="61.470703359578508"/>
    <n v="64.14919859953153"/>
    <n v="66.965406975359983"/>
    <n v="69.928184337407615"/>
    <n v="73.067376713854657"/>
    <n v="76.428981896180062"/>
    <n v="79.989306787362537"/>
    <n v="83.834867933729484"/>
    <n v="87.996814184415342"/>
    <n v="92.480858893480914"/>
    <n v="97.255914725200157"/>
    <n v="102.4477256430918"/>
  </r>
  <r>
    <x v="2"/>
    <x v="3"/>
    <x v="14"/>
    <n v="42.755666552574148"/>
    <n v="44.315048001824415"/>
    <n v="45.943434479257107"/>
    <n v="47.65839990168481"/>
    <n v="49.480829170393491"/>
    <n v="51.40775238335403"/>
    <n v="53.423955389923982"/>
    <n v="55.567119396147085"/>
    <n v="57.882646664163758"/>
    <n v="60.331931308638055"/>
    <n v="62.964903464589014"/>
    <n v="65.777656078367926"/>
    <n v="68.785884630692735"/>
  </r>
  <r>
    <x v="2"/>
    <x v="3"/>
    <x v="15"/>
    <n v="70.668963671517474"/>
    <n v="74.549787530938119"/>
    <n v="78.716168025431912"/>
    <n v="83.165454638339696"/>
    <n v="87.897072211450336"/>
    <n v="92.959591934237196"/>
    <n v="98.456287691802359"/>
    <n v="104.37163512513558"/>
    <n v="110.7794202633586"/>
    <n v="117.69355580999903"/>
    <n v="125.12124101265181"/>
    <n v="133.19736289904068"/>
    <n v="141.99380531163573"/>
  </r>
  <r>
    <x v="3"/>
    <x v="0"/>
    <x v="0"/>
    <n v="7.0592992293474399"/>
    <n v="7.2842291787338231"/>
    <n v="7.5338657440944816"/>
    <n v="7.7963878673593259"/>
    <n v="8.0735221908253507"/>
    <n v="8.3645863155465925"/>
    <n v="8.6688117582990856"/>
    <n v="8.9885077986091879"/>
    <n v="9.3294075745952671"/>
    <n v="9.6960095669720765"/>
    <n v="10.085305235874937"/>
    <n v="10.496122929443878"/>
    <n v="10.933104498454579"/>
  </r>
  <r>
    <x v="3"/>
    <x v="0"/>
    <x v="1"/>
    <n v="79.78213884317627"/>
    <n v="82.574677583520895"/>
    <n v="85.795565335118212"/>
    <n v="89.203566672784689"/>
    <n v="92.845505194491537"/>
    <n v="96.713343892714391"/>
    <n v="100.84287468468882"/>
    <n v="105.33085221133283"/>
    <n v="110.09734604898425"/>
    <n v="115.24922563269206"/>
    <n v="120.73368318424647"/>
    <n v="126.62654268396496"/>
    <n v="133.07517797407985"/>
  </r>
  <r>
    <x v="3"/>
    <x v="1"/>
    <x v="2"/>
    <n v="33.043072182838245"/>
    <n v="33.831715755980127"/>
    <n v="34.905757157112603"/>
    <n v="36.03082062094439"/>
    <n v="37.24921300792046"/>
    <n v="38.499824903311278"/>
    <n v="39.837233128685682"/>
    <n v="41.265112263021834"/>
    <n v="42.729061794372555"/>
    <n v="44.312985202059096"/>
    <n v="45.906841625685871"/>
    <n v="47.556617801101567"/>
    <n v="49.369684044598088"/>
  </r>
  <r>
    <x v="3"/>
    <x v="1"/>
    <x v="3"/>
    <n v="17.573490484262457"/>
    <n v="18.361046323589566"/>
    <n v="19.222581683031279"/>
    <n v="20.126240174865138"/>
    <n v="21.081984820792698"/>
    <n v="22.102359106590665"/>
    <n v="23.189452497152399"/>
    <n v="24.394170886394285"/>
    <n v="25.681637882919038"/>
    <n v="27.069696340103611"/>
    <n v="28.580279661760748"/>
    <n v="30.227348134767308"/>
    <n v="32.026774620852088"/>
  </r>
  <r>
    <x v="3"/>
    <x v="1"/>
    <x v="4"/>
    <n v="15.085536921692048"/>
    <n v="15.768734369982452"/>
    <n v="16.507193213219303"/>
    <n v="17.311919719298032"/>
    <n v="18.175516832095568"/>
    <n v="19.131453941258702"/>
    <n v="20.148017448383104"/>
    <n v="21.270793896660368"/>
    <n v="22.490542394219091"/>
    <n v="23.817714777574757"/>
    <n v="25.278001651259469"/>
    <n v="26.888338960297517"/>
    <n v="28.651253213387399"/>
  </r>
  <r>
    <x v="3"/>
    <x v="1"/>
    <x v="5"/>
    <n v="10.951296784408832"/>
    <n v="11.413568243014508"/>
    <n v="11.899875900221074"/>
    <n v="12.410799955965627"/>
    <n v="12.947911213536155"/>
    <n v="13.516661044501005"/>
    <n v="14.125468389359803"/>
    <n v="14.769840750519412"/>
    <n v="15.465651935109008"/>
    <n v="16.218502903572453"/>
    <n v="17.029285776792609"/>
    <n v="17.892112672210502"/>
    <n v="18.829969147728072"/>
  </r>
  <r>
    <x v="3"/>
    <x v="1"/>
    <x v="6"/>
    <n v="6.493212124439129"/>
    <n v="6.6573862297225155"/>
    <n v="6.8275337869270922"/>
    <n v="7.0060041010200038"/>
    <n v="7.1955266525730934"/>
    <n v="7.3952374699595262"/>
    <n v="7.6025397155744949"/>
    <n v="7.8224674665480736"/>
    <n v="8.0609185754389561"/>
    <n v="8.3118283375065474"/>
    <n v="8.5815760121059412"/>
    <n v="8.8689196730598052"/>
    <n v="9.1752993652093071"/>
  </r>
  <r>
    <x v="3"/>
    <x v="1"/>
    <x v="7"/>
    <n v="3.6948295748830016"/>
    <n v="3.8264558399655479"/>
    <n v="3.9664893387013413"/>
    <n v="4.1141699680508248"/>
    <n v="4.2688748583989042"/>
    <n v="4.4323937426398103"/>
    <n v="4.6089752638324164"/>
    <n v="4.796974746798047"/>
    <n v="4.9989410415208706"/>
    <n v="5.2145076388476674"/>
    <n v="5.4430036925167613"/>
    <n v="5.689328371972123"/>
    <n v="5.9553020807594823"/>
  </r>
  <r>
    <x v="3"/>
    <x v="2"/>
    <x v="8"/>
    <n v="27.095948983760692"/>
    <n v="27.642364140867471"/>
    <n v="28.468828451966615"/>
    <n v="29.349080801662026"/>
    <n v="30.295892021072135"/>
    <n v="31.271048094102994"/>
    <n v="32.296199414255767"/>
    <n v="33.406813140447298"/>
    <n v="34.53027748998683"/>
    <n v="35.770956316896175"/>
    <n v="36.995551956966594"/>
    <n v="38.308997579873534"/>
    <n v="39.772432317076721"/>
  </r>
  <r>
    <x v="3"/>
    <x v="2"/>
    <x v="9"/>
    <n v="31.900688531211113"/>
    <n v="33.310890091861943"/>
    <n v="34.821395183244498"/>
    <n v="36.423539536862798"/>
    <n v="38.147392351649778"/>
    <n v="40.007086059252622"/>
    <n v="41.992968791110478"/>
    <n v="44.168287096414154"/>
    <n v="46.515955353805722"/>
    <n v="49.031353338103187"/>
    <n v="51.776055628998002"/>
    <n v="54.72514381078711"/>
    <n v="57.92468327730284"/>
  </r>
  <r>
    <x v="3"/>
    <x v="2"/>
    <x v="10"/>
    <n v="18.848362347799995"/>
    <n v="19.636898589248421"/>
    <n v="20.4662056244503"/>
    <n v="21.337236402347575"/>
    <n v="22.252645538462371"/>
    <n v="23.221753022402019"/>
    <n v="24.258963676071261"/>
    <n v="25.356487539259295"/>
    <n v="26.541510137711942"/>
    <n v="27.823548054141458"/>
    <n v="29.204025945544892"/>
    <n v="30.672739124160902"/>
    <n v="32.26899560374423"/>
  </r>
  <r>
    <x v="3"/>
    <x v="2"/>
    <x v="11"/>
    <n v="8.9964382097519167"/>
    <n v="9.268753940276877"/>
    <n v="9.5730018195512852"/>
    <n v="9.8900977992716115"/>
    <n v="10.223097474132601"/>
    <n v="10.578043032503341"/>
    <n v="10.963554561550396"/>
    <n v="11.387772233821268"/>
    <n v="11.83901064207503"/>
    <n v="12.319377490523326"/>
    <n v="12.843354888611907"/>
    <n v="13.415785098587278"/>
    <n v="14.042171274410629"/>
  </r>
  <r>
    <x v="3"/>
    <x v="3"/>
    <x v="12"/>
    <n v="24.497402859111503"/>
    <n v="25.246626126851581"/>
    <n v="26.308432899051553"/>
    <n v="27.43195381875104"/>
    <n v="28.620636166475876"/>
    <n v="29.854054631674231"/>
    <n v="31.18998047217552"/>
    <n v="32.638155885114884"/>
    <n v="34.119165343058313"/>
    <n v="35.775805227686547"/>
    <n v="37.459338114575786"/>
    <n v="39.276611685611925"/>
    <n v="41.325680415070849"/>
  </r>
  <r>
    <x v="3"/>
    <x v="3"/>
    <x v="13"/>
    <n v="21.313748466811859"/>
    <n v="21.987423555416882"/>
    <n v="22.707450756650296"/>
    <n v="23.466149579734825"/>
    <n v="24.281117988907241"/>
    <n v="25.15892323187283"/>
    <n v="26.090805226138002"/>
    <n v="27.11365638504607"/>
    <n v="28.213233050477662"/>
    <n v="29.383449423901734"/>
    <n v="30.658105201744842"/>
    <n v="32.018101158746916"/>
    <n v="33.486680704358989"/>
  </r>
  <r>
    <x v="3"/>
    <x v="3"/>
    <x v="14"/>
    <n v="16.666382117396029"/>
    <n v="17.076713930486129"/>
    <n v="17.516610451252365"/>
    <n v="17.979481299867828"/>
    <n v="18.47827391425152"/>
    <n v="19.017184571789294"/>
    <n v="19.588700652451713"/>
    <n v="20.219776166741038"/>
    <n v="20.89849623769198"/>
    <n v="21.619292963678085"/>
    <n v="22.406080684757228"/>
    <n v="23.243460246983862"/>
    <n v="24.14716500214497"/>
  </r>
  <r>
    <x v="3"/>
    <x v="3"/>
    <x v="15"/>
    <n v="24.363904629204328"/>
    <n v="25.548143149500124"/>
    <n v="26.796936972258475"/>
    <n v="28.12236984179032"/>
    <n v="29.538999315682254"/>
    <n v="31.047767772924637"/>
    <n v="32.64220009222268"/>
    <n v="34.347771573040013"/>
    <n v="36.195858992351567"/>
    <n v="38.166687584397778"/>
    <n v="40.295464419043533"/>
    <n v="42.584492522066128"/>
    <n v="45.048756350959628"/>
  </r>
  <r>
    <x v="4"/>
    <x v="0"/>
    <x v="0"/>
    <n v="42.556732360863819"/>
    <n v="44.492273190066314"/>
    <n v="46.528025075649772"/>
    <n v="48.684006210318032"/>
    <n v="50.984272631290558"/>
    <n v="53.429086997441331"/>
    <n v="56.005935767172751"/>
    <n v="58.757264409293249"/>
    <n v="61.735101217702237"/>
    <n v="64.903603588190478"/>
    <n v="68.320839125888256"/>
    <n v="71.988387394819938"/>
    <n v="75.929232514618576"/>
  </r>
  <r>
    <x v="4"/>
    <x v="0"/>
    <x v="1"/>
    <n v="429.54231143505768"/>
    <n v="451.73752411658484"/>
    <n v="475.51855063844562"/>
    <n v="500.85389352742544"/>
    <n v="527.72483782603695"/>
    <n v="556.40786402261949"/>
    <n v="587.50337745663796"/>
    <n v="620.89541873883832"/>
    <n v="657.00059389023511"/>
    <n v="695.87517243141644"/>
    <n v="737.5348672343149"/>
    <n v="782.74767860709721"/>
    <n v="831.90180934363582"/>
  </r>
  <r>
    <x v="4"/>
    <x v="1"/>
    <x v="2"/>
    <n v="162.90816001775539"/>
    <n v="170.83611719234921"/>
    <n v="179.14951094281031"/>
    <n v="187.79433074269878"/>
    <n v="196.76109755549129"/>
    <n v="205.93587097331221"/>
    <n v="215.98624665232467"/>
    <n v="226.3413934606603"/>
    <n v="237.39760975202938"/>
    <n v="249.07070860625561"/>
    <n v="261.00003378069255"/>
    <n v="273.56186683009378"/>
    <n v="286.92998799274073"/>
  </r>
  <r>
    <x v="4"/>
    <x v="1"/>
    <x v="3"/>
    <n v="96.543262833456126"/>
    <n v="101.63793234601307"/>
    <n v="107.15821104823911"/>
    <n v="113.18400155953051"/>
    <n v="119.67704404257533"/>
    <n v="126.86692626783206"/>
    <n v="134.55738602711995"/>
    <n v="143.06262395779311"/>
    <n v="152.33686152071283"/>
    <n v="162.46617298374235"/>
    <n v="173.64279922127068"/>
    <n v="186.00402898348017"/>
    <n v="199.59104112746624"/>
  </r>
  <r>
    <x v="4"/>
    <x v="1"/>
    <x v="4"/>
    <n v="81.666312549131789"/>
    <n v="86.924238822693482"/>
    <n v="92.605149650944455"/>
    <n v="98.716226151201738"/>
    <n v="105.26718719218788"/>
    <n v="112.32677483976254"/>
    <n v="120.03210665062645"/>
    <n v="128.38015571861342"/>
    <n v="137.47735954742168"/>
    <n v="147.35937705776155"/>
    <n v="158.05441083379287"/>
    <n v="169.75263195939112"/>
    <n v="182.5703444272747"/>
  </r>
  <r>
    <x v="4"/>
    <x v="1"/>
    <x v="5"/>
    <n v="60.479405648574705"/>
    <n v="63.803047044198244"/>
    <n v="67.326805201336597"/>
    <n v="71.084365499551325"/>
    <n v="75.11644253736111"/>
    <n v="79.430066399431908"/>
    <n v="84.013405832326654"/>
    <n v="88.936521241799056"/>
    <n v="94.286392788153492"/>
    <n v="100.01878538771808"/>
    <n v="106.23239643586061"/>
    <n v="112.94147756817449"/>
    <n v="120.19416052798516"/>
  </r>
  <r>
    <x v="4"/>
    <x v="1"/>
    <x v="6"/>
    <n v="45.350879608368565"/>
    <n v="46.834864133683659"/>
    <n v="48.487109915384167"/>
    <n v="50.212135395972972"/>
    <n v="52.025949030113736"/>
    <n v="53.959907929577689"/>
    <n v="56.058813920899112"/>
    <n v="58.365434986597272"/>
    <n v="60.821325460428646"/>
    <n v="63.438340576239121"/>
    <n v="66.292164257791612"/>
    <n v="69.409430746390541"/>
    <n v="72.820435147142518"/>
  </r>
  <r>
    <x v="4"/>
    <x v="1"/>
    <x v="7"/>
    <n v="25.151023138634923"/>
    <n v="26.193597767713456"/>
    <n v="27.319788955380758"/>
    <n v="28.546840388788155"/>
    <n v="29.861390099598097"/>
    <n v="31.317404610144411"/>
    <n v="32.861354140513932"/>
    <n v="34.566553782668457"/>
    <n v="36.416146039191311"/>
    <n v="38.425391407890174"/>
    <n v="40.633901830794763"/>
    <n v="43.066629914387001"/>
    <n v="45.725072635644985"/>
  </r>
  <r>
    <x v="4"/>
    <x v="2"/>
    <x v="8"/>
    <n v="152.58171137225338"/>
    <n v="159.624909532765"/>
    <n v="166.9003212105373"/>
    <n v="174.56207416607543"/>
    <n v="182.58272434928682"/>
    <n v="190.92260035511953"/>
    <n v="199.87298512831853"/>
    <n v="209.12206879609465"/>
    <n v="219.08848369426335"/>
    <n v="229.66036333874865"/>
    <n v="240.58297499515493"/>
    <n v="252.11635038070006"/>
    <n v="264.34340066116249"/>
  </r>
  <r>
    <x v="4"/>
    <x v="2"/>
    <x v="9"/>
    <n v="171.58791582423962"/>
    <n v="181.78168399965111"/>
    <n v="192.75768295830554"/>
    <n v="204.51899614089413"/>
    <n v="217.07378733254353"/>
    <n v="230.55165842797385"/>
    <n v="245.22000980063538"/>
    <n v="261.05480861873411"/>
    <n v="278.25488135331193"/>
    <n v="296.87192242573428"/>
    <n v="316.94143655915934"/>
    <n v="338.82283976266046"/>
    <n v="362.72122025214878"/>
  </r>
  <r>
    <x v="4"/>
    <x v="2"/>
    <x v="10"/>
    <n v="101.91533963139528"/>
    <n v="106.97858156763333"/>
    <n v="112.56678865298166"/>
    <n v="118.48054857154148"/>
    <n v="124.76968421459982"/>
    <n v="131.52365958784657"/>
    <n v="138.87005607147461"/>
    <n v="146.93910379197473"/>
    <n v="155.61385921368984"/>
    <n v="164.94858910069192"/>
    <n v="175.16622414920423"/>
    <n v="186.37366152577579"/>
    <n v="198.69329896659443"/>
  </r>
  <r>
    <x v="4"/>
    <x v="2"/>
    <x v="11"/>
    <n v="46.014076968033251"/>
    <n v="47.84462220660177"/>
    <n v="49.821782892270903"/>
    <n v="51.976280859232396"/>
    <n v="54.282914560897318"/>
    <n v="56.839032649120902"/>
    <n v="59.546262223382172"/>
    <n v="62.53670194132809"/>
    <n v="65.778470846672249"/>
    <n v="69.297901154431983"/>
    <n v="73.165070656684577"/>
    <n v="77.42321433278083"/>
    <n v="82.073121978348652"/>
  </r>
  <r>
    <x v="4"/>
    <x v="3"/>
    <x v="12"/>
    <n v="127.51070815605203"/>
    <n v="135.12163628376754"/>
    <n v="142.93949814678115"/>
    <n v="151.25292582746192"/>
    <n v="159.89732721935957"/>
    <n v="169.00241609756165"/>
    <n v="178.93660925956647"/>
    <n v="189.3040986171826"/>
    <n v="200.56654925222279"/>
    <n v="212.59924550840128"/>
    <n v="225.28056510093847"/>
    <n v="239.09743747857124"/>
    <n v="253.96074183480209"/>
  </r>
  <r>
    <x v="4"/>
    <x v="3"/>
    <x v="13"/>
    <n v="117.36990520145724"/>
    <n v="122.52954806055597"/>
    <n v="128.05565754888789"/>
    <n v="133.91610921389375"/>
    <n v="140.22121746381043"/>
    <n v="147.02261309593314"/>
    <n v="154.28447312522511"/>
    <n v="162.23884065212923"/>
    <n v="170.8224658816616"/>
    <n v="180.01793502727537"/>
    <n v="190.05088346858787"/>
    <n v="200.82925226059317"/>
    <n v="212.52156255790948"/>
  </r>
  <r>
    <x v="4"/>
    <x v="3"/>
    <x v="14"/>
    <n v="89.618526566367606"/>
    <n v="92.792043910901285"/>
    <n v="96.449451653645028"/>
    <n v="100.32013140434688"/>
    <n v="104.45699443754761"/>
    <n v="108.85131351052409"/>
    <n v="113.54367707579596"/>
    <n v="118.64337790549929"/>
    <n v="124.06086399126484"/>
    <n v="129.91693405340433"/>
    <n v="136.15257638773207"/>
    <n v="142.85374598170984"/>
    <n v="150.18725084796799"/>
  </r>
  <r>
    <x v="4"/>
    <x v="3"/>
    <x v="15"/>
    <n v="137.59990387204459"/>
    <n v="145.78656905142637"/>
    <n v="154.6019683647813"/>
    <n v="164.04873329204096"/>
    <n v="174.13357133660983"/>
    <n v="184.96060831604191"/>
    <n v="196.74455376322322"/>
    <n v="209.46636597332048"/>
    <n v="223.28581598278817"/>
    <n v="238.24466143052584"/>
    <n v="254.37168140294477"/>
    <n v="271.95563028104294"/>
    <n v="291.16148661757478"/>
  </r>
  <r>
    <x v="5"/>
    <x v="0"/>
    <x v="0"/>
    <n v="7.6967706926844706"/>
    <n v="7.9786567389446637"/>
    <n v="8.274028361320438"/>
    <n v="8.5830435207356128"/>
    <n v="8.9065392487850641"/>
    <n v="9.2480013176271356"/>
    <n v="9.6128684220729035"/>
    <n v="9.9976728344603973"/>
    <n v="10.412802550036854"/>
    <n v="10.861503410222694"/>
    <n v="11.343793180837901"/>
    <n v="11.855166883082617"/>
    <n v="12.410340530027067"/>
  </r>
  <r>
    <x v="5"/>
    <x v="0"/>
    <x v="1"/>
    <n v="83.057971443950123"/>
    <n v="86.665383406681826"/>
    <n v="90.638155642577175"/>
    <n v="94.845138069475283"/>
    <n v="99.313864746173181"/>
    <n v="104.04331225429522"/>
    <n v="109.03116743020767"/>
    <n v="114.31355381935293"/>
    <n v="119.97158451605692"/>
    <n v="126.07392039433782"/>
    <n v="132.59441585583252"/>
    <n v="139.5296096486496"/>
    <n v="146.95289119406101"/>
  </r>
  <r>
    <x v="5"/>
    <x v="1"/>
    <x v="2"/>
    <n v="31.534016564032058"/>
    <n v="32.690285053475016"/>
    <n v="33.969044274382526"/>
    <n v="35.306695257906782"/>
    <n v="36.697538994690348"/>
    <n v="38.140582024391435"/>
    <n v="39.63568883811098"/>
    <n v="41.15408159432873"/>
    <n v="42.758437704834535"/>
    <n v="44.494344000653982"/>
    <n v="46.312131174623218"/>
    <n v="48.184115269223398"/>
    <n v="50.123738566373248"/>
  </r>
  <r>
    <x v="5"/>
    <x v="1"/>
    <x v="3"/>
    <n v="19.42845721109402"/>
    <n v="20.441305702014738"/>
    <n v="21.512552099815991"/>
    <n v="22.652460239674308"/>
    <n v="23.873421121287787"/>
    <n v="25.176984238704534"/>
    <n v="26.558699992644016"/>
    <n v="28.040050011747574"/>
    <n v="29.647617105765466"/>
    <n v="31.366436275544856"/>
    <n v="33.226520086784802"/>
    <n v="35.23114390598775"/>
    <n v="37.39410990134639"/>
  </r>
  <r>
    <x v="5"/>
    <x v="1"/>
    <x v="4"/>
    <n v="15.630740441601127"/>
    <n v="16.435253569079322"/>
    <n v="17.346976792529375"/>
    <n v="18.321707321724329"/>
    <n v="19.371452315097525"/>
    <n v="20.497451787506517"/>
    <n v="21.710215146954614"/>
    <n v="23.03394196483756"/>
    <n v="24.455607603722488"/>
    <n v="26.002711763022408"/>
    <n v="27.668333160570018"/>
    <n v="29.47442846198657"/>
    <n v="31.460836555383331"/>
  </r>
  <r>
    <x v="5"/>
    <x v="1"/>
    <x v="5"/>
    <n v="11.808340301178067"/>
    <n v="12.34081416334754"/>
    <n v="12.92701432170086"/>
    <n v="13.548489706582213"/>
    <n v="14.209339044538018"/>
    <n v="14.909600755270523"/>
    <n v="15.649128177685407"/>
    <n v="16.433290019644645"/>
    <n v="17.273956070066259"/>
    <n v="18.181277796292289"/>
    <n v="19.151797931208737"/>
    <n v="20.185312971734927"/>
    <n v="21.292735106711433"/>
  </r>
  <r>
    <x v="5"/>
    <x v="1"/>
    <x v="6"/>
    <n v="7.9759691254989349"/>
    <n v="8.1983672851869809"/>
    <n v="8.4467075315507874"/>
    <n v="8.7074253466164091"/>
    <n v="8.9822935315815347"/>
    <n v="9.2703762540762682"/>
    <n v="9.5706553237157266"/>
    <n v="9.8855248688612569"/>
    <n v="10.22110661189118"/>
    <n v="10.58207431800858"/>
    <n v="10.964835253178256"/>
    <n v="11.367846499279063"/>
    <n v="11.795883026845605"/>
  </r>
  <r>
    <x v="5"/>
    <x v="1"/>
    <x v="7"/>
    <n v="4.3772184932303873"/>
    <n v="4.5380143725228947"/>
    <n v="4.7098889839180726"/>
    <n v="4.8914037177068526"/>
    <n v="5.0863589877630391"/>
    <n v="5.2963185119730678"/>
    <n v="5.5196483731698454"/>
    <n v="5.7643381943935799"/>
    <n v="6.0276619698138658"/>
    <n v="6.3085796510384018"/>
    <n v="6.614591430305409"/>
    <n v="6.9419294235204756"/>
    <n v="7.2959285674280814"/>
  </r>
  <r>
    <x v="5"/>
    <x v="2"/>
    <x v="8"/>
    <n v="28.763453686466633"/>
    <n v="29.735262763060902"/>
    <n v="30.852629780834349"/>
    <n v="32.021830634705267"/>
    <n v="33.266952188050169"/>
    <n v="34.565638006861349"/>
    <n v="35.866498206252885"/>
    <n v="37.205400025654427"/>
    <n v="38.615720015100308"/>
    <n v="40.148196974658092"/>
    <n v="41.783594403129896"/>
    <n v="43.445651721179161"/>
    <n v="45.17008913377208"/>
  </r>
  <r>
    <x v="5"/>
    <x v="2"/>
    <x v="9"/>
    <n v="32.622787348534651"/>
    <n v="34.279424408271012"/>
    <n v="36.053497033987817"/>
    <n v="37.94231156402374"/>
    <n v="39.944151114539089"/>
    <n v="42.079647605128407"/>
    <n v="44.393860109562958"/>
    <n v="46.877563804943868"/>
    <n v="49.561772657426765"/>
    <n v="52.450212726877723"/>
    <n v="55.543539507890401"/>
    <n v="58.899059560128244"/>
    <n v="62.545307304699385"/>
  </r>
  <r>
    <x v="5"/>
    <x v="2"/>
    <x v="10"/>
    <n v="21.092032087481204"/>
    <n v="22.040126183031504"/>
    <n v="23.083907834535719"/>
    <n v="24.190389291349945"/>
    <n v="25.366862696418213"/>
    <n v="26.613367642978314"/>
    <n v="27.929613314166662"/>
    <n v="29.325152520914187"/>
    <n v="30.821134011459314"/>
    <n v="32.435629096112308"/>
    <n v="34.162421102616484"/>
    <n v="36.001100667843062"/>
    <n v="37.971083773689955"/>
  </r>
  <r>
    <x v="5"/>
    <x v="2"/>
    <x v="11"/>
    <n v="8.2764690141521022"/>
    <n v="8.5892267912630729"/>
    <n v="8.9221493545397195"/>
    <n v="9.27365010013194"/>
    <n v="9.6424379959507789"/>
    <n v="10.03266031695429"/>
    <n v="10.454064222298079"/>
    <n v="10.903110302300842"/>
    <n v="11.385760382107387"/>
    <n v="11.901385006912397"/>
    <n v="12.448654023033658"/>
    <n v="13.038964582581743"/>
    <n v="13.676751511926655"/>
  </r>
  <r>
    <x v="5"/>
    <x v="3"/>
    <x v="12"/>
    <n v="22.228202028296536"/>
    <n v="23.506526649987222"/>
    <n v="24.852476177181586"/>
    <n v="26.293925863288763"/>
    <n v="27.823465867103778"/>
    <n v="29.414394586846015"/>
    <n v="31.037368302086975"/>
    <n v="32.602363301155023"/>
    <n v="34.299623170146404"/>
    <n v="36.13636694416779"/>
    <n v="38.038659280714313"/>
    <n v="39.942940062901968"/>
    <n v="41.855572644726493"/>
  </r>
  <r>
    <x v="5"/>
    <x v="3"/>
    <x v="13"/>
    <n v="24.369755269678009"/>
    <n v="25.204426588230987"/>
    <n v="26.168596664512336"/>
    <n v="27.188402309983168"/>
    <n v="28.277991563882587"/>
    <n v="29.434762473591128"/>
    <n v="30.669459735553271"/>
    <n v="32.0113374836193"/>
    <n v="33.435868605144549"/>
    <n v="34.975326191867921"/>
    <n v="36.613432153387869"/>
    <n v="38.372963346336398"/>
    <n v="40.298313422499675"/>
  </r>
  <r>
    <x v="5"/>
    <x v="3"/>
    <x v="14"/>
    <n v="18.609104984496977"/>
    <n v="19.127947263740513"/>
    <n v="19.710143191194071"/>
    <n v="20.315950240448039"/>
    <n v="20.951470213423917"/>
    <n v="21.628868489290795"/>
    <n v="22.365468137070476"/>
    <n v="23.17745223397803"/>
    <n v="24.040502537753071"/>
    <n v="24.958530722136096"/>
    <n v="25.960480890922266"/>
    <n v="27.055544908254191"/>
    <n v="28.254161055742696"/>
  </r>
  <r>
    <x v="5"/>
    <x v="3"/>
    <x v="15"/>
    <n v="25.547679854163064"/>
    <n v="26.805139643667768"/>
    <n v="28.180967971009611"/>
    <n v="29.62990317649092"/>
    <n v="31.167476350547972"/>
    <n v="32.813288022194413"/>
    <n v="34.571739677569859"/>
    <n v="36.520073635060982"/>
    <n v="38.608392753049756"/>
    <n v="40.865199946388707"/>
    <n v="43.325636711645991"/>
    <n v="46.01332821423965"/>
    <n v="48.955184601119221"/>
  </r>
  <r>
    <x v="6"/>
    <x v="0"/>
    <x v="0"/>
    <n v="6.4592528997697336"/>
    <n v="6.630214035096377"/>
    <n v="6.8216649935187874"/>
    <n v="7.0225651484776161"/>
    <n v="7.2343039636903264"/>
    <n v="7.4560816421383773"/>
    <n v="7.6870364127014712"/>
    <n v="7.9290518452053487"/>
    <n v="8.1869909219554415"/>
    <n v="8.4645300558390613"/>
    <n v="8.7587130658977213"/>
    <n v="9.0682371280144061"/>
    <n v="9.3968461835199744"/>
  </r>
  <r>
    <x v="6"/>
    <x v="0"/>
    <x v="1"/>
    <n v="69.941110795065086"/>
    <n v="71.840114013613928"/>
    <n v="73.901479064624155"/>
    <n v="76.16384483679839"/>
    <n v="78.58187591401223"/>
    <n v="81.289649104472119"/>
    <n v="84.134700114426778"/>
    <n v="87.297291149056136"/>
    <n v="90.719958961167251"/>
    <n v="94.427997633582251"/>
    <n v="98.504848395664339"/>
    <n v="102.99354734335652"/>
    <n v="107.87827224623697"/>
  </r>
  <r>
    <x v="6"/>
    <x v="1"/>
    <x v="2"/>
    <n v="26.471979788563942"/>
    <n v="26.805081532432503"/>
    <n v="27.17096022367739"/>
    <n v="27.592801443957946"/>
    <n v="28.070472437996507"/>
    <n v="28.631969230507991"/>
    <n v="29.191747330193223"/>
    <n v="29.875144982540405"/>
    <n v="30.61459193382143"/>
    <n v="31.431396848787287"/>
    <n v="32.354737593957282"/>
    <n v="33.361678389534916"/>
    <n v="34.46268388033414"/>
  </r>
  <r>
    <x v="6"/>
    <x v="1"/>
    <x v="3"/>
    <n v="15.470613302525997"/>
    <n v="16.064148742162271"/>
    <n v="16.705254082201037"/>
    <n v="17.397606455156147"/>
    <n v="18.124377190170783"/>
    <n v="18.924315273233898"/>
    <n v="19.780665012190223"/>
    <n v="20.705575285861912"/>
    <n v="21.705263329399745"/>
    <n v="22.787956310967605"/>
    <n v="23.966958154930506"/>
    <n v="25.262124744759472"/>
    <n v="26.674240315209151"/>
  </r>
  <r>
    <x v="6"/>
    <x v="1"/>
    <x v="4"/>
    <n v="13.51911736007845"/>
    <n v="14.098656799993666"/>
    <n v="14.726747773101696"/>
    <n v="15.407533858445108"/>
    <n v="16.124860199020311"/>
    <n v="16.916831022294939"/>
    <n v="17.766566102979777"/>
    <n v="18.687553892458823"/>
    <n v="19.684741568179025"/>
    <n v="20.766645320168944"/>
    <n v="21.947627920876922"/>
    <n v="23.249737008946521"/>
    <n v="24.672315504192426"/>
  </r>
  <r>
    <x v="6"/>
    <x v="1"/>
    <x v="5"/>
    <n v="10.720923711725366"/>
    <n v="11.077643657799264"/>
    <n v="11.460341931291229"/>
    <n v="11.874788379525464"/>
    <n v="12.314621812450319"/>
    <n v="12.798118973293606"/>
    <n v="13.304144301171359"/>
    <n v="13.853025110330663"/>
    <n v="14.446524722711098"/>
    <n v="15.074941581466094"/>
    <n v="15.757931315942404"/>
    <n v="16.510963214866713"/>
    <n v="17.31859702512028"/>
  </r>
  <r>
    <x v="6"/>
    <x v="1"/>
    <x v="6"/>
    <n v="7.0937623976824566"/>
    <n v="7.2121587477503279"/>
    <n v="7.3524021622214581"/>
    <n v="7.50380850016015"/>
    <n v="7.6633848630788384"/>
    <n v="7.8369113178331009"/>
    <n v="8.0168666897300866"/>
    <n v="8.208849128786003"/>
    <n v="8.4142007539888883"/>
    <n v="8.6364434883692116"/>
    <n v="8.8744686628898588"/>
    <n v="9.1320473898854129"/>
    <n v="9.4058162538512153"/>
  </r>
  <r>
    <x v="6"/>
    <x v="1"/>
    <x v="7"/>
    <n v="3.1239671342586153"/>
    <n v="3.2126385685722654"/>
    <n v="3.3074378856501236"/>
    <n v="3.4098713480311909"/>
    <n v="3.5184633749858061"/>
    <n v="3.6375849294469624"/>
    <n v="3.7617470908635831"/>
    <n v="3.8961945942836889"/>
    <n v="4.0416275750225008"/>
    <n v="4.1951441396621769"/>
    <n v="4.3618378129650974"/>
    <n v="4.5452337233778959"/>
    <n v="4.7414654510497352"/>
  </r>
  <r>
    <x v="6"/>
    <x v="2"/>
    <x v="8"/>
    <n v="24.689047457703175"/>
    <n v="25.029230001108459"/>
    <n v="25.40721306370704"/>
    <n v="25.815863654219186"/>
    <n v="26.242587806601449"/>
    <n v="26.725388336219083"/>
    <n v="27.209579392681306"/>
    <n v="27.750090000204594"/>
    <n v="28.345704281057991"/>
    <n v="28.996351291030564"/>
    <n v="29.701133360781427"/>
    <n v="30.451748786881836"/>
    <n v="31.26277382685025"/>
  </r>
  <r>
    <x v="6"/>
    <x v="2"/>
    <x v="9"/>
    <n v="27.365589854512812"/>
    <n v="28.327374707725195"/>
    <n v="29.386302039412854"/>
    <n v="30.549700976446644"/>
    <n v="31.803476262676568"/>
    <n v="33.202420703626593"/>
    <n v="34.69742453031516"/>
    <n v="36.372148005996088"/>
    <n v="38.173757269364259"/>
    <n v="40.125854511086338"/>
    <n v="42.274765834774513"/>
    <n v="44.665133878101038"/>
    <n v="47.295248112138921"/>
  </r>
  <r>
    <x v="6"/>
    <x v="2"/>
    <x v="10"/>
    <n v="16.602113654538808"/>
    <n v="17.159767275622013"/>
    <n v="17.750808390356838"/>
    <n v="18.396892493955278"/>
    <n v="19.085518404801054"/>
    <n v="19.846379718961519"/>
    <n v="20.64390364331334"/>
    <n v="21.509682222013044"/>
    <n v="22.444333695558029"/>
    <n v="23.451587978038585"/>
    <n v="24.557768567977984"/>
    <n v="25.767447047921717"/>
    <n v="27.062308904685455"/>
  </r>
  <r>
    <x v="6"/>
    <x v="2"/>
    <x v="11"/>
    <n v="7.7436127280800333"/>
    <n v="7.9539560642546334"/>
    <n v="8.1788205646662018"/>
    <n v="8.4239528606548895"/>
    <n v="8.6845974036234992"/>
    <n v="8.9715419878032954"/>
    <n v="9.2708289608184451"/>
    <n v="9.5944227660477619"/>
    <n v="9.9431546371424098"/>
    <n v="10.318733909265834"/>
    <n v="10.729893698028128"/>
    <n v="11.177454758466345"/>
    <n v="11.654787586082321"/>
  </r>
  <r>
    <x v="6"/>
    <x v="3"/>
    <x v="12"/>
    <n v="19.9010644062488"/>
    <n v="20.310026948138741"/>
    <n v="20.753415397029585"/>
    <n v="21.27972128416944"/>
    <n v="21.840217778875299"/>
    <n v="22.533656255380393"/>
    <n v="23.254354762349351"/>
    <n v="24.099150056460914"/>
    <n v="25.019945027917814"/>
    <n v="26.045656630427558"/>
    <n v="27.214542944242964"/>
    <n v="28.549265200743164"/>
    <n v="30.014724792485296"/>
  </r>
  <r>
    <x v="6"/>
    <x v="3"/>
    <x v="13"/>
    <n v="20.376621481502582"/>
    <n v="20.823305448592983"/>
    <n v="21.311897748711406"/>
    <n v="21.852861987208872"/>
    <n v="22.432349420031453"/>
    <n v="23.088000375571074"/>
    <n v="23.775304035257655"/>
    <n v="24.544662205691537"/>
    <n v="25.378615435874782"/>
    <n v="26.283195484781515"/>
    <n v="27.28048792710204"/>
    <n v="28.380934807996333"/>
    <n v="29.578537048991674"/>
  </r>
  <r>
    <x v="6"/>
    <x v="3"/>
    <x v="14"/>
    <n v="13.178955580557171"/>
    <n v="13.408130847857244"/>
    <n v="13.694973518439191"/>
    <n v="13.997766378011066"/>
    <n v="14.322720421588558"/>
    <n v="14.667128864395766"/>
    <n v="15.035069902638517"/>
    <n v="15.439394339983448"/>
    <n v="15.866139537311536"/>
    <n v="16.329133960113893"/>
    <n v="16.818603605895685"/>
    <n v="17.343279736129897"/>
    <n v="17.921051028418262"/>
  </r>
  <r>
    <x v="6"/>
    <x v="3"/>
    <x v="15"/>
    <n v="22.943722226526269"/>
    <n v="23.928864804121329"/>
    <n v="24.962857393962754"/>
    <n v="26.05606033588662"/>
    <n v="27.220892257207254"/>
    <n v="28.456945251263253"/>
    <n v="29.757007826882727"/>
    <n v="31.143136392125584"/>
    <n v="32.642249882018554"/>
    <n v="34.234541614098347"/>
    <n v="35.94992698432138"/>
    <n v="37.788304726501543"/>
    <n v="39.760805559861709"/>
  </r>
  <r>
    <x v="7"/>
    <x v="0"/>
    <x v="0"/>
    <n v="4.4962315338278049"/>
    <n v="4.5754694264991143"/>
    <n v="4.6744225597852651"/>
    <n v="4.7788653949427227"/>
    <n v="4.890922139883048"/>
    <n v="5.0096736969647981"/>
    <n v="5.1365175881085339"/>
    <n v="5.2758496422393844"/>
    <n v="5.4229071688489618"/>
    <n v="5.5824218902139435"/>
    <n v="5.7510608751355781"/>
    <n v="5.931815966941361"/>
    <n v="6.1308137722954292"/>
  </r>
  <r>
    <x v="7"/>
    <x v="0"/>
    <x v="1"/>
    <n v="40.257100135234602"/>
    <n v="41.274664023686121"/>
    <n v="42.483199963241901"/>
    <n v="43.757565363472061"/>
    <n v="45.118506693276956"/>
    <n v="46.559296092271225"/>
    <n v="48.09450710945471"/>
    <n v="49.767197238497609"/>
    <n v="51.535284774372272"/>
    <n v="53.445617155616169"/>
    <n v="55.469195496196789"/>
    <n v="57.637115925436575"/>
    <n v="60.011822044149717"/>
  </r>
  <r>
    <x v="7"/>
    <x v="1"/>
    <x v="2"/>
    <n v="14.942479270737518"/>
    <n v="15.160797306737098"/>
    <n v="15.489211576464111"/>
    <n v="15.826066777425694"/>
    <n v="16.188052113293892"/>
    <n v="16.551656644967643"/>
    <n v="16.947782539776654"/>
    <n v="17.374914572534081"/>
    <n v="17.806241220234583"/>
    <n v="18.277449240897703"/>
    <n v="18.744879876182836"/>
    <n v="19.225611914930425"/>
    <n v="19.765429034123997"/>
  </r>
  <r>
    <x v="7"/>
    <x v="1"/>
    <x v="3"/>
    <n v="9.6397355106454228"/>
    <n v="9.952279544379472"/>
    <n v="10.314802991228497"/>
    <n v="10.697923285733877"/>
    <n v="11.107094143844837"/>
    <n v="11.541151433559172"/>
    <n v="12.004171833883385"/>
    <n v="12.507447608364942"/>
    <n v="13.041177987954798"/>
    <n v="13.617784201952375"/>
    <n v="14.230696424386037"/>
    <n v="14.888569570015875"/>
    <n v="15.608384655392278"/>
  </r>
  <r>
    <x v="7"/>
    <x v="1"/>
    <x v="4"/>
    <n v="8.0372225330583156"/>
    <n v="8.3180915912640661"/>
    <n v="8.6216051470290029"/>
    <n v="8.9527424072594854"/>
    <n v="9.3067547058510751"/>
    <n v="9.6999889331143301"/>
    <n v="10.115085495718752"/>
    <n v="10.574150469195679"/>
    <n v="11.07115255480187"/>
    <n v="11.609963808067247"/>
    <n v="12.201709140981343"/>
    <n v="12.8528274849068"/>
    <n v="13.562587100160576"/>
  </r>
  <r>
    <x v="7"/>
    <x v="1"/>
    <x v="5"/>
    <n v="5.8352356457390924"/>
    <n v="6.0228457921770824"/>
    <n v="6.2181366133910494"/>
    <n v="6.4233791974326504"/>
    <n v="6.6412521490436482"/>
    <n v="6.8711866016057233"/>
    <n v="7.1109852008150538"/>
    <n v="7.3655264079964251"/>
    <n v="7.640629901642308"/>
    <n v="7.9309279339567258"/>
    <n v="8.2427780991811481"/>
    <n v="8.575383121085828"/>
    <n v="8.9305121935062424"/>
  </r>
  <r>
    <x v="7"/>
    <x v="1"/>
    <x v="6"/>
    <n v="3.6364831418822887"/>
    <n v="3.6777605668596722"/>
    <n v="3.7272552669341454"/>
    <n v="3.7777453485727595"/>
    <n v="3.8307222486200554"/>
    <n v="3.8879387652938204"/>
    <n v="3.9490588053335101"/>
    <n v="4.0220653008190146"/>
    <n v="4.0997457644155739"/>
    <n v="4.1841373909478632"/>
    <n v="4.2776085472352516"/>
    <n v="4.3809789691836016"/>
    <n v="4.4951721514650957"/>
  </r>
  <r>
    <x v="7"/>
    <x v="1"/>
    <x v="7"/>
    <n v="2.662175566999768"/>
    <n v="2.7183586487678442"/>
    <n v="2.7866109279803588"/>
    <n v="2.8585737419903134"/>
    <n v="2.9355534725064922"/>
    <n v="3.0170474106953327"/>
    <n v="3.1039408220358875"/>
    <n v="3.198942521826849"/>
    <n v="3.2992445141721127"/>
    <n v="3.4077764700082001"/>
    <n v="3.5225842833657546"/>
    <n v="3.6455608322554021"/>
    <n v="3.7805506817969534"/>
  </r>
  <r>
    <x v="7"/>
    <x v="2"/>
    <x v="8"/>
    <n v="15.185804815135928"/>
    <n v="15.344096776045099"/>
    <n v="15.611174435412316"/>
    <n v="15.896614647787999"/>
    <n v="16.213056827710474"/>
    <n v="16.549143101992193"/>
    <n v="16.905200386725568"/>
    <n v="17.316245715762207"/>
    <n v="17.734783602548305"/>
    <n v="18.186944727308983"/>
    <n v="18.65217954768449"/>
    <n v="19.15832625485038"/>
    <n v="19.7219829372332"/>
  </r>
  <r>
    <x v="7"/>
    <x v="2"/>
    <x v="9"/>
    <n v="16.055013002384481"/>
    <n v="16.585571275847517"/>
    <n v="17.200066208949938"/>
    <n v="17.849653592801065"/>
    <n v="18.543496211335725"/>
    <n v="19.27973018337342"/>
    <n v="20.065241932573137"/>
    <n v="20.918995330458674"/>
    <n v="21.824720977045843"/>
    <n v="22.803299401621118"/>
    <n v="23.843859981899538"/>
    <n v="24.961015378939955"/>
    <n v="26.183371904213168"/>
  </r>
  <r>
    <x v="7"/>
    <x v="2"/>
    <x v="10"/>
    <n v="9.4592217392808156"/>
    <n v="9.7641680736689658"/>
    <n v="10.082814631722103"/>
    <n v="10.41516097867466"/>
    <n v="10.762029084896032"/>
    <n v="11.127425935729367"/>
    <n v="11.51763888279147"/>
    <n v="11.928175803499785"/>
    <n v="12.37114878808417"/>
    <n v="12.84997811528658"/>
    <n v="13.364204033484299"/>
    <n v="13.908042418095391"/>
    <n v="14.498351682572439"/>
  </r>
  <r>
    <x v="7"/>
    <x v="2"/>
    <x v="11"/>
    <n v="4.0532921122611789"/>
    <n v="4.1562973246236492"/>
    <n v="4.2635672469428076"/>
    <n v="4.3750015391510599"/>
    <n v="4.4908467092177675"/>
    <n v="4.6126705681410431"/>
    <n v="4.7429434954730709"/>
    <n v="4.8796300310163288"/>
    <n v="5.0275385755429207"/>
    <n v="5.1878168016134261"/>
    <n v="5.3600128082640373"/>
    <n v="5.5415478404922087"/>
    <n v="5.7389292924263433"/>
  </r>
  <r>
    <x v="7"/>
    <x v="3"/>
    <x v="12"/>
    <n v="12.334588858000998"/>
    <n v="12.614756396280519"/>
    <n v="13.039154734558217"/>
    <n v="13.47045314172253"/>
    <n v="13.932626872918377"/>
    <n v="14.393422980620798"/>
    <n v="14.902307583946005"/>
    <n v="15.463380211466131"/>
    <n v="16.021579310649365"/>
    <n v="16.642804990390943"/>
    <n v="17.262832083090075"/>
    <n v="17.909954482838103"/>
    <n v="18.645477314395507"/>
  </r>
  <r>
    <x v="7"/>
    <x v="3"/>
    <x v="13"/>
    <n v="11.730584421342918"/>
    <n v="11.938197748898482"/>
    <n v="12.167898147527103"/>
    <n v="12.425374190865044"/>
    <n v="12.70239492362264"/>
    <n v="13.020018194663537"/>
    <n v="13.352626775192475"/>
    <n v="13.728324567126146"/>
    <n v="14.136797662337043"/>
    <n v="14.580982426099238"/>
    <n v="15.072670337002325"/>
    <n v="15.617024492834975"/>
    <n v="16.210073028717002"/>
  </r>
  <r>
    <x v="7"/>
    <x v="3"/>
    <x v="14"/>
    <n v="8.1401116121038601"/>
    <n v="8.2633422140164736"/>
    <n v="8.4085670935000714"/>
    <n v="8.5627404442884316"/>
    <n v="8.7266453313864201"/>
    <n v="8.9044942142671122"/>
    <n v="9.0927127267577923"/>
    <n v="9.2951660038754085"/>
    <n v="9.5166023909168374"/>
    <n v="9.7509482779785284"/>
    <n v="10.003094114552132"/>
    <n v="10.274474261604366"/>
    <n v="10.571246588790654"/>
  </r>
  <r>
    <x v="7"/>
    <x v="3"/>
    <x v="15"/>
    <n v="12.548046777614626"/>
    <n v="13.033837090989758"/>
    <n v="13.542002547441776"/>
    <n v="14.077862981538779"/>
    <n v="14.647761705232565"/>
    <n v="15.251034399684574"/>
    <n v="15.883377611666974"/>
    <n v="16.556176098269308"/>
    <n v="17.28321257931799"/>
    <n v="18.0533033513614"/>
    <n v="18.881659836687838"/>
    <n v="19.76747865510049"/>
    <n v="20.715838884541991"/>
  </r>
  <r>
    <x v="8"/>
    <x v="0"/>
    <x v="0"/>
    <n v="54.044429134482883"/>
    <n v="56.315159051185837"/>
    <n v="58.768152450348801"/>
    <n v="61.440798350147126"/>
    <n v="64.304694078319145"/>
    <n v="67.476363108568535"/>
    <n v="70.840967971881653"/>
    <n v="74.55687010991231"/>
    <n v="78.588276315383084"/>
    <n v="82.96862858239237"/>
    <n v="87.784019862111307"/>
    <n v="93.089056641836834"/>
    <n v="98.887761131007409"/>
  </r>
  <r>
    <x v="8"/>
    <x v="0"/>
    <x v="1"/>
    <n v="563.55709162726043"/>
    <n v="594.04376527227464"/>
    <n v="627.62670748052551"/>
    <n v="663.58560775082969"/>
    <n v="702.13981221869096"/>
    <n v="743.80349955175461"/>
    <n v="788.50285790207181"/>
    <n v="836.77786047450331"/>
    <n v="889.31155106070673"/>
    <n v="945.85676669220152"/>
    <n v="1007.1641543167076"/>
    <n v="1073.7254190932003"/>
    <n v="1146.5697545396768"/>
  </r>
  <r>
    <x v="8"/>
    <x v="1"/>
    <x v="2"/>
    <n v="216.74639429605452"/>
    <n v="226.4148347082629"/>
    <n v="237.25054476055891"/>
    <n v="248.66998384673946"/>
    <n v="260.82106549287255"/>
    <n v="273.87124897390481"/>
    <n v="287.66773781261202"/>
    <n v="302.33660454919709"/>
    <n v="318.30673742302702"/>
    <n v="334.99157391018434"/>
    <n v="352.90767888325468"/>
    <n v="372.04463605483068"/>
    <n v="392.97001946337195"/>
  </r>
  <r>
    <x v="8"/>
    <x v="1"/>
    <x v="3"/>
    <n v="137.29866431904125"/>
    <n v="145.14986772800722"/>
    <n v="153.67389849953679"/>
    <n v="162.99348297551094"/>
    <n v="173.06316952186489"/>
    <n v="184.22399937185637"/>
    <n v="196.20424569656873"/>
    <n v="209.47188067800053"/>
    <n v="223.97549724336346"/>
    <n v="239.85656809790771"/>
    <n v="257.4155336490013"/>
    <n v="276.8762092483417"/>
    <n v="298.32287929262117"/>
  </r>
  <r>
    <x v="8"/>
    <x v="1"/>
    <x v="4"/>
    <n v="105.34001339006116"/>
    <n v="112.62236686041459"/>
    <n v="120.67934643557608"/>
    <n v="129.3820844999062"/>
    <n v="138.80310009038851"/>
    <n v="148.98023287340141"/>
    <n v="159.95107825316802"/>
    <n v="171.81110373098048"/>
    <n v="184.73046291542457"/>
    <n v="198.87421543444123"/>
    <n v="214.27086731995712"/>
    <n v="230.98468890582362"/>
    <n v="249.20975481043823"/>
  </r>
  <r>
    <x v="8"/>
    <x v="1"/>
    <x v="5"/>
    <n v="75.186624024454758"/>
    <n v="79.540258213787268"/>
    <n v="84.223275154527926"/>
    <n v="89.235570550525978"/>
    <n v="94.579252077051052"/>
    <n v="100.30932064172224"/>
    <n v="106.54041372702255"/>
    <n v="113.25989512591823"/>
    <n v="120.55188092029813"/>
    <n v="128.43626029137567"/>
    <n v="136.92579678110562"/>
    <n v="146.17310884313468"/>
    <n v="156.26336581299643"/>
  </r>
  <r>
    <x v="8"/>
    <x v="1"/>
    <x v="6"/>
    <n v="53.801209195968326"/>
    <n v="55.990642291969714"/>
    <n v="58.323579504225279"/>
    <n v="60.790812418909361"/>
    <n v="63.38496067076273"/>
    <n v="66.134304479256798"/>
    <n v="69.104348556169029"/>
    <n v="72.273493705565627"/>
    <n v="75.682870500574296"/>
    <n v="79.330245389018359"/>
    <n v="83.208678518102602"/>
    <n v="87.396213827704059"/>
    <n v="91.925085539664607"/>
  </r>
  <r>
    <x v="8"/>
    <x v="1"/>
    <x v="7"/>
    <n v="29.228615536163293"/>
    <n v="30.640954521018671"/>
    <n v="32.244215576449314"/>
    <n v="33.954471809384899"/>
    <n v="35.792958444070365"/>
    <n v="37.760756320181521"/>
    <n v="39.876001828413266"/>
    <n v="42.18175279475355"/>
    <n v="44.652378373402335"/>
    <n v="47.336532151666482"/>
    <n v="50.219619027397513"/>
    <n v="53.339618855202467"/>
    <n v="56.766410751591827"/>
  </r>
  <r>
    <x v="8"/>
    <x v="2"/>
    <x v="8"/>
    <n v="203.84035270911221"/>
    <n v="212.6580261267992"/>
    <n v="222.16780562606584"/>
    <n v="232.33581079620802"/>
    <n v="243.11619739741161"/>
    <n v="254.86004403915297"/>
    <n v="267.23099460414323"/>
    <n v="280.46243544767242"/>
    <n v="294.91394180436191"/>
    <n v="310.13529140242667"/>
    <n v="326.65103129218778"/>
    <n v="344.56035669808875"/>
    <n v="363.89960900367532"/>
  </r>
  <r>
    <x v="8"/>
    <x v="2"/>
    <x v="9"/>
    <n v="221.07104864848765"/>
    <n v="234.73930766216327"/>
    <n v="249.8244432429484"/>
    <n v="266.0690359478408"/>
    <n v="283.58446732989376"/>
    <n v="302.60412166844878"/>
    <n v="323.12862019179693"/>
    <n v="345.40969735447953"/>
    <n v="369.76505634199134"/>
    <n v="396.134376248558"/>
    <n v="424.87287888524725"/>
    <n v="456.23630761840025"/>
    <n v="490.71554150491778"/>
  </r>
  <r>
    <x v="8"/>
    <x v="2"/>
    <x v="10"/>
    <n v="142.46216258813973"/>
    <n v="150.11064053381514"/>
    <n v="158.77074662180789"/>
    <n v="168.04424096966096"/>
    <n v="178.04505881279545"/>
    <n v="188.7891165612352"/>
    <n v="200.37782265417272"/>
    <n v="213.03977493543695"/>
    <n v="226.66118034951199"/>
    <n v="241.50286125493014"/>
    <n v="257.50810952191347"/>
    <n v="274.88848427606126"/>
    <n v="294.0240602861719"/>
  </r>
  <r>
    <x v="8"/>
    <x v="2"/>
    <x v="11"/>
    <n v="50.227956816003754"/>
    <n v="52.850950000682829"/>
    <n v="55.631864440052162"/>
    <n v="58.577318387267056"/>
    <n v="61.698782756909317"/>
    <n v="65.026580391486121"/>
    <n v="68.606388423840556"/>
    <n v="72.422822846826719"/>
    <n v="76.559648880224444"/>
    <n v="81.052866368678963"/>
    <n v="85.916154479470379"/>
    <n v="91.129327142486886"/>
    <n v="96.818304875919196"/>
  </r>
  <r>
    <x v="8"/>
    <x v="3"/>
    <x v="12"/>
    <n v="159.44156177997684"/>
    <n v="167.55857341549483"/>
    <n v="176.7179884805837"/>
    <n v="186.65781772455489"/>
    <n v="197.28281592085045"/>
    <n v="209.10650429945429"/>
    <n v="221.717622926491"/>
    <n v="235.35751292110672"/>
    <n v="250.41486750229581"/>
    <n v="266.33209335072479"/>
    <n v="283.74402301888676"/>
    <n v="302.90084508735549"/>
    <n v="323.88529897448109"/>
  </r>
  <r>
    <x v="8"/>
    <x v="3"/>
    <x v="13"/>
    <n v="148.82344534204228"/>
    <n v="156.66427663063135"/>
    <n v="164.96109304640731"/>
    <n v="173.79332295535508"/>
    <n v="183.25688145561512"/>
    <n v="193.3646633504942"/>
    <n v="204.08351573571719"/>
    <n v="215.57947771346963"/>
    <n v="228.058155614063"/>
    <n v="241.40598781637934"/>
    <n v="255.85533581723971"/>
    <n v="271.43316103901066"/>
    <n v="288.24758266672723"/>
  </r>
  <r>
    <x v="8"/>
    <x v="3"/>
    <x v="14"/>
    <n v="120.25726572907068"/>
    <n v="125.7189130551567"/>
    <n v="131.47842868631201"/>
    <n v="137.54484736391512"/>
    <n v="143.93827828257849"/>
    <n v="150.72220144680202"/>
    <n v="157.99395088749844"/>
    <n v="165.70761962511818"/>
    <n v="174.04520809006695"/>
    <n v="183.07531584821879"/>
    <n v="192.81419322486911"/>
    <n v="203.2014846631815"/>
    <n v="214.50397820752647"/>
  </r>
  <r>
    <x v="8"/>
    <x v="3"/>
    <x v="15"/>
    <n v="189.07924791065361"/>
    <n v="200.41716122217755"/>
    <n v="213.23734971757131"/>
    <n v="227.03041805715179"/>
    <n v="241.96653063796606"/>
    <n v="258.08649356357256"/>
    <n v="275.54873632424687"/>
    <n v="294.69012032472114"/>
    <n v="315.38159616966408"/>
    <n v="338.01199825927091"/>
    <n v="362.53462211782318"/>
    <n v="389.27898494548941"/>
    <n v="418.8206558219494"/>
  </r>
  <r>
    <x v="9"/>
    <x v="0"/>
    <x v="0"/>
    <n v="120.28275102539367"/>
    <n v="126.79201206812093"/>
    <n v="133.92067074855944"/>
    <n v="141.46195719421613"/>
    <n v="149.49541603149115"/>
    <n v="158.12154563247958"/>
    <n v="167.36941604280693"/>
    <n v="177.62120672266005"/>
    <n v="188.64775131625038"/>
    <n v="200.59858845502586"/>
    <n v="213.658523464246"/>
    <n v="227.95887674612956"/>
    <n v="243.64953425590028"/>
  </r>
  <r>
    <x v="9"/>
    <x v="0"/>
    <x v="1"/>
    <n v="1163.7651224272724"/>
    <n v="1233.2645559050557"/>
    <n v="1311.8520825745886"/>
    <n v="1396.3875183711602"/>
    <n v="1487.9133028238334"/>
    <n v="1586.6754558439964"/>
    <n v="1693.6428948308701"/>
    <n v="1810.8803622548605"/>
    <n v="1937.587666915058"/>
    <n v="2076.1470246502586"/>
    <n v="2226.2632865781165"/>
    <n v="2389.9518727264472"/>
    <n v="2570.7369713997991"/>
  </r>
  <r>
    <x v="9"/>
    <x v="1"/>
    <x v="2"/>
    <n v="458.08242648353803"/>
    <n v="481.1942669223024"/>
    <n v="508.61326227384484"/>
    <n v="537.58901948203049"/>
    <n v="568.67204805845427"/>
    <n v="601.27736672958804"/>
    <n v="636.51022794964024"/>
    <n v="674.61520362123247"/>
    <n v="714.80766127587003"/>
    <n v="758.53525755747341"/>
    <n v="804.36853883727872"/>
    <n v="853.30604663416602"/>
    <n v="907.21578096873736"/>
  </r>
  <r>
    <x v="9"/>
    <x v="1"/>
    <x v="3"/>
    <n v="276.13441869098608"/>
    <n v="294.67566362873652"/>
    <n v="315.64166745219558"/>
    <n v="338.32557669921044"/>
    <n v="363.01351297022546"/>
    <n v="389.80483103257495"/>
    <n v="418.97873448128536"/>
    <n v="451.09275259339938"/>
    <n v="486.00564351371122"/>
    <n v="524.36972665801761"/>
    <n v="566.17849678982986"/>
    <n v="612.01201202596087"/>
    <n v="662.85189788746743"/>
  </r>
  <r>
    <x v="9"/>
    <x v="1"/>
    <x v="4"/>
    <n v="220.02205396384363"/>
    <n v="235.35083359876015"/>
    <n v="252.1105469054109"/>
    <n v="270.54766742626185"/>
    <n v="290.64004759682012"/>
    <n v="313.01230182633338"/>
    <n v="337.27600166469711"/>
    <n v="364.29431987833294"/>
    <n v="394.06622262164899"/>
    <n v="426.92791266533294"/>
    <n v="463.51221995980501"/>
    <n v="504.34121879721289"/>
    <n v="549.70434739549478"/>
  </r>
  <r>
    <x v="9"/>
    <x v="1"/>
    <x v="5"/>
    <n v="164.10565699403696"/>
    <n v="174.41071770763841"/>
    <n v="185.56166218921527"/>
    <n v="197.54887734925177"/>
    <n v="210.57076124479474"/>
    <n v="224.75049254755359"/>
    <n v="240.08467108849132"/>
    <n v="256.9845321544272"/>
    <n v="275.42114003771422"/>
    <n v="295.43470374181442"/>
    <n v="317.4646204411747"/>
    <n v="341.44838108954201"/>
    <n v="367.75865500367132"/>
  </r>
  <r>
    <x v="9"/>
    <x v="1"/>
    <x v="6"/>
    <n v="95.085177588472348"/>
    <n v="99.466148329571539"/>
    <n v="104.2585356427895"/>
    <n v="109.29103627168193"/>
    <n v="114.61861031987273"/>
    <n v="120.3105102120042"/>
    <n v="126.37941445992703"/>
    <n v="133.10410283641073"/>
    <n v="140.29662637402842"/>
    <n v="148.05613145450457"/>
    <n v="156.50460832493718"/>
    <n v="165.72096477191005"/>
    <n v="175.79496475943915"/>
  </r>
  <r>
    <x v="9"/>
    <x v="1"/>
    <x v="7"/>
    <n v="70.618139731789128"/>
    <n v="74.958937786167837"/>
    <n v="79.587078859691857"/>
    <n v="84.547298336939974"/>
    <n v="89.893738665157315"/>
    <n v="95.641499128421955"/>
    <n v="101.78326122963608"/>
    <n v="108.41065789371787"/>
    <n v="115.63812440833541"/>
    <n v="123.42188102814164"/>
    <n v="131.89332568933708"/>
    <n v="141.08212615378494"/>
    <n v="151.06085964088936"/>
  </r>
  <r>
    <x v="9"/>
    <x v="2"/>
    <x v="8"/>
    <n v="397.91152628965119"/>
    <n v="414.01336476402798"/>
    <n v="434.91562871776068"/>
    <n v="457.12097635648252"/>
    <n v="481.56190421535098"/>
    <n v="507.78562340617646"/>
    <n v="535.28787140293844"/>
    <n v="566.4831222007208"/>
    <n v="598.99641156594475"/>
    <n v="634.79749571515504"/>
    <n v="673.33665788091707"/>
    <n v="714.83939701733721"/>
    <n v="761.33874126241017"/>
  </r>
  <r>
    <x v="9"/>
    <x v="2"/>
    <x v="9"/>
    <n v="454.31255495774155"/>
    <n v="486.76515627055039"/>
    <n v="522.00890607240672"/>
    <n v="560.13641059835197"/>
    <n v="601.25648156367515"/>
    <n v="645.81727632866614"/>
    <n v="694.67124579587733"/>
    <n v="747.88149392263654"/>
    <n v="806.14948125431863"/>
    <n v="869.77912380993587"/>
    <n v="939.03717486015501"/>
    <n v="1015.1584949758109"/>
    <n v="1098.967396233159"/>
  </r>
  <r>
    <x v="9"/>
    <x v="2"/>
    <x v="10"/>
    <n v="302.725947831638"/>
    <n v="322.48329344497159"/>
    <n v="343.84345117619984"/>
    <n v="366.83709402825696"/>
    <n v="391.50442467830811"/>
    <n v="418.10529318118535"/>
    <n v="447.15491616401039"/>
    <n v="478.64813004704064"/>
    <n v="512.98787357939523"/>
    <n v="550.31430497402175"/>
    <n v="590.74019481033179"/>
    <n v="634.9840518986307"/>
    <n v="683.4904339949702"/>
  </r>
  <r>
    <x v="9"/>
    <x v="2"/>
    <x v="11"/>
    <n v="129.09784437363544"/>
    <n v="136.79475349362684"/>
    <n v="145.00476735678083"/>
    <n v="153.75499458228509"/>
    <n v="163.08590839799032"/>
    <n v="173.08880856044814"/>
    <n v="183.89827751085087"/>
    <n v="195.48882280712252"/>
    <n v="208.10165183164986"/>
    <n v="221.85468860617172"/>
    <n v="236.80778249095897"/>
    <n v="252.92880558079807"/>
    <n v="270.58993416515978"/>
  </r>
  <r>
    <x v="9"/>
    <x v="3"/>
    <x v="12"/>
    <n v="312.23241038038213"/>
    <n v="329.08674071863675"/>
    <n v="349.55395654630411"/>
    <n v="371.59976342490995"/>
    <n v="395.76168734733187"/>
    <n v="421.6907356556294"/>
    <n v="450.20913717735402"/>
    <n v="482.24549554853911"/>
    <n v="516.20690881698397"/>
    <n v="553.84254991896432"/>
    <n v="594.03387245904696"/>
    <n v="638.06872005498144"/>
    <n v="687.91866696577927"/>
  </r>
  <r>
    <x v="9"/>
    <x v="3"/>
    <x v="13"/>
    <n v="347.72178218826139"/>
    <n v="367.54114346477695"/>
    <n v="389.38545967627084"/>
    <n v="412.82426014165895"/>
    <n v="438.00683229379939"/>
    <n v="465.2679622444324"/>
    <n v="494.57823527506383"/>
    <n v="526.292823234362"/>
    <n v="560.86069152026914"/>
    <n v="598.14896606360423"/>
    <n v="638.65421759913011"/>
    <n v="682.71413506511124"/>
    <n v="731.0117213905545"/>
  </r>
  <r>
    <x v="9"/>
    <x v="3"/>
    <x v="14"/>
    <n v="263.13348049221406"/>
    <n v="276.31350283042127"/>
    <n v="290.73586554990464"/>
    <n v="305.93669835594949"/>
    <n v="322.07829499884235"/>
    <n v="339.36553656941533"/>
    <n v="357.84678487725597"/>
    <n v="378.32452245422195"/>
    <n v="400.2867864471242"/>
    <n v="424.03276449517818"/>
    <n v="449.93150776361568"/>
    <n v="478.23367682100417"/>
    <n v="509.22488805893079"/>
  </r>
  <r>
    <x v="9"/>
    <x v="3"/>
    <x v="15"/>
    <n v="360.96020039180854"/>
    <n v="387.11518095934179"/>
    <n v="416.09747155066833"/>
    <n v="447.48875364285794"/>
    <n v="481.56190421535092"/>
    <n v="518.47276700699888"/>
    <n v="558.37815354400334"/>
    <n v="601.63872774039726"/>
    <n v="648.88103144693105"/>
    <n v="700.72133262753778"/>
    <n v="757.30221222057003"/>
    <n v="818.89421753147997"/>
    <n v="886.23122924043469"/>
  </r>
  <r>
    <x v="10"/>
    <x v="0"/>
    <x v="0"/>
    <n v="86.467447630845754"/>
    <n v="90.606776636827689"/>
    <n v="95.307024207059527"/>
    <n v="100.31939447053411"/>
    <n v="105.70621996791415"/>
    <n v="111.47020513357855"/>
    <n v="117.66439732709263"/>
    <n v="124.41529006071804"/>
    <n v="131.64656369997164"/>
    <n v="139.50103658289953"/>
    <n v="147.93488977465304"/>
    <n v="157.05925050357635"/>
    <n v="167.0789845893573"/>
  </r>
  <r>
    <x v="10"/>
    <x v="0"/>
    <x v="1"/>
    <n v="737.54311890296356"/>
    <n v="782.65577714785741"/>
    <n v="830.7420566190417"/>
    <n v="882.2663102825577"/>
    <n v="937.7905220648023"/>
    <n v="997.46872480728996"/>
    <n v="1061.2209702021241"/>
    <n v="1129.9990901921874"/>
    <n v="1204.9915050771715"/>
    <n v="1285.7366212286529"/>
    <n v="1373.5982585430911"/>
    <n v="1468.8792180039693"/>
    <n v="1572.3287006612672"/>
  </r>
  <r>
    <x v="10"/>
    <x v="1"/>
    <x v="2"/>
    <n v="263.31747313760172"/>
    <n v="277.99670894033818"/>
    <n v="293.07043782009998"/>
    <n v="309.04599998202639"/>
    <n v="326.09273188522388"/>
    <n v="344.09172239301529"/>
    <n v="362.81015868354814"/>
    <n v="382.46824057286517"/>
    <n v="403.81890507520234"/>
    <n v="426.31916048319738"/>
    <n v="450.52743582545259"/>
    <n v="476.36518501826845"/>
    <n v="503.67496173018094"/>
  </r>
  <r>
    <x v="10"/>
    <x v="1"/>
    <x v="3"/>
    <n v="187.85324522220233"/>
    <n v="200.68074505604307"/>
    <n v="214.43910367888847"/>
    <n v="229.26553472608489"/>
    <n v="245.32608405189163"/>
    <n v="262.68427464530066"/>
    <n v="281.34341778944088"/>
    <n v="301.5801466490131"/>
    <n v="323.74133495695702"/>
    <n v="347.7394459792813"/>
    <n v="373.97784691667562"/>
    <n v="402.58136084352486"/>
    <n v="433.79995523560581"/>
  </r>
  <r>
    <x v="10"/>
    <x v="1"/>
    <x v="4"/>
    <n v="133.66901888451235"/>
    <n v="142.7080390747939"/>
    <n v="152.92966001765222"/>
    <n v="163.99300403638151"/>
    <n v="176.03790038091924"/>
    <n v="189.11385776895193"/>
    <n v="203.35772718114521"/>
    <n v="219.04169293280094"/>
    <n v="236.09911311581783"/>
    <n v="254.84873681711929"/>
    <n v="275.28968310528091"/>
    <n v="297.70627228125852"/>
    <n v="322.57866641219624"/>
  </r>
  <r>
    <x v="10"/>
    <x v="1"/>
    <x v="5"/>
    <n v="122.16904288751275"/>
    <n v="129.29065470708073"/>
    <n v="136.97475892644923"/>
    <n v="145.20659248519618"/>
    <n v="154.12446879823221"/>
    <n v="163.80923792697897"/>
    <n v="174.24804387450641"/>
    <n v="185.72908550690099"/>
    <n v="198.21749215776779"/>
    <n v="211.72861698289728"/>
    <n v="226.56351361439351"/>
    <n v="242.65986308731999"/>
    <n v="260.26549748764938"/>
  </r>
  <r>
    <x v="10"/>
    <x v="1"/>
    <x v="6"/>
    <n v="67.857127452038611"/>
    <n v="70.822464570778465"/>
    <n v="73.98620340306212"/>
    <n v="77.338321605754089"/>
    <n v="80.870997507535535"/>
    <n v="84.621808971679982"/>
    <n v="88.676389177335352"/>
    <n v="93.009572680153951"/>
    <n v="97.676617596850051"/>
    <n v="102.67743761688851"/>
    <n v="108.0058383249178"/>
    <n v="113.76584917608324"/>
    <n v="120.00304433829983"/>
  </r>
  <r>
    <x v="10"/>
    <x v="1"/>
    <x v="7"/>
    <n v="49.144658949941437"/>
    <n v="51.763941435650779"/>
    <n v="54.648916979949291"/>
    <n v="57.736251917648651"/>
    <n v="61.044559408913912"/>
    <n v="64.618028234941704"/>
    <n v="68.449630823240881"/>
    <n v="72.585641911171294"/>
    <n v="77.08460587454816"/>
    <n v="81.924259932168766"/>
    <n v="87.168830531023744"/>
    <n v="92.859938101090677"/>
    <n v="99.085560046692592"/>
  </r>
  <r>
    <x v="10"/>
    <x v="2"/>
    <x v="8"/>
    <n v="286.67242704714329"/>
    <n v="302.11458174665722"/>
    <n v="318.06941824211037"/>
    <n v="335.07191753260167"/>
    <n v="353.32799685227781"/>
    <n v="372.71045026837896"/>
    <n v="392.88413707520965"/>
    <n v="414.12125630997286"/>
    <n v="437.23362093072592"/>
    <n v="461.77504340328323"/>
    <n v="488.02555300951485"/>
    <n v="515.85602984290585"/>
    <n v="545.36425513024551"/>
  </r>
  <r>
    <x v="10"/>
    <x v="2"/>
    <x v="9"/>
    <n v="288.50604563319467"/>
    <n v="308.44806584620864"/>
    <n v="329.85295047626715"/>
    <n v="352.93523716330935"/>
    <n v="377.95451996424981"/>
    <n v="405.01325577458658"/>
    <n v="434.12138483996495"/>
    <n v="465.71062175868889"/>
    <n v="500.32249795480067"/>
    <n v="537.82887855049296"/>
    <n v="578.86048037916885"/>
    <n v="623.61884110998415"/>
    <n v="672.49997927512004"/>
  </r>
  <r>
    <x v="10"/>
    <x v="2"/>
    <x v="10"/>
    <n v="175.30530031437138"/>
    <n v="185.46091201928948"/>
    <n v="196.6788548002271"/>
    <n v="208.63411775963323"/>
    <n v="221.43000865934241"/>
    <n v="235.24318497032601"/>
    <n v="250.32373708580045"/>
    <n v="266.93400928819352"/>
    <n v="284.895074633523"/>
    <n v="304.33535563877672"/>
    <n v="325.69802421312653"/>
    <n v="349.22380025308297"/>
    <n v="375.1892727689044"/>
  </r>
  <r>
    <x v="10"/>
    <x v="2"/>
    <x v="11"/>
    <n v="73.526793539099998"/>
    <n v="77.238994172529743"/>
    <n v="81.447857307496577"/>
    <n v="85.944432297547536"/>
    <n v="90.784216556846332"/>
    <n v="95.972038927576918"/>
    <n v="101.55610852824179"/>
    <n v="107.64849289605016"/>
    <n v="114.18687525809359"/>
    <n v="121.29838021899951"/>
    <n v="128.94909071593415"/>
    <n v="137.23979730157279"/>
    <n v="146.35417807635469"/>
  </r>
  <r>
    <x v="10"/>
    <x v="3"/>
    <x v="12"/>
    <n v="220.78727888725859"/>
    <n v="235.83438285759757"/>
    <n v="251.57919417440735"/>
    <n v="268.41840550850054"/>
    <n v="286.5442053621839"/>
    <n v="305.74806632269508"/>
    <n v="326.07068686045648"/>
    <n v="347.72609683422002"/>
    <n v="371.25213884731329"/>
    <n v="396.53852794132854"/>
    <n v="423.82760627384027"/>
    <n v="453.30313911166013"/>
    <n v="484.93758862665663"/>
  </r>
  <r>
    <x v="10"/>
    <x v="3"/>
    <x v="13"/>
    <n v="205.17363303716797"/>
    <n v="216.71300251219162"/>
    <n v="228.96069474236279"/>
    <n v="242.0338477353819"/>
    <n v="256.0741004948286"/>
    <n v="271.10894585416378"/>
    <n v="287.10162739086206"/>
    <n v="304.29505497152371"/>
    <n v="322.99120581812463"/>
    <n v="343.04402064334641"/>
    <n v="364.79695063694714"/>
    <n v="388.3051224430294"/>
    <n v="413.74040299254051"/>
  </r>
  <r>
    <x v="10"/>
    <x v="3"/>
    <x v="14"/>
    <n v="167.53213634018746"/>
    <n v="175.10049048787138"/>
    <n v="183.21030981679797"/>
    <n v="191.81750978376962"/>
    <n v="201.08182218970444"/>
    <n v="211.0795628512075"/>
    <n v="221.76183937721731"/>
    <n v="233.46454657937304"/>
    <n v="246.10019603601219"/>
    <n v="259.64692176082269"/>
    <n v="274.43330999169063"/>
    <n v="290.33070428327204"/>
    <n v="307.58655768051176"/>
  </r>
  <r>
    <x v="10"/>
    <x v="3"/>
    <x v="15"/>
    <n v="230.51751826919534"/>
    <n v="245.61467792702459"/>
    <n v="262.29888209253306"/>
    <n v="280.3159417254397"/>
    <n v="299.79661398599944"/>
    <n v="321.00235491280216"/>
    <n v="343.95121390068101"/>
    <n v="368.92868186778873"/>
    <n v="396.29452807569299"/>
    <n v="426.00818746605484"/>
    <n v="458.47528141526612"/>
    <n v="493.99950266958388"/>
    <n v="533.14313595091562"/>
  </r>
  <r>
    <x v="11"/>
    <x v="0"/>
    <x v="0"/>
    <n v="404.79861143295665"/>
    <n v="421.24051874719669"/>
    <n v="439.24658148832913"/>
    <n v="458.45896145646958"/>
    <n v="478.94067431113251"/>
    <n v="500.97671056349225"/>
    <n v="524.49194909968651"/>
    <n v="549.89148162944957"/>
    <n v="577.31004424777132"/>
    <n v="606.98616259159496"/>
    <n v="639.07648994435408"/>
    <n v="673.7396428949404"/>
    <n v="711.54242819033936"/>
  </r>
  <r>
    <x v="11"/>
    <x v="0"/>
    <x v="1"/>
    <n v="3978.993402648056"/>
    <n v="4179.6688317241014"/>
    <n v="4395.7937986581055"/>
    <n v="4626.3374958001259"/>
    <n v="4873.0831028353532"/>
    <n v="5137.9440558356418"/>
    <n v="5421.7252352970763"/>
    <n v="5728.3786172794125"/>
    <n v="6060.9728677600224"/>
    <n v="6419.6470236475225"/>
    <n v="6808.5177139429998"/>
    <n v="7229.5983598172388"/>
    <n v="7687.5040027283121"/>
  </r>
  <r>
    <x v="11"/>
    <x v="1"/>
    <x v="2"/>
    <n v="1444.5185715802886"/>
    <n v="1508.873388860231"/>
    <n v="1576.1243837216171"/>
    <n v="1646.5431470326353"/>
    <n v="1721.1031241115361"/>
    <n v="1799.2225332330786"/>
    <n v="1881.8085083957553"/>
    <n v="1969.0445225374931"/>
    <n v="2063.0726349275683"/>
    <n v="2161.7400682341031"/>
    <n v="2266.6249675908684"/>
    <n v="2377.8039494434006"/>
    <n v="2495.6144928560689"/>
  </r>
  <r>
    <x v="11"/>
    <x v="1"/>
    <x v="3"/>
    <n v="969.93855735907289"/>
    <n v="1023.5174854754464"/>
    <n v="1082.1715583082653"/>
    <n v="1145.4036676702046"/>
    <n v="1213.4355179382778"/>
    <n v="1287.3439298555929"/>
    <n v="1366.9035934738642"/>
    <n v="1453.7363722003574"/>
    <n v="1548.1235506884061"/>
    <n v="1651.2168269497197"/>
    <n v="1763.7958476878628"/>
    <n v="1886.8470995854195"/>
    <n v="2022.0628634889081"/>
  </r>
  <r>
    <x v="11"/>
    <x v="1"/>
    <x v="4"/>
    <n v="772.96934465287495"/>
    <n v="820.44660134195055"/>
    <n v="872.52287456027511"/>
    <n v="928.62335670332072"/>
    <n v="989.10348440828579"/>
    <n v="1054.6560466256424"/>
    <n v="1125.6101530537571"/>
    <n v="1202.8319480809366"/>
    <n v="1287.0231396253598"/>
    <n v="1379.0597869771996"/>
    <n v="1479.6727889555243"/>
    <n v="1589.4898120477194"/>
    <n v="1710.2618215099465"/>
  </r>
  <r>
    <x v="11"/>
    <x v="1"/>
    <x v="5"/>
    <n v="584.37626019385152"/>
    <n v="613.32240120114875"/>
    <n v="644.77366330933035"/>
    <n v="678.48524828267239"/>
    <n v="714.61304899949732"/>
    <n v="753.7267923003252"/>
    <n v="795.8027525050245"/>
    <n v="841.65667636338173"/>
    <n v="891.38332135103292"/>
    <n v="945.31688606022101"/>
    <n v="1004.1109722538118"/>
    <n v="1068.1134573475024"/>
    <n v="1138.1678995164993"/>
  </r>
  <r>
    <x v="11"/>
    <x v="1"/>
    <x v="6"/>
    <n v="389.90497592219106"/>
    <n v="403.14475598831586"/>
    <n v="417.45854754132091"/>
    <n v="432.58228533104403"/>
    <n v="448.65243461749287"/>
    <n v="465.84419486494147"/>
    <n v="484.08342188852589"/>
    <n v="503.84607809452018"/>
    <n v="525.10986369449188"/>
    <n v="547.98485627672585"/>
    <n v="572.7540735500188"/>
    <n v="599.3545510052918"/>
    <n v="628.16199068748961"/>
  </r>
  <r>
    <x v="11"/>
    <x v="1"/>
    <x v="7"/>
    <n v="222.08430437273373"/>
    <n v="231.6047176042058"/>
    <n v="241.98935270562623"/>
    <n v="253.15875223671833"/>
    <n v="265.1161670713966"/>
    <n v="278.12726951955295"/>
    <n v="292.00875507983557"/>
    <n v="307.15450163217105"/>
    <n v="323.57040172093525"/>
    <n v="341.31476174114846"/>
    <n v="360.6355538492661"/>
    <n v="381.72913328284528"/>
    <n v="404.77736285974049"/>
  </r>
  <r>
    <x v="11"/>
    <x v="2"/>
    <x v="8"/>
    <n v="1495.3154195322336"/>
    <n v="1560.6753904692041"/>
    <n v="1628.5779234119045"/>
    <n v="1700.137948635386"/>
    <n v="1776.2074645007906"/>
    <n v="1856.3935940916297"/>
    <n v="1941.1380725141162"/>
    <n v="2030.307833040795"/>
    <n v="2126.9370126828221"/>
    <n v="2229.3521859409529"/>
    <n v="2338.570335550703"/>
    <n v="2454.0138055831412"/>
    <n v="2576.9599375102698"/>
  </r>
  <r>
    <x v="11"/>
    <x v="2"/>
    <x v="9"/>
    <n v="1543.6160383280571"/>
    <n v="1630.0143886147853"/>
    <n v="1724.6143761883184"/>
    <n v="1826.1513372355394"/>
    <n v="1935.0933661510014"/>
    <n v="2053.1152484686477"/>
    <n v="2180.7881528283469"/>
    <n v="2320.7117508500796"/>
    <n v="2472.5717077040645"/>
    <n v="2637.9347579836954"/>
    <n v="2818.7544807698096"/>
    <n v="3017.0160444988869"/>
    <n v="3234.955969124283"/>
  </r>
  <r>
    <x v="11"/>
    <x v="2"/>
    <x v="10"/>
    <n v="956.31479269310034"/>
    <n v="1005.0982620387217"/>
    <n v="1058.5066739075414"/>
    <n v="1115.7219822850343"/>
    <n v="1177.103149144493"/>
    <n v="1243.3522533809387"/>
    <n v="1314.3041573348344"/>
    <n v="1391.2378755333689"/>
    <n v="1474.7224326069313"/>
    <n v="1564.9715776610135"/>
    <n v="1663.0197185862962"/>
    <n v="1769.5615187012165"/>
    <n v="1885.8274622202173"/>
  </r>
  <r>
    <x v="11"/>
    <x v="2"/>
    <x v="11"/>
    <n v="388.5457635276216"/>
    <n v="405.12130934858732"/>
    <n v="423.34140663867038"/>
    <n v="442.78518910063542"/>
    <n v="463.61979735020157"/>
    <n v="486.05967045791834"/>
    <n v="509.98680171946523"/>
    <n v="536.01263948461769"/>
    <n v="564.0517590139757"/>
    <n v="594.37466465345551"/>
    <n v="627.24966898054322"/>
    <n v="662.74663392893513"/>
    <n v="701.30306206388263"/>
  </r>
  <r>
    <x v="11"/>
    <x v="3"/>
    <x v="12"/>
    <n v="1109.4446505240971"/>
    <n v="1168.1549508712665"/>
    <n v="1229.7181777373387"/>
    <n v="1295.6262126853228"/>
    <n v="1366.2660281235585"/>
    <n v="1442.2807995727594"/>
    <n v="1523.2641531367176"/>
    <n v="1610.6028656358824"/>
    <n v="1705.6610526817926"/>
    <n v="1807.50003149749"/>
    <n v="1917.4115010149255"/>
    <n v="2036.1812831210359"/>
    <n v="2164.3366806198032"/>
  </r>
  <r>
    <x v="11"/>
    <x v="3"/>
    <x v="13"/>
    <n v="1141.0171066376554"/>
    <n v="1191.8598384848319"/>
    <n v="1247.3289005876491"/>
    <n v="1306.2672303014194"/>
    <n v="1369.0682865204105"/>
    <n v="1436.4009859148791"/>
    <n v="1508.4080924029986"/>
    <n v="1586.3085853687758"/>
    <n v="1670.4109449745388"/>
    <n v="1760.9816732205984"/>
    <n v="1859.2132096642845"/>
    <n v="1965.5986256539775"/>
    <n v="2081.3938653432124"/>
  </r>
  <r>
    <x v="11"/>
    <x v="3"/>
    <x v="14"/>
    <n v="846.54503221119262"/>
    <n v="878.99558435842698"/>
    <n v="914.27532028074052"/>
    <n v="951.47053725116996"/>
    <n v="990.86589446571224"/>
    <n v="1032.7419594634559"/>
    <n v="1077.4053178087674"/>
    <n v="1125.3675037583605"/>
    <n v="1176.911977575076"/>
    <n v="1232.4637095182181"/>
    <n v="1292.4305257944584"/>
    <n v="1356.8114406250763"/>
    <n v="1426.5809409364865"/>
  </r>
  <r>
    <x v="11"/>
    <x v="3"/>
    <x v="15"/>
    <n v="1286.7852247080673"/>
    <n v="1361.898976756773"/>
    <n v="1443.717981540706"/>
    <n v="1531.4324770186831"/>
    <n v="1625.8235680368059"/>
    <n v="1727.4970214480395"/>
    <n v="1837.1396210482792"/>
    <n v="1955.9911441458423"/>
    <n v="2085.2989367763867"/>
    <n v="2225.687772002811"/>
    <n v="2378.5389674136841"/>
    <n v="2544.7466533120901"/>
    <n v="2726.7349440191497"/>
  </r>
  <r>
    <x v="11"/>
    <x v="5"/>
    <x v="30"/>
    <n v="758.29422782025836"/>
    <n v="808.04956551805765"/>
    <n v="861.30279030873635"/>
    <n v="918.55244971200466"/>
    <n v="980.40585814703809"/>
    <n v="1047.1147331321476"/>
    <n v="1118.7297783885824"/>
    <n v="1196.2214072203387"/>
    <n v="1280.9399848551354"/>
    <n v="1372.5837401524434"/>
    <n v="1472.6086329898071"/>
    <n v="1581.4041993374735"/>
    <n v="1700.0077844677196"/>
  </r>
  <r>
    <x v="11"/>
    <x v="5"/>
    <x v="31"/>
    <n v="427.13997390069301"/>
    <n v="449.04602032250739"/>
    <n v="473.16223932593931"/>
    <n v="498.85892979004802"/>
    <n v="526.31051066820191"/>
    <n v="555.58198482195587"/>
    <n v="586.68702321515036"/>
    <n v="619.87161437541533"/>
    <n v="655.61703967233768"/>
    <n v="694.28810149542346"/>
    <n v="735.86306384518639"/>
    <n v="780.4100444717177"/>
    <n v="828.4223509794067"/>
  </r>
  <r>
    <x v="11"/>
    <x v="5"/>
    <x v="32"/>
    <n v="210.78245724088828"/>
    <n v="217.43077464317562"/>
    <n v="224.56429388965461"/>
    <n v="232.08380625440492"/>
    <n v="240.15042495521712"/>
    <n v="248.83564225869131"/>
    <n v="258.05380122422866"/>
    <n v="268.14805620895191"/>
    <n v="279.0057544417009"/>
    <n v="290.55886320987764"/>
    <n v="303.12690704274104"/>
    <n v="316.54521901607791"/>
    <n v="331.04315523073632"/>
  </r>
  <r>
    <x v="11"/>
    <x v="5"/>
    <x v="33"/>
    <n v="206.29984807255573"/>
    <n v="211.96553317118588"/>
    <n v="218.08353798726716"/>
    <n v="224.52476567890534"/>
    <n v="231.44859781190027"/>
    <n v="238.90398574152593"/>
    <n v="246.81574729072273"/>
    <n v="255.51688073339668"/>
    <n v="264.8578063574862"/>
    <n v="274.79985614136791"/>
    <n v="285.61334281869313"/>
    <n v="297.13950029032787"/>
    <n v="309.59513642196231"/>
  </r>
  <r>
    <x v="11"/>
    <x v="5"/>
    <x v="34"/>
    <n v="636.8729264293803"/>
    <n v="672.41639626708638"/>
    <n v="710.21188787999972"/>
    <n v="750.63519013862583"/>
    <n v="794.06673207807955"/>
    <n v="840.70894797477195"/>
    <n v="890.34869472957996"/>
    <n v="943.84505615230069"/>
    <n v="1002.033030764718"/>
    <n v="1064.5394824794814"/>
    <n v="1132.4429542979644"/>
    <n v="1205.9681083657847"/>
    <n v="1285.6239624515897"/>
  </r>
  <r>
    <x v="11"/>
    <x v="5"/>
    <x v="35"/>
    <n v="380.30777778529523"/>
    <n v="394.35049101555239"/>
    <n v="409.8451926879099"/>
    <n v="426.30817808093622"/>
    <n v="443.79318430916226"/>
    <n v="462.60638486104926"/>
    <n v="482.5624161835205"/>
    <n v="503.98791956120607"/>
    <n v="527.15504767805601"/>
    <n v="551.85140455048088"/>
    <n v="578.43737240215194"/>
    <n v="607.09540121931536"/>
    <n v="638.24525932889196"/>
  </r>
  <r>
    <x v="11"/>
    <x v="5"/>
    <x v="36"/>
    <n v="404.8846491095822"/>
    <n v="423.13877164961906"/>
    <n v="443.0351016841999"/>
    <n v="463.91814400120785"/>
    <n v="486.00204700433153"/>
    <n v="509.56954431173813"/>
    <n v="534.69783695717069"/>
    <n v="562.43108224771277"/>
    <n v="592.10727230444479"/>
    <n v="624.12168983208028"/>
    <n v="658.93830184816613"/>
    <n v="696.83095479706571"/>
    <n v="738.22114960810836"/>
  </r>
  <r>
    <x v="11"/>
    <x v="5"/>
    <x v="37"/>
    <n v="139.03562696924917"/>
    <n v="141.89139768556899"/>
    <n v="145.03480490779717"/>
    <n v="148.5101510252687"/>
    <n v="152.23196450722219"/>
    <n v="156.43203651899972"/>
    <n v="160.82992769089117"/>
    <n v="165.74093825107985"/>
    <n v="171.0627506155773"/>
    <n v="176.83694840315283"/>
    <n v="183.1929906827032"/>
    <n v="190.19057668054384"/>
    <n v="197.7960288268404"/>
  </r>
  <r>
    <x v="11"/>
    <x v="5"/>
    <x v="38"/>
    <n v="50.543587574197907"/>
    <n v="51.284445250112391"/>
    <n v="52.156776036750223"/>
    <n v="53.06086652568785"/>
    <n v="54.011340889553217"/>
    <n v="55.03389146990078"/>
    <n v="56.163640835725708"/>
    <n v="57.436199343789909"/>
    <n v="58.79433481457994"/>
    <n v="60.238927102252617"/>
    <n v="61.833699655748305"/>
    <n v="63.591341935395015"/>
    <n v="65.528080596656594"/>
  </r>
  <r>
    <x v="11"/>
    <x v="5"/>
    <x v="39"/>
    <n v="724.78407819947529"/>
    <n v="767.90794019631437"/>
    <n v="814.57342082853165"/>
    <n v="864.60405391975667"/>
    <n v="918.09277412075721"/>
    <n v="975.5507627116715"/>
    <n v="1038.0614835861504"/>
    <n v="1105.6518458610471"/>
    <n v="1179.0428942548369"/>
    <n v="1258.5691418603687"/>
    <n v="1344.3529170267946"/>
    <n v="1437.8940835167773"/>
    <n v="1540.1783559077892"/>
  </r>
  <r>
    <x v="11"/>
    <x v="5"/>
    <x v="40"/>
    <n v="58.574593295805975"/>
    <n v="59.949407820248965"/>
    <n v="61.379846456948414"/>
    <n v="62.866194140731452"/>
    <n v="64.413525060874576"/>
    <n v="66.04124029094686"/>
    <n v="67.7790818036178"/>
    <n v="69.603925732442349"/>
    <n v="71.582437487892207"/>
    <n v="73.724020254657205"/>
    <n v="76.026877733787515"/>
    <n v="78.455731379572271"/>
    <n v="81.095248638599614"/>
  </r>
  <r>
    <x v="11"/>
    <x v="5"/>
    <x v="41"/>
    <n v="386.27226768363118"/>
    <n v="403.47860693186936"/>
    <n v="421.6904881527002"/>
    <n v="440.87372798901788"/>
    <n v="461.09681759414872"/>
    <n v="482.54161230573527"/>
    <n v="505.48775249142193"/>
    <n v="529.81517322117952"/>
    <n v="556.08455876102892"/>
    <n v="584.52101075753126"/>
    <n v="615.15714354360887"/>
    <n v="647.81284170212803"/>
    <n v="683.28991846035115"/>
  </r>
  <r>
    <x v="12"/>
    <x v="0"/>
    <x v="0"/>
    <n v="64.022992003917523"/>
    <n v="67.758698955906098"/>
    <n v="71.739233950904705"/>
    <n v="75.977094964728977"/>
    <n v="80.491320953871835"/>
    <n v="85.32594179572402"/>
    <n v="90.546109463868447"/>
    <n v="96.137843856245411"/>
    <n v="102.21838524717515"/>
    <n v="108.84385279814354"/>
    <n v="116.04160038494335"/>
    <n v="123.79377408668313"/>
    <n v="132.28048100794899"/>
  </r>
  <r>
    <x v="12"/>
    <x v="0"/>
    <x v="1"/>
    <n v="694.27123581634078"/>
    <n v="740.29086656215156"/>
    <n v="789.56355635783166"/>
    <n v="842.5753547472757"/>
    <n v="899.91453719316621"/>
    <n v="961.78879133642351"/>
    <n v="1028.1836689247141"/>
    <n v="1100.0835633640934"/>
    <n v="1178.7215996079603"/>
    <n v="1263.7398873542998"/>
    <n v="1356.5670326048637"/>
    <n v="1457.6104252507905"/>
    <n v="1567.7273034597706"/>
  </r>
  <r>
    <x v="12"/>
    <x v="1"/>
    <x v="2"/>
    <n v="233.764395441906"/>
    <n v="249.3942292053988"/>
    <n v="265.40090790356896"/>
    <n v="282.20007870575284"/>
    <n v="300.20027376462315"/>
    <n v="318.87655139041806"/>
    <n v="338.55903755694601"/>
    <n v="359.03530100540706"/>
    <n v="381.34006130905766"/>
    <n v="404.55836868728898"/>
    <n v="429.23268848366706"/>
    <n v="455.24908961456867"/>
    <n v="482.72625545387655"/>
  </r>
  <r>
    <x v="12"/>
    <x v="1"/>
    <x v="3"/>
    <n v="180.0466303631693"/>
    <n v="191.81236702003343"/>
    <n v="204.64281213154553"/>
    <n v="218.72430107836553"/>
    <n v="234.022878339698"/>
    <n v="251.02576413098117"/>
    <n v="269.39978290114226"/>
    <n v="289.81663096860711"/>
    <n v="312.2495536738295"/>
    <n v="336.93921209356779"/>
    <n v="364.35628902959547"/>
    <n v="394.87663736322179"/>
    <n v="428.6876731290796"/>
  </r>
  <r>
    <x v="12"/>
    <x v="1"/>
    <x v="4"/>
    <n v="134.54190279053088"/>
    <n v="144.94155664690612"/>
    <n v="156.49407475049489"/>
    <n v="169.05733190264786"/>
    <n v="182.74765195860789"/>
    <n v="197.63894066598203"/>
    <n v="213.80669269669968"/>
    <n v="231.40570161883733"/>
    <n v="250.69568494691751"/>
    <n v="271.93691708633878"/>
    <n v="295.21034647218568"/>
    <n v="320.64806726528678"/>
    <n v="348.56577257949226"/>
  </r>
  <r>
    <x v="12"/>
    <x v="1"/>
    <x v="5"/>
    <n v="96.03477158428295"/>
    <n v="102.12847860176662"/>
    <n v="108.72524547836169"/>
    <n v="115.82038144110967"/>
    <n v="123.5311381265268"/>
    <n v="131.93092925265762"/>
    <n v="141.01904609974048"/>
    <n v="151.03832319673677"/>
    <n v="161.97348923716962"/>
    <n v="173.84989825662646"/>
    <n v="186.92787060046433"/>
    <n v="201.17283489854168"/>
    <n v="216.80653124218233"/>
  </r>
  <r>
    <x v="12"/>
    <x v="1"/>
    <x v="6"/>
    <n v="72.188755954123963"/>
    <n v="75.80115101094961"/>
    <n v="79.624352448019309"/>
    <n v="83.666453673915797"/>
    <n v="87.942405475789315"/>
    <n v="92.493898447455337"/>
    <n v="97.384110585545997"/>
    <n v="102.58901498018059"/>
    <n v="108.22522089474626"/>
    <n v="114.34084371009509"/>
    <n v="120.95210228860412"/>
    <n v="128.02739294003882"/>
    <n v="135.74062169464165"/>
  </r>
  <r>
    <x v="12"/>
    <x v="1"/>
    <x v="7"/>
    <n v="41.717771686245243"/>
    <n v="43.971783033003"/>
    <n v="46.415397596745954"/>
    <n v="49.083902910212956"/>
    <n v="51.961510481793013"/>
    <n v="55.148649244653491"/>
    <n v="58.561108548507967"/>
    <n v="62.336435450569695"/>
    <n v="66.455974793414967"/>
    <n v="70.958500318526205"/>
    <n v="75.929336115290553"/>
    <n v="81.430177255815877"/>
    <n v="87.48093036844719"/>
  </r>
  <r>
    <x v="12"/>
    <x v="2"/>
    <x v="8"/>
    <n v="267.96845804245834"/>
    <n v="285.79025876703372"/>
    <n v="304.00746524086708"/>
    <n v="323.11304456235337"/>
    <n v="343.63225328053693"/>
    <n v="364.90194389673661"/>
    <n v="387.42945972219513"/>
    <n v="410.94996017000074"/>
    <n v="436.50423673620446"/>
    <n v="463.38153647758827"/>
    <n v="492.04965970682531"/>
    <n v="522.10045835013011"/>
    <n v="553.79454549067987"/>
  </r>
  <r>
    <x v="12"/>
    <x v="2"/>
    <x v="9"/>
    <n v="261.74696087546812"/>
    <n v="279.15005983739712"/>
    <n v="298.1408018596469"/>
    <n v="318.99577023332819"/>
    <n v="341.67144156424274"/>
    <n v="366.88501144292565"/>
    <n v="394.15767666017479"/>
    <n v="424.47881265615729"/>
    <n v="457.81900447004222"/>
    <n v="494.54078470164563"/>
    <n v="535.34582476829223"/>
    <n v="580.79941638900493"/>
    <n v="631.1920605401358"/>
  </r>
  <r>
    <x v="12"/>
    <x v="2"/>
    <x v="10"/>
    <n v="165.62911921087255"/>
    <n v="176.35329892156028"/>
    <n v="188.20142959805452"/>
    <n v="200.98872628868469"/>
    <n v="214.80692352001603"/>
    <n v="229.84114192731562"/>
    <n v="246.10169955991745"/>
    <n v="263.79023705926011"/>
    <n v="283.16093815669774"/>
    <n v="304.18122616703897"/>
    <n v="327.13719422993631"/>
    <n v="352.24140398269395"/>
    <n v="379.89020426287567"/>
  </r>
  <r>
    <x v="12"/>
    <x v="2"/>
    <x v="11"/>
    <n v="62.949689691459369"/>
    <n v="66.755947992066567"/>
    <n v="70.953093610167869"/>
    <n v="75.454908627638318"/>
    <n v="80.295239782242419"/>
    <n v="85.486635865169831"/>
    <n v="91.040942446295034"/>
    <n v="97.002397334920602"/>
    <n v="103.45580549219098"/>
    <n v="110.48019280617054"/>
    <n v="118.07595428475324"/>
    <n v="126.26292061564467"/>
    <n v="135.13097417402841"/>
  </r>
  <r>
    <x v="12"/>
    <x v="3"/>
    <x v="12"/>
    <n v="190.67106685504496"/>
    <n v="205.54577378412228"/>
    <n v="220.69543282053769"/>
    <n v="237.17845110051428"/>
    <n v="255.29768546148875"/>
    <n v="274.76408991784547"/>
    <n v="294.86177868949403"/>
    <n v="316.06729729727931"/>
    <n v="339.56886783198763"/>
    <n v="364.53024012325966"/>
    <n v="391.38613068900258"/>
    <n v="420.07135275971768"/>
    <n v="450.29075331712124"/>
  </r>
  <r>
    <x v="12"/>
    <x v="3"/>
    <x v="13"/>
    <n v="189.85176127655222"/>
    <n v="200.54151251165604"/>
    <n v="212.34570825782029"/>
    <n v="224.90818274014782"/>
    <n v="238.33666411554498"/>
    <n v="252.81715569645209"/>
    <n v="268.61342433850228"/>
    <n v="286.00075487841502"/>
    <n v="304.77994039900761"/>
    <n v="325.08176221889511"/>
    <n v="347.37238396692214"/>
    <n v="371.89918172171684"/>
    <n v="398.94619393472323"/>
  </r>
  <r>
    <x v="12"/>
    <x v="3"/>
    <x v="14"/>
    <n v="152.20573302727936"/>
    <n v="159.71230226828317"/>
    <n v="167.99728205609173"/>
    <n v="176.76225036688209"/>
    <n v="186.08103187630783"/>
    <n v="196.08646950900965"/>
    <n v="206.96805128097162"/>
    <n v="218.91895183861087"/>
    <n v="231.76382581503188"/>
    <n v="245.58255925222107"/>
    <n v="260.70604170830188"/>
    <n v="277.29201276204981"/>
    <n v="295.52105785531478"/>
  </r>
  <r>
    <x v="12"/>
    <x v="3"/>
    <x v="15"/>
    <n v="225.56566666138184"/>
    <n v="242.24997695399614"/>
    <n v="260.26436717428663"/>
    <n v="279.70356550446053"/>
    <n v="300.69047669369655"/>
    <n v="323.44701800884042"/>
    <n v="348.28652407961448"/>
    <n v="375.23440320603351"/>
    <n v="404.82735080910834"/>
    <n v="437.38917855806756"/>
    <n v="473.14407662558062"/>
    <n v="512.14165209398914"/>
    <n v="555.2497793605603"/>
  </r>
  <r>
    <x v="13"/>
    <x v="0"/>
    <x v="0"/>
    <n v="44.606265059183215"/>
    <n v="46.48661934943204"/>
    <n v="48.559476065982416"/>
    <n v="50.761700355916545"/>
    <n v="53.104730526421569"/>
    <n v="55.621670889454293"/>
    <n v="58.300036519261845"/>
    <n v="61.173134877633281"/>
    <n v="64.283088258755996"/>
    <n v="67.602715444617374"/>
    <n v="71.17716832749457"/>
    <n v="75.031086146443513"/>
    <n v="79.225341196239299"/>
  </r>
  <r>
    <x v="13"/>
    <x v="0"/>
    <x v="1"/>
    <n v="382.53370884150979"/>
    <n v="402.55940097307536"/>
    <n v="424.60276325995687"/>
    <n v="448.09722943413146"/>
    <n v="473.20578014178034"/>
    <n v="499.96031393250161"/>
    <n v="528.38698669588848"/>
    <n v="558.69847949778205"/>
    <n v="591.33395141358164"/>
    <n v="626.68538605080607"/>
    <n v="664.68589551769185"/>
    <n v="705.3789583252742"/>
    <n v="749.19700978316746"/>
  </r>
  <r>
    <x v="13"/>
    <x v="1"/>
    <x v="2"/>
    <n v="142.47682507453243"/>
    <n v="148.73992489444436"/>
    <n v="155.90357351738555"/>
    <n v="163.46392736483932"/>
    <n v="171.52459542676701"/>
    <n v="179.92452069869825"/>
    <n v="188.54755834559256"/>
    <n v="197.50928528280207"/>
    <n v="206.92160816372598"/>
    <n v="217.03638458427349"/>
    <n v="227.63652901441259"/>
    <n v="238.61364383614125"/>
    <n v="249.92205912166582"/>
  </r>
  <r>
    <x v="13"/>
    <x v="1"/>
    <x v="3"/>
    <n v="96.920533531241276"/>
    <n v="102.75054343722086"/>
    <n v="108.97196107100089"/>
    <n v="115.60575388162718"/>
    <n v="122.68298003675787"/>
    <n v="130.27299480645885"/>
    <n v="138.47786868361993"/>
    <n v="147.27933802234244"/>
    <n v="156.86003153220915"/>
    <n v="167.31001619414542"/>
    <n v="178.67574189732142"/>
    <n v="190.93435238583274"/>
    <n v="204.36815262049507"/>
  </r>
  <r>
    <x v="13"/>
    <x v="1"/>
    <x v="4"/>
    <n v="81.714402722651542"/>
    <n v="86.759794110534457"/>
    <n v="92.328047949242801"/>
    <n v="98.323904794446619"/>
    <n v="104.788422674039"/>
    <n v="111.8077283688511"/>
    <n v="119.38191914458638"/>
    <n v="127.60386745389877"/>
    <n v="136.59078729746915"/>
    <n v="146.32021434366041"/>
    <n v="156.92318009494699"/>
    <n v="168.49393357541436"/>
    <n v="181.21353291296307"/>
  </r>
  <r>
    <x v="13"/>
    <x v="1"/>
    <x v="5"/>
    <n v="49.773250126953791"/>
    <n v="52.414163831622581"/>
    <n v="55.246131707271189"/>
    <n v="58.26624563569618"/>
    <n v="61.473067646045983"/>
    <n v="64.899537201756559"/>
    <n v="68.616548478954556"/>
    <n v="72.611699921170512"/>
    <n v="76.934804117068865"/>
    <n v="81.593737373277378"/>
    <n v="86.591659255198749"/>
    <n v="92.020067172345222"/>
    <n v="97.926285669732763"/>
  </r>
  <r>
    <x v="13"/>
    <x v="1"/>
    <x v="6"/>
    <n v="37.42826411319227"/>
    <n v="38.782631215004415"/>
    <n v="40.279391671609723"/>
    <n v="41.857069207180395"/>
    <n v="43.525879232260294"/>
    <n v="45.283212209093655"/>
    <n v="47.125940030406085"/>
    <n v="49.067605364680254"/>
    <n v="51.140659191675319"/>
    <n v="53.371315633669873"/>
    <n v="55.744889617208834"/>
    <n v="58.256588969484817"/>
    <n v="60.933794618160903"/>
  </r>
  <r>
    <x v="13"/>
    <x v="1"/>
    <x v="7"/>
    <n v="18.826698332121662"/>
    <n v="19.59896283368073"/>
    <n v="20.433133409429175"/>
    <n v="21.3420289062583"/>
    <n v="22.315565652331763"/>
    <n v="23.393991537097381"/>
    <n v="24.53718853199085"/>
    <n v="25.799818330521283"/>
    <n v="27.169149370189267"/>
    <n v="28.656433366396953"/>
    <n v="30.291063966097784"/>
    <n v="32.091458532499317"/>
    <n v="34.058526036389082"/>
  </r>
  <r>
    <x v="13"/>
    <x v="2"/>
    <x v="8"/>
    <n v="137.94418682607278"/>
    <n v="144.96257396258864"/>
    <n v="152.80517392000161"/>
    <n v="161.06775699752751"/>
    <n v="169.84040179262877"/>
    <n v="178.8098835439086"/>
    <n v="187.98809801456417"/>
    <n v="197.0261408036078"/>
    <n v="206.64206745894097"/>
    <n v="217.03427945854077"/>
    <n v="227.55840331497473"/>
    <n v="238.00971083963736"/>
    <n v="248.56953743167333"/>
  </r>
  <r>
    <x v="13"/>
    <x v="2"/>
    <x v="9"/>
    <n v="151.08219168474403"/>
    <n v="159.59242806419297"/>
    <n v="168.9899243719909"/>
    <n v="178.99129298329376"/>
    <n v="189.68230804481996"/>
    <n v="201.21104707125176"/>
    <n v="213.78749044080834"/>
    <n v="227.63080363446235"/>
    <n v="242.58251825938981"/>
    <n v="258.74679890824825"/>
    <n v="276.49476459035935"/>
    <n v="296.02341971452091"/>
    <n v="317.55896793209598"/>
  </r>
  <r>
    <x v="13"/>
    <x v="2"/>
    <x v="10"/>
    <n v="93.233364341408702"/>
    <n v="97.623507074868655"/>
    <n v="102.37093905077441"/>
    <n v="107.54573756661648"/>
    <n v="113.1041287425966"/>
    <n v="119.25633801082321"/>
    <n v="125.80770319947749"/>
    <n v="133.04489642124517"/>
    <n v="140.91360441800728"/>
    <n v="149.48251567025795"/>
    <n v="158.91641603682262"/>
    <n v="169.32616030380481"/>
    <n v="180.73259774694404"/>
  </r>
  <r>
    <x v="13"/>
    <x v="2"/>
    <x v="11"/>
    <n v="44.8802310484675"/>
    <n v="46.867511220857104"/>
    <n v="48.996201983172405"/>
    <n v="51.254142242610293"/>
    <n v="53.683672088156591"/>
    <n v="56.304716195972262"/>
    <n v="59.103731560300311"/>
    <n v="62.169773516099987"/>
    <n v="65.478849535999586"/>
    <n v="69.024507458376476"/>
    <n v="72.893479903029657"/>
    <n v="77.050753613754679"/>
    <n v="81.561247868693371"/>
  </r>
  <r>
    <x v="13"/>
    <x v="3"/>
    <x v="12"/>
    <n v="95.404914425933384"/>
    <n v="101.00360384901552"/>
    <n v="107.13818665953113"/>
    <n v="113.74031091132309"/>
    <n v="120.8408932494192"/>
    <n v="128.37455619737381"/>
    <n v="136.17299023127742"/>
    <n v="144.19982556545642"/>
    <n v="152.87903543425273"/>
    <n v="162.31532237769943"/>
    <n v="172.21863852515708"/>
    <n v="182.48808394153912"/>
    <n v="193.23678776903535"/>
  </r>
  <r>
    <x v="13"/>
    <x v="3"/>
    <x v="13"/>
    <n v="115.29086362717528"/>
    <n v="120.7413650185842"/>
    <n v="126.74027783717688"/>
    <n v="133.11008820394537"/>
    <n v="139.89333373560805"/>
    <n v="147.09292359977977"/>
    <n v="154.70995598320712"/>
    <n v="162.80005505295975"/>
    <n v="171.48370313260608"/>
    <n v="180.86531511271059"/>
    <n v="190.91478048894075"/>
    <n v="201.63415799978736"/>
    <n v="213.13654535646299"/>
  </r>
  <r>
    <x v="13"/>
    <x v="3"/>
    <x v="14"/>
    <n v="82.995872836845095"/>
    <n v="86.339683898177981"/>
    <n v="90.026110622617864"/>
    <n v="93.921681005361691"/>
    <n v="98.051648137486012"/>
    <n v="102.41275457441866"/>
    <n v="107.00049827763691"/>
    <n v="111.84813781837327"/>
    <n v="117.03253791135289"/>
    <n v="122.61747900563228"/>
    <n v="128.57375130313304"/>
    <n v="134.89446768533506"/>
    <n v="141.64709853667384"/>
  </r>
  <r>
    <x v="13"/>
    <x v="3"/>
    <x v="15"/>
    <n v="133.44832301073922"/>
    <n v="140.96136755672967"/>
    <n v="149.25766420661344"/>
    <n v="158.08684966941786"/>
    <n v="167.52463554568865"/>
    <n v="177.70175045038366"/>
    <n v="188.80357872302892"/>
    <n v="201.02359593862585"/>
    <n v="214.22176319412597"/>
    <n v="228.48998499938116"/>
    <n v="244.15589352795553"/>
    <n v="261.39333484505619"/>
    <n v="280.4019193172345"/>
  </r>
  <r>
    <x v="14"/>
    <x v="0"/>
    <x v="0"/>
    <n v="20.131507683009641"/>
    <n v="20.634587646706329"/>
    <n v="21.200503342225289"/>
    <n v="21.798066342383144"/>
    <n v="22.430049690817281"/>
    <n v="23.108132014974299"/>
    <n v="23.824217627835033"/>
    <n v="24.589366622862709"/>
    <n v="25.417382593598351"/>
    <n v="26.293670940713429"/>
    <n v="27.2326071726287"/>
    <n v="28.23968573149326"/>
    <n v="29.333561928943684"/>
  </r>
  <r>
    <x v="14"/>
    <x v="0"/>
    <x v="1"/>
    <n v="190.65094955787865"/>
    <n v="196.79618699646929"/>
    <n v="203.36379054742932"/>
    <n v="210.28573991202177"/>
    <n v="217.72037526439982"/>
    <n v="225.72751024371701"/>
    <n v="234.22958359639361"/>
    <n v="243.55868958608923"/>
    <n v="253.58837184810255"/>
    <n v="264.26519226916423"/>
    <n v="275.89429987011232"/>
    <n v="288.30553328458467"/>
    <n v="301.70959330179261"/>
  </r>
  <r>
    <x v="14"/>
    <x v="1"/>
    <x v="2"/>
    <n v="70.906048960148183"/>
    <n v="72.183526210179735"/>
    <n v="73.462474800146708"/>
    <n v="74.808228084140381"/>
    <n v="76.343820093263531"/>
    <n v="78.106534220329308"/>
    <n v="79.988345112960985"/>
    <n v="82.272523606668898"/>
    <n v="84.742794687499838"/>
    <n v="87.250724433088862"/>
    <n v="90.113245414254294"/>
    <n v="93.181286797297162"/>
    <n v="96.51870911207817"/>
  </r>
  <r>
    <x v="14"/>
    <x v="1"/>
    <x v="3"/>
    <n v="47.989560469395492"/>
    <n v="50.008541311293882"/>
    <n v="52.23287872522382"/>
    <n v="54.586175126743242"/>
    <n v="57.083756011855108"/>
    <n v="59.72445129246487"/>
    <n v="62.506354851316701"/>
    <n v="65.449604008699723"/>
    <n v="68.599988190147073"/>
    <n v="71.995936982917016"/>
    <n v="75.621538134677081"/>
    <n v="79.473896405835163"/>
    <n v="83.593901636003579"/>
  </r>
  <r>
    <x v="14"/>
    <x v="1"/>
    <x v="4"/>
    <n v="38.418322966033422"/>
    <n v="40.258370291785937"/>
    <n v="42.202500441536067"/>
    <n v="44.254331795243829"/>
    <n v="46.421077143843469"/>
    <n v="48.724001894887657"/>
    <n v="51.195513519929882"/>
    <n v="53.821906971313354"/>
    <n v="56.663366888886166"/>
    <n v="59.743722134828595"/>
    <n v="63.069935985886943"/>
    <n v="66.62397179182868"/>
    <n v="70.494876935439336"/>
  </r>
  <r>
    <x v="14"/>
    <x v="1"/>
    <x v="5"/>
    <n v="24.556256553655256"/>
    <n v="25.444183491776236"/>
    <n v="26.425483907787712"/>
    <n v="27.459818735562028"/>
    <n v="28.553885527175318"/>
    <n v="29.705967709403943"/>
    <n v="30.914008700907448"/>
    <n v="32.186887944176263"/>
    <n v="33.545887254842754"/>
    <n v="35.008195170576691"/>
    <n v="36.564171187075701"/>
    <n v="38.210664737320741"/>
    <n v="39.965628004275473"/>
  </r>
  <r>
    <x v="14"/>
    <x v="1"/>
    <x v="6"/>
    <n v="16.353601416892459"/>
    <n v="16.623196627832876"/>
    <n v="16.932259921473239"/>
    <n v="17.248565315556295"/>
    <n v="17.579011106721893"/>
    <n v="17.931833731320566"/>
    <n v="18.305799903083834"/>
    <n v="18.738210644523075"/>
    <n v="19.196322972885341"/>
    <n v="19.690034232888515"/>
    <n v="20.230995528223822"/>
    <n v="20.823762157154349"/>
    <n v="21.473466255038698"/>
  </r>
  <r>
    <x v="14"/>
    <x v="1"/>
    <x v="7"/>
    <n v="12.558666874763459"/>
    <n v="12.912956710306965"/>
    <n v="13.308696093487066"/>
    <n v="13.726687197159155"/>
    <n v="14.16887507235781"/>
    <n v="14.642853410284967"/>
    <n v="15.143779136029833"/>
    <n v="15.678923033570612"/>
    <n v="16.257394447439708"/>
    <n v="16.870250255577943"/>
    <n v="17.527020792623212"/>
    <n v="18.231637126641822"/>
    <n v="18.996573287901089"/>
  </r>
  <r>
    <x v="14"/>
    <x v="2"/>
    <x v="8"/>
    <n v="73.54676082200433"/>
    <n v="75.470540140901306"/>
    <n v="77.196744084625976"/>
    <n v="78.96574019747527"/>
    <n v="80.882663124917116"/>
    <n v="82.99048837478162"/>
    <n v="85.194729187807553"/>
    <n v="87.642407963625715"/>
    <n v="90.353880009749275"/>
    <n v="93.09492206438415"/>
    <n v="96.237377840246467"/>
    <n v="99.49080793390425"/>
    <n v="102.8690199412917"/>
  </r>
  <r>
    <x v="14"/>
    <x v="2"/>
    <x v="9"/>
    <n v="71.159281360690699"/>
    <n v="73.920254503107344"/>
    <n v="77.084307819201499"/>
    <n v="80.439032026204259"/>
    <n v="84.028633691830464"/>
    <n v="87.84829946766294"/>
    <n v="91.932939164842381"/>
    <n v="96.37353038779635"/>
    <n v="101.10069422471985"/>
    <n v="106.21555081767968"/>
    <n v="111.67350612846113"/>
    <n v="117.54826874984187"/>
    <n v="123.98101057900384"/>
  </r>
  <r>
    <x v="14"/>
    <x v="2"/>
    <x v="10"/>
    <n v="45.316358920933574"/>
    <n v="46.795139082135016"/>
    <n v="48.509529145506413"/>
    <n v="50.321489270678512"/>
    <n v="52.256732470255244"/>
    <n v="54.309856837082009"/>
    <n v="56.50011804719459"/>
    <n v="58.880748939737629"/>
    <n v="61.405726498615898"/>
    <n v="64.133625133549344"/>
    <n v="67.033627036490614"/>
    <n v="70.146605648942426"/>
    <n v="73.552695138788025"/>
  </r>
  <r>
    <x v="14"/>
    <x v="2"/>
    <x v="11"/>
    <n v="20.760056137259681"/>
    <n v="21.244840917031965"/>
    <n v="21.773712840320723"/>
    <n v="22.357544760046906"/>
    <n v="22.982395668214274"/>
    <n v="23.686997579164736"/>
    <n v="24.426014824384129"/>
    <n v="25.25136891779221"/>
    <n v="26.145453708615889"/>
    <n v="27.114765194264457"/>
    <n v="28.182396037542812"/>
    <n v="29.359536683389351"/>
    <n v="30.64042957165276"/>
  </r>
  <r>
    <x v="14"/>
    <x v="3"/>
    <x v="12"/>
    <n v="56.723468764498335"/>
    <n v="58.553303778795794"/>
    <n v="60.399321481149912"/>
    <n v="62.364685593971615"/>
    <n v="64.576449270457886"/>
    <n v="67.01277919836653"/>
    <n v="69.532716083322299"/>
    <n v="72.410734346576305"/>
    <n v="75.502426619435113"/>
    <n v="78.756159522121493"/>
    <n v="82.355926849507455"/>
    <n v="86.106514675607855"/>
    <n v="90.066536614316135"/>
  </r>
  <r>
    <x v="14"/>
    <x v="3"/>
    <x v="13"/>
    <n v="53.636464988357872"/>
    <n v="55.046117545063133"/>
    <n v="56.633506482674171"/>
    <n v="58.283597982080614"/>
    <n v="60.013591196308759"/>
    <n v="61.857946154562605"/>
    <n v="63.86565895603065"/>
    <n v="66.0821657287281"/>
    <n v="68.437145392010024"/>
    <n v="70.94107168323913"/>
    <n v="73.675502928283422"/>
    <n v="76.665436974747323"/>
    <n v="79.939247537843329"/>
  </r>
  <r>
    <x v="14"/>
    <x v="3"/>
    <x v="14"/>
    <n v="40.184375117213158"/>
    <n v="41.150232629065236"/>
    <n v="42.155612255256266"/>
    <n v="43.199356473982824"/>
    <n v="44.283738361742031"/>
    <n v="45.424047584225505"/>
    <n v="46.644379544529755"/>
    <n v="47.924387395704343"/>
    <n v="49.311048192919074"/>
    <n v="50.815182047915535"/>
    <n v="52.431882495818229"/>
    <n v="54.135463308373879"/>
    <n v="55.989136775378292"/>
  </r>
  <r>
    <x v="14"/>
    <x v="3"/>
    <x v="15"/>
    <n v="60.238148370818926"/>
    <n v="62.681120690251454"/>
    <n v="65.375853670574244"/>
    <n v="68.236166204369852"/>
    <n v="71.276646126708442"/>
    <n v="74.540869321536675"/>
    <n v="78.011046640345967"/>
    <n v="81.73076873794318"/>
    <n v="85.755134237336691"/>
    <n v="90.046449956601506"/>
    <n v="94.663594769131947"/>
    <n v="99.637804057348859"/>
    <n v="105.04823430319857"/>
  </r>
  <r>
    <x v="15"/>
    <x v="0"/>
    <x v="0"/>
    <n v="18.40653595655667"/>
    <n v="18.757552162452939"/>
    <n v="19.190361968441707"/>
    <n v="19.646910044393906"/>
    <n v="20.136028009635321"/>
    <n v="20.654067766511893"/>
    <n v="21.20691118800821"/>
    <n v="21.812851942997842"/>
    <n v="22.45242066977308"/>
    <n v="23.145347223657776"/>
    <n v="23.878035027886764"/>
    <n v="24.663070418665288"/>
    <n v="25.526143471209817"/>
  </r>
  <r>
    <x v="15"/>
    <x v="0"/>
    <x v="1"/>
    <n v="187.89331211599907"/>
    <n v="193.20798100873296"/>
    <n v="198.89317601882544"/>
    <n v="204.87785563451143"/>
    <n v="211.31256980226496"/>
    <n v="218.24991797501403"/>
    <n v="225.60883610271452"/>
    <n v="233.70402879039884"/>
    <n v="242.40538568771311"/>
    <n v="251.65450891771013"/>
    <n v="261.73530779080636"/>
    <n v="272.47642987166256"/>
    <n v="284.06899295075249"/>
  </r>
  <r>
    <x v="15"/>
    <x v="1"/>
    <x v="2"/>
    <n v="68.556383026493108"/>
    <n v="69.731057074553064"/>
    <n v="70.925030343484025"/>
    <n v="72.172111925710112"/>
    <n v="73.577509244403103"/>
    <n v="75.149547888626245"/>
    <n v="76.784249639959711"/>
    <n v="78.728005734311978"/>
    <n v="80.806419085380071"/>
    <n v="82.934418803677119"/>
    <n v="85.347774812726726"/>
    <n v="87.891783083183185"/>
    <n v="90.567304035734679"/>
  </r>
  <r>
    <x v="15"/>
    <x v="1"/>
    <x v="3"/>
    <n v="45.658788948709777"/>
    <n v="47.450791005766163"/>
    <n v="49.331928908102739"/>
    <n v="51.30379325648326"/>
    <n v="53.372046655424199"/>
    <n v="55.558278290600718"/>
    <n v="57.896024604242172"/>
    <n v="60.365515173023901"/>
    <n v="63.030434673771367"/>
    <n v="65.911872363213121"/>
    <n v="69.011532832039975"/>
    <n v="72.303614689351448"/>
    <n v="75.879276591280458"/>
  </r>
  <r>
    <x v="15"/>
    <x v="1"/>
    <x v="4"/>
    <n v="37.936027393058403"/>
    <n v="39.410498247402529"/>
    <n v="41.100065697725682"/>
    <n v="42.89151857525173"/>
    <n v="44.808448536383892"/>
    <n v="46.8483133547536"/>
    <n v="49.02975397419786"/>
    <n v="51.401318268874803"/>
    <n v="53.926039629138302"/>
    <n v="56.657884329958279"/>
    <n v="59.573105120889892"/>
    <n v="62.711058128174798"/>
    <n v="66.147100705441673"/>
  </r>
  <r>
    <x v="15"/>
    <x v="1"/>
    <x v="5"/>
    <n v="25.837822021287177"/>
    <n v="26.611618340265512"/>
    <n v="27.473411878910813"/>
    <n v="28.384012224026328"/>
    <n v="29.347682202548953"/>
    <n v="30.380412411014646"/>
    <n v="31.472496760025713"/>
    <n v="32.6393382630392"/>
    <n v="33.900269733935602"/>
    <n v="35.237108844977826"/>
    <n v="36.670135522496274"/>
    <n v="38.208049312577302"/>
    <n v="39.877509705986171"/>
  </r>
  <r>
    <x v="15"/>
    <x v="1"/>
    <x v="6"/>
    <n v="19.693779540935815"/>
    <n v="19.936574065864857"/>
    <n v="20.205083444816747"/>
    <n v="20.490638659991564"/>
    <n v="20.807228943289836"/>
    <n v="21.158303388320576"/>
    <n v="21.534091179732101"/>
    <n v="21.96314635717297"/>
    <n v="22.43041887507918"/>
    <n v="22.928341024233777"/>
    <n v="23.480937212185463"/>
    <n v="24.069863299205046"/>
    <n v="24.709835634817754"/>
  </r>
  <r>
    <x v="15"/>
    <x v="1"/>
    <x v="7"/>
    <n v="8.6170471420714456"/>
    <n v="8.8249944373337801"/>
    <n v="9.0480177142271607"/>
    <n v="9.282691037442353"/>
    <n v="9.5356822298502948"/>
    <n v="9.8091304082101303"/>
    <n v="10.099131132565155"/>
    <n v="10.4195569369738"/>
    <n v="10.764224360181691"/>
    <n v="11.130230775307767"/>
    <n v="11.529857318354766"/>
    <n v="11.955131777836101"/>
    <n v="12.41410974870157"/>
  </r>
  <r>
    <x v="15"/>
    <x v="2"/>
    <x v="8"/>
    <n v="72.448044664354939"/>
    <n v="73.765851623807379"/>
    <n v="75.034122880743837"/>
    <n v="76.354261319227419"/>
    <n v="77.836163444142045"/>
    <n v="79.5109928684154"/>
    <n v="81.233977012807969"/>
    <n v="83.239369348846566"/>
    <n v="85.435231666216168"/>
    <n v="87.701313578428085"/>
    <n v="90.333759298327806"/>
    <n v="93.072484818215941"/>
    <n v="95.966494579987625"/>
  </r>
  <r>
    <x v="15"/>
    <x v="2"/>
    <x v="9"/>
    <n v="70.313060182818148"/>
    <n v="72.767010807470498"/>
    <n v="75.597942617322502"/>
    <n v="78.593182042309692"/>
    <n v="81.79393446672556"/>
    <n v="85.19305870342383"/>
    <n v="88.822024459503922"/>
    <n v="92.765984879440566"/>
    <n v="96.95445153297355"/>
    <n v="101.48146400661307"/>
    <n v="106.30042324593786"/>
    <n v="111.47800258372804"/>
    <n v="117.14383967255563"/>
  </r>
  <r>
    <x v="15"/>
    <x v="2"/>
    <x v="10"/>
    <n v="42.653322088218786"/>
    <n v="44.057079719479425"/>
    <n v="45.549845953843295"/>
    <n v="47.122157843468131"/>
    <n v="48.766219558967386"/>
    <n v="50.501874099184533"/>
    <n v="52.376770123587725"/>
    <n v="54.371082710728793"/>
    <n v="56.512719517128666"/>
    <n v="58.796334482036436"/>
    <n v="61.213199586557671"/>
    <n v="63.817313086364578"/>
    <n v="66.627571901390198"/>
  </r>
  <r>
    <x v="15"/>
    <x v="2"/>
    <x v="11"/>
    <n v="20.885421137163867"/>
    <n v="21.375591020428566"/>
    <n v="21.901626535357551"/>
    <n v="22.455164473900094"/>
    <n v="23.052280342065266"/>
    <n v="23.698060070502166"/>
    <n v="24.382975694823116"/>
    <n v="25.140443794380758"/>
    <n v="25.955403641167791"/>
    <n v="26.820744074290332"/>
    <n v="27.765960687869782"/>
    <n v="28.771699802019292"/>
    <n v="29.85723026802884"/>
  </r>
  <r>
    <x v="15"/>
    <x v="3"/>
    <x v="12"/>
    <n v="51.662841089796245"/>
    <n v="53.282514491201454"/>
    <n v="55.040276730340508"/>
    <n v="56.809458977013094"/>
    <n v="58.764798984441484"/>
    <n v="60.81997053188681"/>
    <n v="62.964491453057775"/>
    <n v="65.365005314990498"/>
    <n v="67.9052897222181"/>
    <n v="70.551670218136451"/>
    <n v="73.474864358165405"/>
    <n v="76.445883454816936"/>
    <n v="79.63156819040438"/>
  </r>
  <r>
    <x v="15"/>
    <x v="3"/>
    <x v="13"/>
    <n v="53.125129264919956"/>
    <n v="54.155152783626114"/>
    <n v="55.288672135423489"/>
    <n v="56.552042588962166"/>
    <n v="57.908439172537442"/>
    <n v="59.454314089564711"/>
    <n v="61.073618026328219"/>
    <n v="62.89524783306824"/>
    <n v="64.872938900366265"/>
    <n v="67.020922922248147"/>
    <n v="69.394223958353322"/>
    <n v="72.01770564784907"/>
    <n v="74.874263197457964"/>
  </r>
  <r>
    <x v="15"/>
    <x v="3"/>
    <x v="14"/>
    <n v="41.603750431564954"/>
    <n v="42.286827553907145"/>
    <n v="43.029313857291861"/>
    <n v="43.813436832391524"/>
    <n v="44.669579377696756"/>
    <n v="45.605981961447206"/>
    <n v="46.602514916180155"/>
    <n v="47.721656450223051"/>
    <n v="48.932137953763764"/>
    <n v="50.218499123818255"/>
    <n v="51.634217139532311"/>
    <n v="53.140448427293229"/>
    <n v="54.770705540279032"/>
  </r>
  <r>
    <x v="15"/>
    <x v="3"/>
    <x v="15"/>
    <n v="59.908127286274592"/>
    <n v="62.241038342451155"/>
    <n v="64.725275264211305"/>
    <n v="67.349827280538562"/>
    <n v="70.105780277224596"/>
    <n v="73.023719158627216"/>
    <n v="76.175122895156591"/>
    <n v="79.534971135114873"/>
    <n v="83.147439781138075"/>
    <n v="87.008763877165052"/>
    <n v="91.110037362642089"/>
    <n v="95.535462760368631"/>
    <n v="100.31859949382093"/>
  </r>
  <r>
    <x v="16"/>
    <x v="0"/>
    <x v="0"/>
    <n v="54.450829256717931"/>
    <n v="56.705422022590405"/>
    <n v="59.140826970862776"/>
    <n v="61.794348154665727"/>
    <n v="64.637031991155681"/>
    <n v="67.78566720384805"/>
    <n v="71.124348961237089"/>
    <n v="74.811733088418805"/>
    <n v="78.811288483813939"/>
    <n v="83.155999810116896"/>
    <n v="87.931544612124156"/>
    <n v="93.191862611631691"/>
    <n v="98.940128425657463"/>
  </r>
  <r>
    <x v="16"/>
    <x v="0"/>
    <x v="1"/>
    <n v="582.42209717266235"/>
    <n v="615.71097424449601"/>
    <n v="651.07106090913692"/>
    <n v="688.8408419839601"/>
    <n v="729.42970008692384"/>
    <n v="772.92328077092395"/>
    <n v="819.22434576834291"/>
    <n v="869.03332306388188"/>
    <n v="923.22174228090398"/>
    <n v="981.38348266936453"/>
    <n v="1044.5114096858404"/>
    <n v="1112.776245754153"/>
    <n v="1186.6838340259321"/>
  </r>
  <r>
    <x v="16"/>
    <x v="1"/>
    <x v="2"/>
    <n v="193.76151605921734"/>
    <n v="205.72834829774746"/>
    <n v="217.93715372103838"/>
    <n v="230.52884997500075"/>
    <n v="243.93730009438605"/>
    <n v="257.45863216034013"/>
    <n v="271.59531750307508"/>
    <n v="285.89518502626504"/>
    <n v="301.32177159948219"/>
    <n v="317.18641492031441"/>
    <n v="333.67374828718334"/>
    <n v="350.47823656717321"/>
    <n v="367.77016315121955"/>
  </r>
  <r>
    <x v="16"/>
    <x v="1"/>
    <x v="3"/>
    <n v="148.11909008850321"/>
    <n v="156.48522321492706"/>
    <n v="165.56524803402195"/>
    <n v="175.48993857855584"/>
    <n v="186.20864867230966"/>
    <n v="198.08671292248246"/>
    <n v="210.82962151522298"/>
    <n v="224.93847335481848"/>
    <n v="240.35531799805557"/>
    <n v="257.22933777582966"/>
    <n v="275.87980018223385"/>
    <n v="296.5430103530104"/>
    <n v="319.30520783364182"/>
  </r>
  <r>
    <x v="16"/>
    <x v="1"/>
    <x v="4"/>
    <n v="101.91096528481764"/>
    <n v="108.17454988764321"/>
    <n v="114.98994359518845"/>
    <n v="122.45545292165123"/>
    <n v="130.54457075363626"/>
    <n v="139.52184256767237"/>
    <n v="149.19193617583821"/>
    <n v="159.91876141584024"/>
    <n v="171.67549545815865"/>
    <n v="184.5826330401913"/>
    <n v="198.88484402238078"/>
    <n v="214.77140470855196"/>
    <n v="232.32625377583787"/>
  </r>
  <r>
    <x v="16"/>
    <x v="1"/>
    <x v="5"/>
    <n v="95.599758492093699"/>
    <n v="100.43424922892422"/>
    <n v="105.66812341706054"/>
    <n v="111.37757534007578"/>
    <n v="117.52187634755578"/>
    <n v="124.32364784586348"/>
    <n v="131.58633556408509"/>
    <n v="139.61419036950122"/>
    <n v="148.35762519800713"/>
    <n v="157.89585083940938"/>
    <n v="168.41058221835266"/>
    <n v="180.02871632088969"/>
    <n v="192.78305598328089"/>
  </r>
  <r>
    <x v="16"/>
    <x v="1"/>
    <x v="6"/>
    <n v="59.100560926132289"/>
    <n v="61.309611696088496"/>
    <n v="63.671106098847702"/>
    <n v="66.165879031780619"/>
    <n v="68.845585671169502"/>
    <n v="71.731734300096676"/>
    <n v="74.802578046624674"/>
    <n v="78.166734580123489"/>
    <n v="81.787780607424537"/>
    <n v="85.652078620238768"/>
    <n v="89.861908550206536"/>
    <n v="94.366719516908887"/>
    <n v="99.239577183718211"/>
  </r>
  <r>
    <x v="16"/>
    <x v="1"/>
    <x v="7"/>
    <n v="38.381035578616078"/>
    <n v="40.28441394175595"/>
    <n v="42.380313013842652"/>
    <n v="44.617494291561655"/>
    <n v="47.008750539022309"/>
    <n v="49.58637817831687"/>
    <n v="52.342905924733905"/>
    <n v="55.311711405752206"/>
    <n v="58.535039903589926"/>
    <n v="61.993167283498032"/>
    <n v="65.732071037607341"/>
    <n v="69.780020899250516"/>
    <n v="74.199704523891413"/>
  </r>
  <r>
    <x v="16"/>
    <x v="2"/>
    <x v="8"/>
    <n v="202.84813139929872"/>
    <n v="213.07584061394164"/>
    <n v="223.21583398735891"/>
    <n v="233.97244263228254"/>
    <n v="245.60484023175002"/>
    <n v="257.98806166587678"/>
    <n v="270.50944967132568"/>
    <n v="283.82055653512691"/>
    <n v="298.33007623976721"/>
    <n v="313.54355918607644"/>
    <n v="330.29713838576697"/>
    <n v="348.08618552814971"/>
    <n v="366.70105536698748"/>
  </r>
  <r>
    <x v="16"/>
    <x v="2"/>
    <x v="9"/>
    <n v="232.54375977528207"/>
    <n v="247.27186430314339"/>
    <n v="263.17304094152928"/>
    <n v="280.26412788073429"/>
    <n v="298.56909126135793"/>
    <n v="318.27919889462174"/>
    <n v="339.77869748614069"/>
    <n v="363.05360053623048"/>
    <n v="388.39952129310456"/>
    <n v="415.91093517994148"/>
    <n v="445.66088356528735"/>
    <n v="478.17879806728098"/>
    <n v="513.78394203629944"/>
  </r>
  <r>
    <x v="16"/>
    <x v="2"/>
    <x v="10"/>
    <n v="146.23651400938675"/>
    <n v="154.27386616318279"/>
    <n v="163.12875851337571"/>
    <n v="172.61598542833613"/>
    <n v="182.79416172437394"/>
    <n v="193.79884882465572"/>
    <n v="205.61284774352552"/>
    <n v="218.37895430133776"/>
    <n v="232.27776627199944"/>
    <n v="247.24750809401868"/>
    <n v="263.48702893003338"/>
    <n v="281.12807984143353"/>
    <n v="300.44356498276835"/>
  </r>
  <r>
    <x v="16"/>
    <x v="2"/>
    <x v="11"/>
    <n v="55.24452124541277"/>
    <n v="57.794825186818542"/>
    <n v="60.694254437735829"/>
    <n v="63.782634197272884"/>
    <n v="67.098638860597717"/>
    <n v="70.64283858961771"/>
    <n v="74.447699828588043"/>
    <n v="78.591944779605598"/>
    <n v="83.02566695984676"/>
    <n v="87.83748001944484"/>
    <n v="92.997903416876753"/>
    <n v="98.575044928920391"/>
    <n v="104.69540006553443"/>
  </r>
  <r>
    <x v="16"/>
    <x v="3"/>
    <x v="12"/>
    <n v="165.34993889605607"/>
    <n v="174.73982533151604"/>
    <n v="184.74871179291597"/>
    <n v="195.52655127340506"/>
    <n v="207.17201039917097"/>
    <n v="219.76336406912424"/>
    <n v="233.04422017165655"/>
    <n v="247.46952185195914"/>
    <n v="263.14606539544604"/>
    <n v="279.87131208770211"/>
    <n v="298.07092867639199"/>
    <n v="317.89768692498012"/>
    <n v="339.27039662162201"/>
  </r>
  <r>
    <x v="16"/>
    <x v="3"/>
    <x v="13"/>
    <n v="173.49806844080302"/>
    <n v="182.54609340508526"/>
    <n v="192.11595069669875"/>
    <n v="202.29932833939685"/>
    <n v="213.20691756296438"/>
    <n v="224.85259484945863"/>
    <n v="237.19666049401633"/>
    <n v="250.43100474032104"/>
    <n v="264.79309083560617"/>
    <n v="280.1493207528024"/>
    <n v="296.7678043276544"/>
    <n v="314.67786260767252"/>
    <n v="334.00284209794569"/>
  </r>
  <r>
    <x v="16"/>
    <x v="3"/>
    <x v="14"/>
    <n v="113.27920339747037"/>
    <n v="118.36334208780238"/>
    <n v="123.72256974452904"/>
    <n v="129.36495649760329"/>
    <n v="135.30897114610474"/>
    <n v="141.61381468586134"/>
    <n v="148.37037455576069"/>
    <n v="155.53483578297812"/>
    <n v="163.2773880325143"/>
    <n v="171.66148822316526"/>
    <n v="180.70137766252657"/>
    <n v="190.3394741601204"/>
    <n v="200.82474744559539"/>
  </r>
  <r>
    <x v="16"/>
    <x v="3"/>
    <x v="15"/>
    <n v="184.74571569505082"/>
    <n v="196.76713544268276"/>
    <n v="209.62465564585597"/>
    <n v="223.44435402822063"/>
    <n v="238.37883296983946"/>
    <n v="254.4791743703278"/>
    <n v="271.73743950814639"/>
    <n v="290.40969377704238"/>
    <n v="310.81648650115147"/>
    <n v="332.85736141581157"/>
    <n v="356.90284363139148"/>
    <n v="383.05308467301165"/>
    <n v="411.52597628642656"/>
  </r>
  <r>
    <x v="17"/>
    <x v="0"/>
    <x v="0"/>
    <n v="34.605688384395052"/>
    <n v="35.503463938376825"/>
    <n v="36.479288526464053"/>
    <n v="37.5519552135422"/>
    <n v="38.698765671758949"/>
    <n v="39.98548152340895"/>
    <n v="41.33661010953567"/>
    <n v="42.840484000206111"/>
    <n v="44.468361533026467"/>
    <n v="46.23219938760748"/>
    <n v="48.172366902164562"/>
    <n v="50.309285905313722"/>
    <n v="52.634532339633871"/>
  </r>
  <r>
    <x v="17"/>
    <x v="0"/>
    <x v="1"/>
    <n v="345.70208940090015"/>
    <n v="358.84702707717554"/>
    <n v="373.36590416144583"/>
    <n v="388.756222867394"/>
    <n v="405.09441863740335"/>
    <n v="422.6209033376403"/>
    <n v="441.22580607398481"/>
    <n v="461.14743556099995"/>
    <n v="482.68668614502957"/>
    <n v="505.61920516287336"/>
    <n v="530.26500549998741"/>
    <n v="556.78611531400168"/>
    <n v="585.61072698925807"/>
  </r>
  <r>
    <x v="17"/>
    <x v="1"/>
    <x v="2"/>
    <n v="137.68408224781479"/>
    <n v="141.59659925514333"/>
    <n v="146.02677140207288"/>
    <n v="150.74164889590185"/>
    <n v="155.72702837408502"/>
    <n v="161.14659406267936"/>
    <n v="166.73405401976748"/>
    <n v="172.59900113867974"/>
    <n v="179.01755439154584"/>
    <n v="185.61700150441465"/>
    <n v="192.61944495054172"/>
    <n v="200.10969197976777"/>
    <n v="208.13867266937621"/>
  </r>
  <r>
    <x v="17"/>
    <x v="1"/>
    <x v="3"/>
    <n v="75.894735795949686"/>
    <n v="79.631866619444878"/>
    <n v="83.584574097669844"/>
    <n v="87.760847693552719"/>
    <n v="92.175844381012993"/>
    <n v="96.872700838908074"/>
    <n v="101.91692587771273"/>
    <n v="107.28256384858381"/>
    <n v="113.09080675896735"/>
    <n v="119.39090400571344"/>
    <n v="126.19864865545702"/>
    <n v="133.47988692092446"/>
    <n v="141.41482788093427"/>
  </r>
  <r>
    <x v="17"/>
    <x v="1"/>
    <x v="4"/>
    <n v="61.554392314615043"/>
    <n v="64.561975709454586"/>
    <n v="67.974998302371773"/>
    <n v="71.617158235505656"/>
    <n v="75.533599969419413"/>
    <n v="79.727028738403618"/>
    <n v="84.23616573112588"/>
    <n v="89.152456575718446"/>
    <n v="94.422357864641981"/>
    <n v="100.14929909785404"/>
    <n v="106.30310609918908"/>
    <n v="112.96483174353939"/>
    <n v="120.28325133612014"/>
  </r>
  <r>
    <x v="17"/>
    <x v="1"/>
    <x v="5"/>
    <n v="51.927784550326713"/>
    <n v="53.931540923047166"/>
    <n v="56.150456752038501"/>
    <n v="58.477447826687339"/>
    <n v="60.932804205647983"/>
    <n v="63.555232949964932"/>
    <n v="66.400129536820728"/>
    <n v="69.521700901620633"/>
    <n v="72.85477291640143"/>
    <n v="76.416861122238586"/>
    <n v="80.302724566058416"/>
    <n v="84.549793445844074"/>
    <n v="89.200735420971682"/>
  </r>
  <r>
    <x v="17"/>
    <x v="1"/>
    <x v="6"/>
    <n v="32.791191656953757"/>
    <n v="33.391419741508209"/>
    <n v="34.054135302717988"/>
    <n v="34.795369903920495"/>
    <n v="35.59221338159481"/>
    <n v="36.503768379381434"/>
    <n v="37.458415895925775"/>
    <n v="38.535072232687405"/>
    <n v="39.705001902276514"/>
    <n v="40.976616280618707"/>
    <n v="42.383231516911295"/>
    <n v="43.93960302316205"/>
    <n v="45.634818302270247"/>
  </r>
  <r>
    <x v="17"/>
    <x v="1"/>
    <x v="7"/>
    <n v="20.455591219635217"/>
    <n v="21.237088766954226"/>
    <n v="22.054256831038906"/>
    <n v="22.915705525368182"/>
    <n v="23.831693997402017"/>
    <n v="24.801059891711844"/>
    <n v="25.816725122167867"/>
    <n v="26.897124863916012"/>
    <n v="28.06455384422285"/>
    <n v="29.300722539641448"/>
    <n v="30.630216613994413"/>
    <n v="32.051594106077637"/>
    <n v="33.572953719219392"/>
  </r>
  <r>
    <x v="17"/>
    <x v="2"/>
    <x v="8"/>
    <n v="136.10233660977994"/>
    <n v="139.95952642880485"/>
    <n v="144.24310733248075"/>
    <n v="148.94295783147976"/>
    <n v="153.99623495527931"/>
    <n v="159.52931921169852"/>
    <n v="165.19976137368189"/>
    <n v="170.87005813760771"/>
    <n v="177.19882969936896"/>
    <n v="183.81490218582053"/>
    <n v="190.69275624187537"/>
    <n v="197.82665769357652"/>
    <n v="205.42194446304507"/>
  </r>
  <r>
    <x v="17"/>
    <x v="2"/>
    <x v="9"/>
    <n v="129.39699959819959"/>
    <n v="135.21569036773917"/>
    <n v="141.64162265349552"/>
    <n v="148.41527130590663"/>
    <n v="155.59389041879228"/>
    <n v="163.28309475315049"/>
    <n v="171.63387589667005"/>
    <n v="180.79773486408482"/>
    <n v="190.61926029224261"/>
    <n v="201.15542981963006"/>
    <n v="212.6678046055606"/>
    <n v="225.27232871873139"/>
    <n v="239.1015029315119"/>
  </r>
  <r>
    <x v="17"/>
    <x v="2"/>
    <x v="10"/>
    <n v="77.857569404670357"/>
    <n v="80.989975102140122"/>
    <n v="84.419044555947792"/>
    <n v="88.000756986714592"/>
    <n v="91.776430515134763"/>
    <n v="95.797873274591979"/>
    <n v="100.07065164486144"/>
    <n v="104.81086397921715"/>
    <n v="109.86224142981678"/>
    <n v="115.29670842685211"/>
    <n v="121.20232152480985"/>
    <n v="127.63174891610143"/>
    <n v="134.64476525941114"/>
  </r>
  <r>
    <x v="17"/>
    <x v="2"/>
    <x v="11"/>
    <n v="36.950872172645347"/>
    <n v="38.185299116868251"/>
    <n v="39.54141814598583"/>
    <n v="40.949191956835264"/>
    <n v="42.426628419955911"/>
    <n v="43.996097621608243"/>
    <n v="45.658127268307112"/>
    <n v="47.509262580296443"/>
    <n v="49.474716256627616"/>
    <n v="51.584364118178222"/>
    <n v="53.87449002990607"/>
    <n v="56.364665890906039"/>
    <n v="59.077046674923849"/>
  </r>
  <r>
    <x v="17"/>
    <x v="3"/>
    <x v="12"/>
    <n v="104.36214998622063"/>
    <n v="108.38446443361232"/>
    <n v="112.63374256107335"/>
    <n v="117.24262615363472"/>
    <n v="122.13188432188144"/>
    <n v="127.57267473116286"/>
    <n v="133.32893388603907"/>
    <n v="139.35370925720036"/>
    <n v="146.100949887105"/>
    <n v="153.07243836295459"/>
    <n v="160.65939673516414"/>
    <n v="168.89664160810105"/>
    <n v="177.864187676482"/>
  </r>
  <r>
    <x v="17"/>
    <x v="3"/>
    <x v="13"/>
    <n v="89.06533472794375"/>
    <n v="92.239975708913008"/>
    <n v="95.749878013052466"/>
    <n v="99.448373612818642"/>
    <n v="103.35943262560389"/>
    <n v="107.47651986215361"/>
    <n v="111.79188253437587"/>
    <n v="116.33732986546364"/>
    <n v="121.18943526449002"/>
    <n v="126.40983276439164"/>
    <n v="131.96315824370896"/>
    <n v="137.83753952538882"/>
    <n v="144.09725126510054"/>
  </r>
  <r>
    <x v="17"/>
    <x v="3"/>
    <x v="14"/>
    <n v="77.628063204607059"/>
    <n v="79.661354661499772"/>
    <n v="81.915743495775189"/>
    <n v="84.241167725632806"/>
    <n v="86.672808895579394"/>
    <n v="89.253755267154631"/>
    <n v="91.981550031627236"/>
    <n v="95.04719211823209"/>
    <n v="98.29356643986236"/>
    <n v="101.77575544183578"/>
    <n v="105.55990293799303"/>
    <n v="109.67750853222581"/>
    <n v="114.16414068985681"/>
  </r>
  <r>
    <x v="17"/>
    <x v="3"/>
    <x v="15"/>
    <n v="109.25222986652382"/>
    <n v="114.06469621152728"/>
    <n v="119.54582861800887"/>
    <n v="125.37601058885002"/>
    <n v="131.62905846609752"/>
    <n v="138.30343500057816"/>
    <n v="145.46004973147831"/>
    <n v="153.24968832030999"/>
    <n v="161.57109608659866"/>
    <n v="170.59337798129886"/>
    <n v="180.25491448528581"/>
    <n v="190.68371155359964"/>
    <n v="202.11967969745263"/>
  </r>
  <r>
    <x v="18"/>
    <x v="0"/>
    <x v="0"/>
    <n v="40.980064363354508"/>
    <n v="42.66762196493319"/>
    <n v="44.441581545962478"/>
    <n v="46.303845333800361"/>
    <n v="48.260003267530124"/>
    <n v="50.330086334594156"/>
    <n v="52.545095553817298"/>
    <n v="54.887879676090257"/>
    <n v="57.417039733548016"/>
    <n v="60.152806362679677"/>
    <n v="63.097864898399536"/>
    <n v="66.229767255010429"/>
    <n v="69.633030564154097"/>
  </r>
  <r>
    <x v="18"/>
    <x v="0"/>
    <x v="1"/>
    <n v="363.90458474622767"/>
    <n v="380.47114968468588"/>
    <n v="398.59352013823741"/>
    <n v="417.61429866740747"/>
    <n v="437.74204373680146"/>
    <n v="459.23945797714396"/>
    <n v="482.15274140335339"/>
    <n v="507.54320257162254"/>
    <n v="534.6902325708968"/>
    <n v="563.96888346940057"/>
    <n v="595.84043694976663"/>
    <n v="630.6011875420553"/>
    <n v="668.58811904395429"/>
  </r>
  <r>
    <x v="18"/>
    <x v="1"/>
    <x v="2"/>
    <n v="130.52898884122345"/>
    <n v="135.74943282350773"/>
    <n v="140.99889230130196"/>
    <n v="146.29398670888366"/>
    <n v="151.68123887005186"/>
    <n v="157.37129848823253"/>
    <n v="163.24482710771355"/>
    <n v="169.99031583560503"/>
    <n v="177.13706179622227"/>
    <n v="184.73811546323338"/>
    <n v="193.17815605135274"/>
    <n v="202.43434208094197"/>
    <n v="212.41043954098996"/>
  </r>
  <r>
    <x v="18"/>
    <x v="1"/>
    <x v="3"/>
    <n v="86.639976350069162"/>
    <n v="91.02329399610754"/>
    <n v="95.992804026565736"/>
    <n v="101.30241723453848"/>
    <n v="107.01765075035381"/>
    <n v="113.14431892203764"/>
    <n v="119.73938075986756"/>
    <n v="126.93510991654959"/>
    <n v="134.65820482727833"/>
    <n v="143.05873933827263"/>
    <n v="152.0969147527579"/>
    <n v="161.89180597027462"/>
    <n v="172.66031127976834"/>
  </r>
  <r>
    <x v="18"/>
    <x v="1"/>
    <x v="4"/>
    <n v="73.084471769651572"/>
    <n v="77.191029540595494"/>
    <n v="81.725618539967684"/>
    <n v="86.551017821832957"/>
    <n v="91.708586269717344"/>
    <n v="97.269783615423094"/>
    <n v="103.33595706076031"/>
    <n v="110.01284015992242"/>
    <n v="117.22360237132384"/>
    <n v="125.0183657754111"/>
    <n v="133.57621000327526"/>
    <n v="142.99200517254837"/>
    <n v="153.37467619002325"/>
  </r>
  <r>
    <x v="18"/>
    <x v="1"/>
    <x v="5"/>
    <n v="58.470469786499834"/>
    <n v="61.082928043529016"/>
    <n v="64.056668685275923"/>
    <n v="67.221084414191424"/>
    <n v="70.616097429729379"/>
    <n v="74.241300104125273"/>
    <n v="78.12980492193752"/>
    <n v="82.363077981766892"/>
    <n v="86.887322682074085"/>
    <n v="91.794003067847854"/>
    <n v="97.050651819609712"/>
    <n v="102.72681937659043"/>
    <n v="108.95250804830684"/>
  </r>
  <r>
    <x v="18"/>
    <x v="1"/>
    <x v="6"/>
    <n v="37.632726333517198"/>
    <n v="38.836400961978946"/>
    <n v="40.172088999104524"/>
    <n v="41.576804995843112"/>
    <n v="43.05978136458377"/>
    <n v="44.617406343431711"/>
    <n v="46.245607286448681"/>
    <n v="47.956728607252273"/>
    <n v="49.781387967897359"/>
    <n v="51.743629321747349"/>
    <n v="53.827445993565952"/>
    <n v="56.026627653752932"/>
    <n v="58.365992608772721"/>
  </r>
  <r>
    <x v="18"/>
    <x v="1"/>
    <x v="7"/>
    <n v="18.528016028620979"/>
    <n v="19.255686283900321"/>
    <n v="20.089029131984063"/>
    <n v="20.972832825918175"/>
    <n v="21.918692319895353"/>
    <n v="22.925436838487897"/>
    <n v="24.002259820443083"/>
    <n v="25.173009746616568"/>
    <n v="26.419692659648948"/>
    <n v="27.76883686556798"/>
    <n v="29.208923227604551"/>
    <n v="30.759354542957411"/>
    <n v="32.457221940247337"/>
  </r>
  <r>
    <x v="18"/>
    <x v="2"/>
    <x v="8"/>
    <n v="140.7672978710732"/>
    <n v="145.50177727165908"/>
    <n v="150.53714092780439"/>
    <n v="155.53361504170931"/>
    <n v="160.62367653493152"/>
    <n v="165.99735183921621"/>
    <n v="171.78580866619899"/>
    <n v="178.80615450853622"/>
    <n v="186.15121532385723"/>
    <n v="193.95626596405157"/>
    <n v="202.67172077026379"/>
    <n v="212.5107510751327"/>
    <n v="223.6278382887765"/>
  </r>
  <r>
    <x v="18"/>
    <x v="2"/>
    <x v="9"/>
    <n v="145.13588562234409"/>
    <n v="153.22680960860836"/>
    <n v="162.13773491615231"/>
    <n v="171.66006958771032"/>
    <n v="181.86196598902086"/>
    <n v="192.7620437764204"/>
    <n v="204.37691185019014"/>
    <n v="216.79550304049346"/>
    <n v="230.19573823860958"/>
    <n v="244.73941680687918"/>
    <n v="260.41115730470619"/>
    <n v="277.23855868532496"/>
    <n v="295.40238866272608"/>
  </r>
  <r>
    <x v="18"/>
    <x v="2"/>
    <x v="10"/>
    <n v="84.885785662254349"/>
    <n v="89.094397451949249"/>
    <n v="93.726201272457942"/>
    <n v="98.652673284251861"/>
    <n v="103.90723764952608"/>
    <n v="109.49416998917422"/>
    <n v="115.41642729229643"/>
    <n v="121.7176619154222"/>
    <n v="128.49039198221766"/>
    <n v="135.81589704262123"/>
    <n v="143.67513686660573"/>
    <n v="152.07310029637981"/>
    <n v="161.09855303968797"/>
  </r>
  <r>
    <x v="18"/>
    <x v="2"/>
    <x v="11"/>
    <n v="34.095679953910576"/>
    <n v="35.315787317402375"/>
    <n v="36.634024567785275"/>
    <n v="38.071786087536346"/>
    <n v="39.609166830853013"/>
    <n v="41.315978706927275"/>
    <n v="43.11868914848516"/>
    <n v="45.111762783260872"/>
    <n v="47.269926759760324"/>
    <n v="49.610110018528289"/>
    <n v="52.180286906590403"/>
    <n v="55.008544740228238"/>
    <n v="58.092369616917878"/>
  </r>
  <r>
    <x v="18"/>
    <x v="3"/>
    <x v="12"/>
    <n v="105.55122791497507"/>
    <n v="109.81928621311636"/>
    <n v="114.68430004981752"/>
    <n v="119.65112084708232"/>
    <n v="124.85392587541276"/>
    <n v="130.47154179846871"/>
    <n v="136.43033891023833"/>
    <n v="143.77854573981773"/>
    <n v="151.45049157079399"/>
    <n v="159.62094439103788"/>
    <n v="168.75450047549884"/>
    <n v="179.20203751087865"/>
    <n v="190.86451112792724"/>
  </r>
  <r>
    <x v="18"/>
    <x v="3"/>
    <x v="13"/>
    <n v="106.45237569932144"/>
    <n v="111.10936358286894"/>
    <n v="116.01411206451768"/>
    <n v="121.1733545592981"/>
    <n v="126.60353324462837"/>
    <n v="132.35912823902726"/>
    <n v="138.52399666251583"/>
    <n v="145.05586652711736"/>
    <n v="152.11223185002203"/>
    <n v="159.75046829096922"/>
    <n v="167.98189931480871"/>
    <n v="176.7510273440156"/>
    <n v="186.28725594174077"/>
  </r>
  <r>
    <x v="18"/>
    <x v="3"/>
    <x v="14"/>
    <n v="75.432405459899528"/>
    <n v="78.205296219413768"/>
    <n v="81.111109642246973"/>
    <n v="84.151446893010558"/>
    <n v="87.334567846678382"/>
    <n v="90.694709383262122"/>
    <n v="94.285278545363624"/>
    <n v="98.072354033435985"/>
    <n v="102.15791474729592"/>
    <n v="106.57392262747177"/>
    <n v="111.32068209251598"/>
    <n v="116.35411435408184"/>
    <n v="121.81876463769991"/>
  </r>
  <r>
    <x v="18"/>
    <x v="3"/>
    <x v="15"/>
    <n v="117.44864003538621"/>
    <n v="124.00482563421998"/>
    <n v="131.22557992761773"/>
    <n v="138.94222170181686"/>
    <n v="147.21002003761203"/>
    <n v="156.04416489098003"/>
    <n v="165.45822283905287"/>
    <n v="175.52431594734168"/>
    <n v="186.38663413633287"/>
    <n v="198.1763545226014"/>
    <n v="210.88121996534264"/>
    <n v="224.52377558808968"/>
    <n v="239.25061790074039"/>
  </r>
  <r>
    <x v="19"/>
    <x v="0"/>
    <x v="0"/>
    <n v="11.47614589836428"/>
    <n v="11.704664263733218"/>
    <n v="11.965916644008699"/>
    <n v="12.239878027693091"/>
    <n v="12.528690678944386"/>
    <n v="12.830647507246219"/>
    <n v="13.14397432272521"/>
    <n v="13.471632754621645"/>
    <n v="13.821568093342915"/>
    <n v="14.199516803927109"/>
    <n v="14.599937901114656"/>
    <n v="15.020179910761584"/>
    <n v="15.466011925992177"/>
  </r>
  <r>
    <x v="19"/>
    <x v="0"/>
    <x v="1"/>
    <n v="127.55948107088487"/>
    <n v="130.18673342183578"/>
    <n v="133.06888826378847"/>
    <n v="136.2702729975756"/>
    <n v="139.70327382827779"/>
    <n v="143.6013890117535"/>
    <n v="147.68595336816597"/>
    <n v="152.2693054964582"/>
    <n v="157.2411825222344"/>
    <n v="162.63743159922572"/>
    <n v="168.59305278158854"/>
    <n v="175.17039676978226"/>
    <n v="182.33001690084822"/>
  </r>
  <r>
    <x v="19"/>
    <x v="1"/>
    <x v="2"/>
    <n v="50.609481911001552"/>
    <n v="50.77044714597406"/>
    <n v="50.981469811044008"/>
    <n v="51.362605358484515"/>
    <n v="51.819760718258422"/>
    <n v="52.563034028137167"/>
    <n v="53.261562524148331"/>
    <n v="54.222083789669767"/>
    <n v="55.307542983084403"/>
    <n v="56.544540520442212"/>
    <n v="58.074093939358306"/>
    <n v="59.900400982893217"/>
    <n v="61.932382081715247"/>
  </r>
  <r>
    <x v="19"/>
    <x v="1"/>
    <x v="3"/>
    <n v="28.440654819323171"/>
    <n v="29.431602146033477"/>
    <n v="30.485675017459283"/>
    <n v="31.596885826474288"/>
    <n v="32.760318761954217"/>
    <n v="33.989587469290335"/>
    <n v="35.317120398189218"/>
    <n v="36.730089574541012"/>
    <n v="38.247814814783659"/>
    <n v="39.867251702648623"/>
    <n v="41.583037818922136"/>
    <n v="43.432379804276323"/>
    <n v="45.428869240551251"/>
  </r>
  <r>
    <x v="19"/>
    <x v="1"/>
    <x v="4"/>
    <n v="21.349428080774796"/>
    <n v="22.206773781354467"/>
    <n v="23.152020255484352"/>
    <n v="24.15080908036985"/>
    <n v="25.209613322395995"/>
    <n v="26.32757256926806"/>
    <n v="27.503506875266567"/>
    <n v="28.745942892842429"/>
    <n v="30.074610136513979"/>
    <n v="31.505865864564914"/>
    <n v="33.032165815651098"/>
    <n v="34.651704455404669"/>
    <n v="36.381778090186351"/>
  </r>
  <r>
    <x v="19"/>
    <x v="1"/>
    <x v="5"/>
    <n v="20.188294499188228"/>
    <n v="20.772347337328561"/>
    <n v="21.393481219722545"/>
    <n v="22.046793173172194"/>
    <n v="22.728232300928276"/>
    <n v="23.44668847607435"/>
    <n v="24.223821574164116"/>
    <n v="25.049749460609618"/>
    <n v="25.936727779579112"/>
    <n v="26.881558045348314"/>
    <n v="27.879539088630374"/>
    <n v="28.954604988705135"/>
    <n v="30.114393346916795"/>
  </r>
  <r>
    <x v="19"/>
    <x v="1"/>
    <x v="6"/>
    <n v="10.218582275914896"/>
    <n v="10.321837435315242"/>
    <n v="10.437899672649161"/>
    <n v="10.562204603711685"/>
    <n v="10.701907104857719"/>
    <n v="10.858677986392836"/>
    <n v="11.027388503486673"/>
    <n v="11.222580117949413"/>
    <n v="11.43638662977601"/>
    <n v="11.664824797344869"/>
    <n v="11.920018138229491"/>
    <n v="12.192476235185586"/>
    <n v="12.489537079414161"/>
  </r>
  <r>
    <x v="19"/>
    <x v="1"/>
    <x v="7"/>
    <n v="8.2291853830465129"/>
    <n v="8.3883898395631817"/>
    <n v="8.5842589314378177"/>
    <n v="8.7908529830561495"/>
    <n v="9.0121322988275541"/>
    <n v="9.2464759898369859"/>
    <n v="9.4965278156362505"/>
    <n v="9.7704924154675972"/>
    <n v="10.059668271840144"/>
    <n v="10.372907472803902"/>
    <n v="10.704135881911778"/>
    <n v="11.059010214078905"/>
    <n v="11.449068988056602"/>
  </r>
  <r>
    <x v="19"/>
    <x v="2"/>
    <x v="8"/>
    <n v="46.732970940232349"/>
    <n v="47.297908018685604"/>
    <n v="47.897015992327667"/>
    <n v="48.564914802244076"/>
    <n v="49.307933303889257"/>
    <n v="50.134954584191249"/>
    <n v="50.916622027061564"/>
    <n v="51.795789433154184"/>
    <n v="52.8032069300302"/>
    <n v="53.866407919725987"/>
    <n v="55.016947515973044"/>
    <n v="56.288513115596373"/>
    <n v="57.659476753049091"/>
  </r>
  <r>
    <x v="19"/>
    <x v="2"/>
    <x v="9"/>
    <n v="50.518261491888467"/>
    <n v="51.99557376385561"/>
    <n v="53.574034410440738"/>
    <n v="55.314428900797438"/>
    <n v="57.147879476011212"/>
    <n v="59.218699633155204"/>
    <n v="61.451817370027285"/>
    <n v="63.922643796153871"/>
    <n v="66.576745310349523"/>
    <n v="69.46643329419031"/>
    <n v="72.656641950377193"/>
    <n v="76.174177392615888"/>
    <n v="79.985364397438119"/>
  </r>
  <r>
    <x v="19"/>
    <x v="2"/>
    <x v="10"/>
    <n v="30.021782219140697"/>
    <n v="30.640519408638848"/>
    <n v="31.381795698210357"/>
    <n v="32.200064839265593"/>
    <n v="33.080005887419382"/>
    <n v="34.076306678324535"/>
    <n v="35.136650255187917"/>
    <n v="36.338293839596197"/>
    <n v="37.608211219708835"/>
    <n v="39.008335323981058"/>
    <n v="40.553052291815732"/>
    <n v="42.245203801620228"/>
    <n v="44.104914705267525"/>
  </r>
  <r>
    <x v="19"/>
    <x v="2"/>
    <x v="11"/>
    <n v="11.762612317987649"/>
    <n v="11.957396494388931"/>
    <n v="12.181958806818399"/>
    <n v="12.430742482961588"/>
    <n v="12.69614583990233"/>
    <n v="13.002075623328738"/>
    <n v="13.324838038614402"/>
    <n v="13.684211182175597"/>
    <n v="14.074587155488736"/>
    <n v="14.49577186525547"/>
    <n v="14.966348924537224"/>
    <n v="15.482682370711357"/>
    <n v="16.046272971085671"/>
  </r>
  <r>
    <x v="19"/>
    <x v="3"/>
    <x v="12"/>
    <n v="41.311900933456428"/>
    <n v="41.71295697623151"/>
    <n v="42.151076760140654"/>
    <n v="42.775665518992895"/>
    <n v="43.477449063262668"/>
    <n v="44.472909469492834"/>
    <n v="45.510974118001286"/>
    <n v="46.855099764170177"/>
    <n v="48.327384134079693"/>
    <n v="50.0024777114578"/>
    <n v="51.970913900152397"/>
    <n v="54.291584061755998"/>
    <n v="56.867347610881353"/>
  </r>
  <r>
    <x v="19"/>
    <x v="3"/>
    <x v="13"/>
    <n v="33.432446033412369"/>
    <n v="34.191949700524013"/>
    <n v="35.051038204731583"/>
    <n v="35.951858296515383"/>
    <n v="36.901028196550662"/>
    <n v="37.893899210935203"/>
    <n v="38.925571353364859"/>
    <n v="40.005114071512622"/>
    <n v="41.15649383495014"/>
    <n v="42.397359915059518"/>
    <n v="43.711878374717259"/>
    <n v="45.092689304666983"/>
    <n v="46.55762894353041"/>
  </r>
  <r>
    <x v="19"/>
    <x v="3"/>
    <x v="14"/>
    <n v="26.635592142791026"/>
    <n v="27.084592961056483"/>
    <n v="27.548577157894936"/>
    <n v="28.036545325577066"/>
    <n v="28.55871654155488"/>
    <n v="29.110701511739517"/>
    <n v="29.681418960767974"/>
    <n v="30.289929923957175"/>
    <n v="30.958006638117322"/>
    <n v="31.660750660279149"/>
    <n v="32.421453581691893"/>
    <n v="33.233838027660461"/>
    <n v="34.101857307601051"/>
  </r>
  <r>
    <x v="19"/>
    <x v="3"/>
    <x v="15"/>
    <n v="37.655687859589335"/>
    <n v="38.901898047756987"/>
    <n v="40.284112785029997"/>
    <n v="41.746081884183347"/>
    <n v="43.294770705853985"/>
    <n v="44.954526326832166"/>
    <n v="46.711963258757045"/>
    <n v="48.590794491439873"/>
    <n v="50.620866008430148"/>
    <n v="52.776360116356365"/>
    <n v="55.088744826141635"/>
    <n v="57.572465286460393"/>
    <n v="60.269194964827584"/>
  </r>
  <r>
    <x v="20"/>
    <x v="0"/>
    <x v="0"/>
    <n v="4.5162869518199198"/>
    <n v="4.5840061870386801"/>
    <n v="4.6539957211741543"/>
    <n v="4.7277628701186192"/>
    <n v="4.8070093391702367"/>
    <n v="4.890965431807877"/>
    <n v="4.9777426457011904"/>
    <n v="5.0705212265026081"/>
    <n v="5.172911993766304"/>
    <n v="5.2807009272397627"/>
    <n v="5.3977421773956307"/>
    <n v="5.5229389073645558"/>
    <n v="5.6569022833959917"/>
  </r>
  <r>
    <x v="20"/>
    <x v="0"/>
    <x v="1"/>
    <n v="46.027300622377986"/>
    <n v="46.700439063073709"/>
    <n v="47.502780315576068"/>
    <n v="48.333103655569232"/>
    <n v="49.204331550382982"/>
    <n v="50.142926038092902"/>
    <n v="51.185898190024517"/>
    <n v="52.365678117287302"/>
    <n v="53.621422820813635"/>
    <n v="54.958226175012854"/>
    <n v="56.435957478352677"/>
    <n v="58.06840302803046"/>
    <n v="59.8711783132606"/>
  </r>
  <r>
    <x v="20"/>
    <x v="1"/>
    <x v="2"/>
    <n v="19.504503868029495"/>
    <n v="19.511026423340489"/>
    <n v="19.578047248708259"/>
    <n v="19.627802540860024"/>
    <n v="19.670930351975279"/>
    <n v="19.72304739458135"/>
    <n v="19.837169010909079"/>
    <n v="20.024347260097869"/>
    <n v="20.210004817733179"/>
    <n v="20.404832276472376"/>
    <n v="20.656627403096351"/>
    <n v="20.977973997231388"/>
    <n v="21.371875482670617"/>
  </r>
  <r>
    <x v="20"/>
    <x v="1"/>
    <x v="3"/>
    <n v="9.8199330225859462"/>
    <n v="10.100846901188607"/>
    <n v="10.392561880638057"/>
    <n v="10.698750969743951"/>
    <n v="11.023714675557812"/>
    <n v="11.366303017043386"/>
    <n v="11.722686581182481"/>
    <n v="12.100751815365449"/>
    <n v="12.509822435440634"/>
    <n v="12.940776235794399"/>
    <n v="13.403745554440656"/>
    <n v="13.897088165675807"/>
    <n v="14.423341164357598"/>
  </r>
  <r>
    <x v="20"/>
    <x v="1"/>
    <x v="4"/>
    <n v="8.107253774117595"/>
    <n v="8.36229614513835"/>
    <n v="8.6454973423963839"/>
    <n v="8.9432588042480905"/>
    <n v="9.2575438284694211"/>
    <n v="9.5875502915468083"/>
    <n v="9.932378634975322"/>
    <n v="10.294657063521324"/>
    <n v="10.680931053214506"/>
    <n v="11.096322339159059"/>
    <n v="11.537353469436413"/>
    <n v="12.002653736885764"/>
    <n v="12.497502464083533"/>
  </r>
  <r>
    <x v="20"/>
    <x v="1"/>
    <x v="5"/>
    <n v="6.7613251970224191"/>
    <n v="6.8967215316034753"/>
    <n v="7.0516289617676238"/>
    <n v="7.2153797830402659"/>
    <n v="7.3887514336908806"/>
    <n v="7.5754386854114832"/>
    <n v="7.7725811795807527"/>
    <n v="7.983621324138249"/>
    <n v="8.2128245285104953"/>
    <n v="8.4551963468297071"/>
    <n v="8.7151515901682348"/>
    <n v="8.994176331724276"/>
    <n v="9.2979174051840179"/>
  </r>
  <r>
    <x v="20"/>
    <x v="1"/>
    <x v="6"/>
    <n v="4.3548575906754801"/>
    <n v="4.3826772222000443"/>
    <n v="4.4174341028264887"/>
    <n v="4.4609457960043564"/>
    <n v="4.5099469642776935"/>
    <n v="4.5717093840565397"/>
    <n v="4.6367906757295243"/>
    <n v="4.7148108937106628"/>
    <n v="4.8017697256925587"/>
    <n v="4.8983342051168766"/>
    <n v="5.0081102750601971"/>
    <n v="5.1323365980135467"/>
    <n v="5.2691862966436256"/>
  </r>
  <r>
    <x v="20"/>
    <x v="1"/>
    <x v="7"/>
    <n v="1.995714121766972"/>
    <n v="2.0308770266414262"/>
    <n v="2.0716065004134112"/>
    <n v="2.1147286317911624"/>
    <n v="2.1604536355821287"/>
    <n v="2.2098426972612173"/>
    <n v="2.2620347533485545"/>
    <n v="2.3180109869563514"/>
    <n v="2.3789822539885677"/>
    <n v="2.4434656988802028"/>
    <n v="2.5127113635464529"/>
    <n v="2.5871131058642307"/>
    <n v="2.6682577837171988"/>
  </r>
  <r>
    <x v="20"/>
    <x v="2"/>
    <x v="8"/>
    <n v="16.333725365657727"/>
    <n v="16.434056803164907"/>
    <n v="16.58666550100218"/>
    <n v="16.738929221382925"/>
    <n v="16.889346296163289"/>
    <n v="17.072067713942687"/>
    <n v="17.252201432201318"/>
    <n v="17.478876326824235"/>
    <n v="17.709532956005049"/>
    <n v="17.944554069643573"/>
    <n v="18.215226537445005"/>
    <n v="18.526675214970204"/>
    <n v="18.874393154628393"/>
  </r>
  <r>
    <x v="20"/>
    <x v="2"/>
    <x v="9"/>
    <n v="18.592571664854848"/>
    <n v="18.967073190651554"/>
    <n v="19.392344060531574"/>
    <n v="19.83744167106958"/>
    <n v="20.308264174472011"/>
    <n v="20.80239945242143"/>
    <n v="21.368877978032401"/>
    <n v="21.993785098768633"/>
    <n v="22.66415440161731"/>
    <n v="23.383910266360122"/>
    <n v="24.165225915134638"/>
    <n v="25.023742204099083"/>
    <n v="25.968961665676883"/>
  </r>
  <r>
    <x v="20"/>
    <x v="2"/>
    <x v="10"/>
    <n v="10.704307717995004"/>
    <n v="10.897402439887371"/>
    <n v="11.110797722182079"/>
    <n v="11.333768873949365"/>
    <n v="11.574630352631255"/>
    <n v="11.82754286355452"/>
    <n v="12.105008482727783"/>
    <n v="12.410847208613413"/>
    <n v="12.742578573291517"/>
    <n v="13.094419379053187"/>
    <n v="13.484069895542072"/>
    <n v="13.907355002469698"/>
    <n v="14.36785476451826"/>
  </r>
  <r>
    <x v="20"/>
    <x v="2"/>
    <x v="11"/>
    <n v="4.9129828256903254"/>
    <n v="4.9859128164085558"/>
    <n v="5.0669687530343852"/>
    <n v="5.1507267592859804"/>
    <n v="5.239100066286662"/>
    <n v="5.3318814399821415"/>
    <n v="5.4375529427642064"/>
    <n v="5.5526907095836302"/>
    <n v="5.6780688836660609"/>
    <n v="5.8160433871957338"/>
    <n v="5.9691773076265848"/>
    <n v="6.1335695138560347"/>
    <n v="6.316871011833058"/>
  </r>
  <r>
    <x v="20"/>
    <x v="3"/>
    <x v="12"/>
    <n v="12.903651182563294"/>
    <n v="12.972977950003482"/>
    <n v="13.129808669564817"/>
    <n v="13.265552372242823"/>
    <n v="13.400213674698158"/>
    <n v="13.532289989100747"/>
    <n v="13.721426635966559"/>
    <n v="13.972906824497983"/>
    <n v="14.216633373126626"/>
    <n v="14.455679611471723"/>
    <n v="14.735019299731398"/>
    <n v="15.074369219429819"/>
    <n v="15.470217419359223"/>
  </r>
  <r>
    <x v="20"/>
    <x v="3"/>
    <x v="13"/>
    <n v="13.561583267043277"/>
    <n v="13.693635810037916"/>
    <n v="13.848094279689505"/>
    <n v="14.03087610429986"/>
    <n v="14.231988324397273"/>
    <n v="14.47455517534264"/>
    <n v="14.72908625203091"/>
    <n v="15.026251570068986"/>
    <n v="15.353716046893165"/>
    <n v="15.713902750228987"/>
    <n v="16.118692343966039"/>
    <n v="16.572499566664856"/>
    <n v="17.069894583207898"/>
  </r>
  <r>
    <x v="20"/>
    <x v="3"/>
    <x v="14"/>
    <n v="9.6623637310569261"/>
    <n v="9.8058159164494896"/>
    <n v="9.9540822365816268"/>
    <n v="10.110384457280386"/>
    <n v="10.278358171281978"/>
    <n v="10.456352498505131"/>
    <n v="10.640325635433754"/>
    <n v="10.837072985807879"/>
    <n v="11.05430625687957"/>
    <n v="11.28301131375318"/>
    <n v="11.531418111580606"/>
    <n v="11.797174842703029"/>
    <n v="12.08157941357155"/>
  </r>
  <r>
    <x v="20"/>
    <x v="3"/>
    <x v="15"/>
    <n v="14.41598939353441"/>
    <n v="14.812015573621499"/>
    <n v="15.224790850914275"/>
    <n v="15.654053591864779"/>
    <n v="16.100780719175813"/>
    <n v="16.57069380695226"/>
    <n v="17.072802312294488"/>
    <n v="17.599967963415065"/>
    <n v="18.169679137680582"/>
    <n v="18.786333426798731"/>
    <n v="19.448569900470261"/>
    <n v="20.147298306597307"/>
    <n v="20.906389180517923"/>
  </r>
  <r>
    <x v="21"/>
    <x v="0"/>
    <x v="0"/>
    <n v="69.446703022318076"/>
    <n v="72.835776680073408"/>
    <n v="76.681853530559792"/>
    <n v="80.785971215999581"/>
    <n v="85.199009438406264"/>
    <n v="89.923966557696488"/>
    <n v="95.004462550528061"/>
    <n v="100.54357196935695"/>
    <n v="106.48083167705461"/>
    <n v="112.93281166097682"/>
    <n v="119.86539821591425"/>
    <n v="127.36990276995495"/>
    <n v="135.61397447828315"/>
  </r>
  <r>
    <x v="21"/>
    <x v="0"/>
    <x v="1"/>
    <n v="655.33737517715724"/>
    <n v="695.07216351624095"/>
    <n v="737.89156729797185"/>
    <n v="783.81808270375711"/>
    <n v="832.89376468235093"/>
    <n v="885.62679615397496"/>
    <n v="943.05702103562226"/>
    <n v="1005.1082738916903"/>
    <n v="1072.5620625777824"/>
    <n v="1145.636330199392"/>
    <n v="1224.4875188108804"/>
    <n v="1310.5241807468224"/>
    <n v="1404.5643814295061"/>
  </r>
  <r>
    <x v="21"/>
    <x v="1"/>
    <x v="2"/>
    <n v="252.25239190414925"/>
    <n v="265.61504732273022"/>
    <n v="279.68100004551093"/>
    <n v="294.67191052425994"/>
    <n v="310.40716693022796"/>
    <n v="327.03749099187951"/>
    <n v="345.26673109355681"/>
    <n v="364.57406477183997"/>
    <n v="385.38787156230251"/>
    <n v="407.33508991859037"/>
    <n v="430.24427894150472"/>
    <n v="455.23041681247992"/>
    <n v="481.90165531827756"/>
  </r>
  <r>
    <x v="21"/>
    <x v="1"/>
    <x v="3"/>
    <n v="151.13650568859606"/>
    <n v="160.75604297813757"/>
    <n v="171.63146396379818"/>
    <n v="183.3656155107326"/>
    <n v="196.10461655219376"/>
    <n v="209.89171650049661"/>
    <n v="224.8663609597333"/>
    <n v="241.31547223698547"/>
    <n v="259.14833380889587"/>
    <n v="278.698434979284"/>
    <n v="299.9446635448341"/>
    <n v="323.17678654297924"/>
    <n v="348.89272705930654"/>
  </r>
  <r>
    <x v="21"/>
    <x v="1"/>
    <x v="4"/>
    <n v="133.05013943587076"/>
    <n v="142.89400414222078"/>
    <n v="153.52280463073259"/>
    <n v="164.99246239338873"/>
    <n v="177.37552396013027"/>
    <n v="190.80294812586803"/>
    <n v="205.45963085846654"/>
    <n v="221.36062946978859"/>
    <n v="238.82262417341724"/>
    <n v="258.03673032444499"/>
    <n v="279.13530580519028"/>
    <n v="302.14772148704697"/>
    <n v="327.58610293613941"/>
  </r>
  <r>
    <x v="21"/>
    <x v="1"/>
    <x v="5"/>
    <n v="100.35139715199092"/>
    <n v="106.683058705951"/>
    <n v="113.45649241637676"/>
    <n v="120.6971237085986"/>
    <n v="128.44117909949392"/>
    <n v="136.76536461246585"/>
    <n v="145.78156409921547"/>
    <n v="155.47619829945609"/>
    <n v="166.04758461854638"/>
    <n v="177.59822525419818"/>
    <n v="190.18542081305489"/>
    <n v="203.79329579018881"/>
    <n v="218.7314753315855"/>
  </r>
  <r>
    <x v="21"/>
    <x v="1"/>
    <x v="6"/>
    <n v="57.891404623458328"/>
    <n v="60.356215433882554"/>
    <n v="63.053134723405243"/>
    <n v="65.876131987871659"/>
    <n v="68.856958059056794"/>
    <n v="72.035516314282987"/>
    <n v="75.417292718795011"/>
    <n v="79.166482331012887"/>
    <n v="83.167486092574052"/>
    <n v="87.476404907341632"/>
    <n v="92.16207377566613"/>
    <n v="97.267023834959318"/>
    <n v="102.83956966587415"/>
  </r>
  <r>
    <x v="21"/>
    <x v="1"/>
    <x v="7"/>
    <n v="30.102239395409939"/>
    <n v="31.603571613392251"/>
    <n v="33.228525048707972"/>
    <n v="35.000809794905031"/>
    <n v="36.907329519654439"/>
    <n v="39.017726166678429"/>
    <n v="41.26990385638323"/>
    <n v="43.758998751964242"/>
    <n v="46.468993999100832"/>
    <n v="49.424256476509605"/>
    <n v="52.681174146544485"/>
    <n v="56.278839049122958"/>
    <n v="60.226825596606126"/>
  </r>
  <r>
    <x v="21"/>
    <x v="2"/>
    <x v="8"/>
    <n v="247.62700873450342"/>
    <n v="260.1145996733606"/>
    <n v="273.40822438071712"/>
    <n v="287.69497653489054"/>
    <n v="302.69518762761368"/>
    <n v="318.60444421303748"/>
    <n v="336.39174300771401"/>
    <n v="354.90712127821132"/>
    <n v="374.9485784232337"/>
    <n v="396.46451613057229"/>
    <n v="418.74211053652539"/>
    <n v="442.77533163800558"/>
    <n v="468.81685899713534"/>
  </r>
  <r>
    <x v="21"/>
    <x v="2"/>
    <x v="9"/>
    <n v="251.78979983734698"/>
    <n v="268.50845296597663"/>
    <n v="286.90293725450869"/>
    <n v="306.58290398498366"/>
    <n v="327.75912036111032"/>
    <n v="350.69719487825176"/>
    <n v="375.51559724601083"/>
    <n v="403.12928327771107"/>
    <n v="433.10674440874726"/>
    <n v="465.86387571347285"/>
    <n v="501.91602689258934"/>
    <n v="541.67470188726998"/>
    <n v="585.61210643394281"/>
  </r>
  <r>
    <x v="21"/>
    <x v="2"/>
    <x v="10"/>
    <n v="166.77947348587603"/>
    <n v="177.42376421673814"/>
    <n v="188.79597100980121"/>
    <n v="201.00698864413752"/>
    <n v="214.19104420237267"/>
    <n v="228.39050659008268"/>
    <n v="243.59456450547131"/>
    <n v="260.02910618074105"/>
    <n v="277.97668929598268"/>
    <n v="297.34201437848247"/>
    <n v="318.45093609591618"/>
    <n v="341.38652883199904"/>
    <n v="366.33639151218193"/>
  </r>
  <r>
    <x v="21"/>
    <x v="2"/>
    <x v="11"/>
    <n v="58.587796141748839"/>
    <n v="61.861123340238997"/>
    <n v="65.466288183504574"/>
    <n v="69.319184755744928"/>
    <n v="73.447421929660578"/>
    <n v="77.858617030299541"/>
    <n v="82.55957882695435"/>
    <n v="87.586335124383695"/>
    <n v="93.010882126873256"/>
    <n v="98.898735637841085"/>
    <n v="105.24384350176364"/>
    <n v="112.05752115950267"/>
    <n v="119.41299896452917"/>
  </r>
  <r>
    <x v="21"/>
    <x v="3"/>
    <x v="12"/>
    <n v="169.30355108273784"/>
    <n v="179.72615486942732"/>
    <n v="190.79797156364293"/>
    <n v="202.64072764726711"/>
    <n v="215.01732769908131"/>
    <n v="228.17276111811168"/>
    <n v="243.20296936187697"/>
    <n v="259.54409493837773"/>
    <n v="277.11269644601634"/>
    <n v="296.29435442184183"/>
    <n v="316.49534288527116"/>
    <n v="338.879219464676"/>
    <n v="363.62319455061584"/>
  </r>
  <r>
    <x v="21"/>
    <x v="3"/>
    <x v="13"/>
    <n v="197.69886824124421"/>
    <n v="208.25947637233929"/>
    <n v="219.89150791685779"/>
    <n v="232.34049614264296"/>
    <n v="245.68162635471464"/>
    <n v="260.09305057207462"/>
    <n v="275.54685177559099"/>
    <n v="292.22967110455397"/>
    <n v="310.37763214997005"/>
    <n v="329.90159937921777"/>
    <n v="351.06068145575767"/>
    <n v="374.02306189309377"/>
    <n v="399.14371804226198"/>
  </r>
  <r>
    <x v="21"/>
    <x v="3"/>
    <x v="14"/>
    <n v="138.17330295354566"/>
    <n v="144.94001356676898"/>
    <n v="152.38710875352729"/>
    <n v="160.30442853755099"/>
    <n v="168.74545188339516"/>
    <n v="177.71619566137599"/>
    <n v="187.22052096934232"/>
    <n v="197.3282914146919"/>
    <n v="208.18842886417278"/>
    <n v="219.93130102884132"/>
    <n v="232.52452256910723"/>
    <n v="245.97466868682346"/>
    <n v="260.42380372890358"/>
  </r>
  <r>
    <x v="21"/>
    <x v="3"/>
    <x v="15"/>
    <n v="219.60835592194763"/>
    <n v="234.98229538777878"/>
    <n v="251.49683259450362"/>
    <n v="269.31840159229557"/>
    <n v="288.64836818356611"/>
    <n v="309.56875536010921"/>
    <n v="332.09114147934008"/>
    <n v="356.54978840342358"/>
    <n v="383.36413679467779"/>
    <n v="412.4418870304678"/>
    <n v="444.27237011665841"/>
    <n v="479.01713347218407"/>
    <n v="516.98763958600784"/>
  </r>
  <r>
    <x v="22"/>
    <x v="0"/>
    <x v="0"/>
    <n v="5.3365485060767623"/>
    <n v="5.4260488906724111"/>
    <n v="5.5185357033184816"/>
    <n v="5.6158111827910142"/>
    <n v="5.7199210254056618"/>
    <n v="5.8299843797478665"/>
    <n v="5.9437804927273277"/>
    <n v="6.065125435553071"/>
    <n v="6.1983768727117168"/>
    <n v="6.338546652906655"/>
    <n v="6.4902960465178028"/>
    <n v="6.6523654886440458"/>
    <n v="6.8255436986082199"/>
  </r>
  <r>
    <x v="22"/>
    <x v="0"/>
    <x v="1"/>
    <n v="53.238044789729216"/>
    <n v="54.523358929576553"/>
    <n v="55.86131075362993"/>
    <n v="57.250382957940438"/>
    <n v="58.693604035468915"/>
    <n v="60.211255911198997"/>
    <n v="61.835301310890465"/>
    <n v="63.538800296889285"/>
    <n v="65.384060615180488"/>
    <n v="67.385473601750547"/>
    <n v="69.536581687269717"/>
    <n v="71.80336589092822"/>
    <n v="74.269704939991399"/>
  </r>
  <r>
    <x v="22"/>
    <x v="1"/>
    <x v="2"/>
    <n v="18.920127007114743"/>
    <n v="19.328796187723491"/>
    <n v="19.681860471618066"/>
    <n v="20.011059359952874"/>
    <n v="20.322467156705933"/>
    <n v="20.605538271092016"/>
    <n v="20.925556405079433"/>
    <n v="21.198855228888405"/>
    <n v="21.507021038805817"/>
    <n v="21.851566743016221"/>
    <n v="22.210219523826289"/>
    <n v="22.530161809223955"/>
    <n v="22.876051017883057"/>
  </r>
  <r>
    <x v="22"/>
    <x v="1"/>
    <x v="3"/>
    <n v="12.384865984448643"/>
    <n v="12.689659219805757"/>
    <n v="13.021525093320813"/>
    <n v="13.387064623481116"/>
    <n v="13.778053010521072"/>
    <n v="14.217802482884553"/>
    <n v="14.679278371395579"/>
    <n v="15.193762010227543"/>
    <n v="15.750852083765231"/>
    <n v="16.354615909097969"/>
    <n v="17.019150568905758"/>
    <n v="17.751433244084247"/>
    <n v="18.548226943769329"/>
  </r>
  <r>
    <x v="22"/>
    <x v="1"/>
    <x v="4"/>
    <n v="10.987549474130574"/>
    <n v="11.328650243930122"/>
    <n v="11.725696789998393"/>
    <n v="12.14506156539216"/>
    <n v="12.59284414940098"/>
    <n v="13.067608393984694"/>
    <n v="13.573859447943221"/>
    <n v="14.124237390680435"/>
    <n v="14.707495435750941"/>
    <n v="15.337507222634665"/>
    <n v="16.006683409609874"/>
    <n v="16.724598996118718"/>
    <n v="17.510130920569555"/>
  </r>
  <r>
    <x v="22"/>
    <x v="1"/>
    <x v="5"/>
    <n v="7.3217710159892917"/>
    <n v="7.5252739276117095"/>
    <n v="7.7364931115445339"/>
    <n v="7.9581440520340321"/>
    <n v="8.193400387743246"/>
    <n v="8.4413746237132337"/>
    <n v="8.6991920926234183"/>
    <n v="8.9726812618367102"/>
    <n v="9.268717940012257"/>
    <n v="9.5804894088763248"/>
    <n v="9.9154590689123978"/>
    <n v="10.272356577959847"/>
    <n v="10.653004749162168"/>
  </r>
  <r>
    <x v="22"/>
    <x v="1"/>
    <x v="6"/>
    <n v="5.4371923098212251"/>
    <n v="5.4965430720582358"/>
    <n v="5.5699307537973937"/>
    <n v="5.6485351968944375"/>
    <n v="5.732803730417837"/>
    <n v="5.8254286191581297"/>
    <n v="5.9239627564478399"/>
    <n v="6.0308455962269809"/>
    <n v="6.1490487241876783"/>
    <n v="6.2745014098584351"/>
    <n v="6.4102540743017657"/>
    <n v="6.557091417425907"/>
    <n v="6.7187987527337274"/>
  </r>
  <r>
    <x v="22"/>
    <x v="1"/>
    <x v="7"/>
    <n v="3.5230875043014924"/>
    <n v="3.5804851691196475"/>
    <n v="3.6443402366692124"/>
    <n v="3.7163293429768345"/>
    <n v="3.793956626085512"/>
    <n v="3.8834879001142344"/>
    <n v="3.9772327301283048"/>
    <n v="4.0835442445822681"/>
    <n v="4.1993022653702754"/>
    <n v="4.3253395611735863"/>
    <n v="4.4651110882314269"/>
    <n v="4.6200893347595873"/>
    <n v="4.7890362544817799"/>
  </r>
  <r>
    <x v="22"/>
    <x v="2"/>
    <x v="8"/>
    <n v="18.421151522956983"/>
    <n v="18.820062108019762"/>
    <n v="19.157119684721287"/>
    <n v="19.51345916575373"/>
    <n v="19.878013833785893"/>
    <n v="20.247135477351577"/>
    <n v="20.639645245662116"/>
    <n v="20.956558336436004"/>
    <n v="21.336133404760673"/>
    <n v="21.766835123231658"/>
    <n v="22.204953456720759"/>
    <n v="22.599161004839452"/>
    <n v="23.015976776396776"/>
  </r>
  <r>
    <x v="22"/>
    <x v="2"/>
    <x v="9"/>
    <n v="21.220921177943925"/>
    <n v="21.82502320983934"/>
    <n v="22.492305912140687"/>
    <n v="23.181977368297773"/>
    <n v="23.903859150090554"/>
    <n v="24.670039718627436"/>
    <n v="25.480124623403366"/>
    <n v="26.387304438360339"/>
    <n v="27.348592437077496"/>
    <n v="28.379660821179112"/>
    <n v="29.499402364283238"/>
    <n v="30.717191895001552"/>
    <n v="32.043623028145561"/>
  </r>
  <r>
    <x v="22"/>
    <x v="2"/>
    <x v="10"/>
    <n v="13.635070549861805"/>
    <n v="13.919599680982849"/>
    <n v="14.245642320841899"/>
    <n v="14.583579612708757"/>
    <n v="14.937496461616814"/>
    <n v="15.315685909821132"/>
    <n v="15.729862942987332"/>
    <n v="16.190615933079773"/>
    <n v="16.679944664818418"/>
    <n v="17.199909924785704"/>
    <n v="17.76975924400147"/>
    <n v="18.394691688093886"/>
    <n v="19.080600347539345"/>
  </r>
  <r>
    <x v="22"/>
    <x v="2"/>
    <x v="11"/>
    <n v="5.2974500450432664"/>
    <n v="5.3847228214070144"/>
    <n v="5.4847785392445374"/>
    <n v="5.5871779939711947"/>
    <n v="5.6941556153813133"/>
    <n v="5.8083791851467117"/>
    <n v="5.9294489915649864"/>
    <n v="6.0694470245662311"/>
    <n v="6.21776698123562"/>
    <n v="6.3776143854607321"/>
    <n v="6.5527626687820533"/>
    <n v="6.7446867916373829"/>
    <n v="6.9550484865179305"/>
  </r>
  <r>
    <x v="22"/>
    <x v="3"/>
    <x v="12"/>
    <n v="15.12574365498736"/>
    <n v="15.575848842774995"/>
    <n v="16.02657597053674"/>
    <n v="16.460823358517523"/>
    <n v="16.882784918455229"/>
    <n v="17.288468163489725"/>
    <n v="17.752208440076203"/>
    <n v="18.193056552869606"/>
    <n v="18.665663793374527"/>
    <n v="19.202119008794298"/>
    <n v="19.758218216638411"/>
    <n v="20.297846391647312"/>
    <n v="20.904741669522416"/>
  </r>
  <r>
    <x v="22"/>
    <x v="3"/>
    <x v="13"/>
    <n v="15.40424914937493"/>
    <n v="15.613418622855558"/>
    <n v="15.849509378545257"/>
    <n v="16.119592869110576"/>
    <n v="16.412566185510844"/>
    <n v="16.755346136441197"/>
    <n v="17.11434887752872"/>
    <n v="17.525381508910669"/>
    <n v="17.974631711236189"/>
    <n v="18.465351526015088"/>
    <n v="19.011951802787483"/>
    <n v="19.620249319064751"/>
    <n v="20.284487215229685"/>
  </r>
  <r>
    <x v="22"/>
    <x v="3"/>
    <x v="14"/>
    <n v="11.744670053503132"/>
    <n v="11.92891956125017"/>
    <n v="12.119325141232414"/>
    <n v="12.319824337455437"/>
    <n v="12.534871976846192"/>
    <n v="12.762490518103265"/>
    <n v="12.997777558117209"/>
    <n v="13.249052698820504"/>
    <n v="13.525783248954008"/>
    <n v="13.817002330065851"/>
    <n v="14.132823595364487"/>
    <n v="14.47042500486843"/>
    <n v="14.831451830486856"/>
  </r>
  <r>
    <x v="22"/>
    <x v="3"/>
    <x v="15"/>
    <n v="16.299930437940553"/>
    <n v="16.831220793368239"/>
    <n v="17.384435966634001"/>
    <n v="17.965953575647916"/>
    <n v="18.583301980062313"/>
    <n v="19.234935472912674"/>
    <n v="19.914746927895674"/>
    <n v="20.636434971841563"/>
    <n v="21.416358734327481"/>
    <n v="22.239547389781972"/>
    <n v="23.123884118997136"/>
    <n v="24.067210663991784"/>
    <n v="25.074567923360654"/>
  </r>
  <r>
    <x v="23"/>
    <x v="0"/>
    <x v="0"/>
    <n v="36.819044347243107"/>
    <n v="38.176056685281218"/>
    <n v="39.675007518424522"/>
    <n v="41.255617750436386"/>
    <n v="42.928113718015247"/>
    <n v="44.690099158478077"/>
    <n v="46.538659664441013"/>
    <n v="48.487336178960945"/>
    <n v="50.568389091204686"/>
    <n v="52.807994579008557"/>
    <n v="55.191928277770117"/>
    <n v="57.715723662974305"/>
    <n v="60.406776870272544"/>
  </r>
  <r>
    <x v="23"/>
    <x v="0"/>
    <x v="1"/>
    <n v="349.45322333638808"/>
    <n v="365.30255024658817"/>
    <n v="382.01548063427566"/>
    <n v="399.61811023858149"/>
    <n v="418.16870387613346"/>
    <n v="437.85151314725721"/>
    <n v="458.94909282698092"/>
    <n v="481.32783704221856"/>
    <n v="505.51616966982419"/>
    <n v="531.71301617852271"/>
    <n v="559.96521526583876"/>
    <n v="590.09711803915377"/>
    <n v="622.88314159007859"/>
  </r>
  <r>
    <x v="23"/>
    <x v="1"/>
    <x v="2"/>
    <n v="125.5538272386579"/>
    <n v="130.52495401948812"/>
    <n v="135.54720215573701"/>
    <n v="140.66093758884887"/>
    <n v="145.8910330867887"/>
    <n v="151.25974363806523"/>
    <n v="157.06410007604609"/>
    <n v="162.99555385725768"/>
    <n v="169.37292349272855"/>
    <n v="176.28261037929099"/>
    <n v="183.6381607689442"/>
    <n v="191.20692188249859"/>
    <n v="199.47892587058118"/>
  </r>
  <r>
    <x v="23"/>
    <x v="1"/>
    <x v="3"/>
    <n v="86.887282297081228"/>
    <n v="91.376707625487214"/>
    <n v="96.318125358918465"/>
    <n v="101.58212388990667"/>
    <n v="107.20501009063958"/>
    <n v="113.19329918194417"/>
    <n v="119.55218797023927"/>
    <n v="126.32906127061304"/>
    <n v="133.62238989126232"/>
    <n v="141.51972936923571"/>
    <n v="150.0047847166777"/>
    <n v="159.08620773995361"/>
    <n v="168.86034810972001"/>
  </r>
  <r>
    <x v="23"/>
    <x v="1"/>
    <x v="4"/>
    <n v="70.314488646622721"/>
    <n v="74.357102594984497"/>
    <n v="78.661606265136072"/>
    <n v="83.241048813341934"/>
    <n v="88.115601842241816"/>
    <n v="93.332728039001438"/>
    <n v="98.96283893396722"/>
    <n v="104.98962879969847"/>
    <n v="111.54014436992759"/>
    <n v="118.67432541815344"/>
    <n v="126.42055265688215"/>
    <n v="134.75786098691907"/>
    <n v="143.88084266364999"/>
  </r>
  <r>
    <x v="23"/>
    <x v="1"/>
    <x v="5"/>
    <n v="47.553359214561326"/>
    <n v="49.397837237722705"/>
    <n v="51.390045773212528"/>
    <n v="53.561241948478489"/>
    <n v="55.884934292410826"/>
    <n v="58.460898427873886"/>
    <n v="61.18722349696916"/>
    <n v="64.199207439329754"/>
    <n v="67.463295344885154"/>
    <n v="71.005762330014235"/>
    <n v="74.897606523790159"/>
    <n v="79.182078394815179"/>
    <n v="83.858854608914655"/>
  </r>
  <r>
    <x v="23"/>
    <x v="1"/>
    <x v="6"/>
    <n v="36.814059180573345"/>
    <n v="37.90649750563253"/>
    <n v="39.041730402053375"/>
    <n v="40.233686958373596"/>
    <n v="41.498713583473382"/>
    <n v="42.832705761951118"/>
    <n v="44.221444306299674"/>
    <n v="45.694846389000169"/>
    <n v="47.288380110277146"/>
    <n v="48.967932133571921"/>
    <n v="50.772106579855318"/>
    <n v="52.695065360000612"/>
    <n v="54.74679259540364"/>
  </r>
  <r>
    <x v="23"/>
    <x v="1"/>
    <x v="7"/>
    <n v="19.149251106134688"/>
    <n v="19.915507948554282"/>
    <n v="20.731778197642761"/>
    <n v="21.594688790068336"/>
    <n v="22.501524698594459"/>
    <n v="23.462237256899485"/>
    <n v="24.499957707900535"/>
    <n v="25.606875465280392"/>
    <n v="26.797425551948123"/>
    <n v="28.070651127264931"/>
    <n v="29.423932297459395"/>
    <n v="30.884707337940938"/>
    <n v="32.464154612081657"/>
  </r>
  <r>
    <x v="23"/>
    <x v="2"/>
    <x v="8"/>
    <n v="134.57534673384072"/>
    <n v="139.48239505723666"/>
    <n v="144.48930947925379"/>
    <n v="149.67585032905953"/>
    <n v="155.02075007515282"/>
    <n v="160.60695070247294"/>
    <n v="166.59657715289575"/>
    <n v="172.81484019881759"/>
    <n v="179.52402383468859"/>
    <n v="186.78309378288958"/>
    <n v="194.55028194575857"/>
    <n v="202.72706837098298"/>
    <n v="211.64279626661823"/>
  </r>
  <r>
    <x v="23"/>
    <x v="2"/>
    <x v="9"/>
    <n v="140.11634505647618"/>
    <n v="147.57414799280326"/>
    <n v="155.48737937135766"/>
    <n v="163.87583925090391"/>
    <n v="172.77297755252752"/>
    <n v="182.26516067673506"/>
    <n v="192.48211965254222"/>
    <n v="203.38276424042013"/>
    <n v="215.20428283519072"/>
    <n v="228.05049764785574"/>
    <n v="241.96281943882065"/>
    <n v="256.88743821146716"/>
    <n v="273.18220124475073"/>
  </r>
  <r>
    <x v="23"/>
    <x v="2"/>
    <x v="10"/>
    <n v="79.362125082481882"/>
    <n v="83.029712777158963"/>
    <n v="87.066719066545744"/>
    <n v="91.350053646222804"/>
    <n v="95.908138059582924"/>
    <n v="100.7421083763283"/>
    <n v="105.85185353759958"/>
    <n v="111.27456704438974"/>
    <n v="117.09162057864664"/>
    <n v="123.37308363833662"/>
    <n v="130.09697684776467"/>
    <n v="137.26332730131301"/>
    <n v="144.94774855884501"/>
  </r>
  <r>
    <x v="23"/>
    <x v="2"/>
    <x v="11"/>
    <n v="32.218450810832394"/>
    <n v="33.39235110467046"/>
    <n v="34.647080235543029"/>
    <n v="35.97198476283166"/>
    <n v="37.394951906885467"/>
    <n v="38.927392550198931"/>
    <n v="40.557202148384377"/>
    <n v="42.343001737552065"/>
    <n v="44.264631512502945"/>
    <n v="46.314335688449333"/>
    <n v="48.54706531126498"/>
    <n v="50.935007818364916"/>
    <n v="53.517172390137155"/>
  </r>
  <r>
    <x v="23"/>
    <x v="3"/>
    <x v="12"/>
    <n v="101.07419573782784"/>
    <n v="106.83824035144937"/>
    <n v="112.27277267808768"/>
    <n v="117.97023893135815"/>
    <n v="123.85060520578838"/>
    <n v="130.03539438833593"/>
    <n v="136.74110515571101"/>
    <n v="143.39306818268705"/>
    <n v="150.78554847395696"/>
    <n v="158.82731366101279"/>
    <n v="167.53162040424473"/>
    <n v="176.53006310788498"/>
    <n v="186.24643805251605"/>
  </r>
  <r>
    <x v="23"/>
    <x v="3"/>
    <x v="13"/>
    <n v="99.999961921506966"/>
    <n v="103.72177742327854"/>
    <n v="107.80064532046147"/>
    <n v="112.04943886220092"/>
    <n v="116.51916580604137"/>
    <n v="121.27355232908694"/>
    <n v="126.31703714950686"/>
    <n v="131.91974248765644"/>
    <n v="137.87998545738088"/>
    <n v="144.28476590482094"/>
    <n v="151.24025245838402"/>
    <n v="158.80721374930951"/>
    <n v="167.05453722770764"/>
  </r>
  <r>
    <x v="23"/>
    <x v="3"/>
    <x v="14"/>
    <n v="76.99969985541648"/>
    <n v="79.517203034752342"/>
    <n v="82.308485317695329"/>
    <n v="85.245058798441306"/>
    <n v="88.346150251038893"/>
    <n v="91.604686308353081"/>
    <n v="95.012627533036181"/>
    <n v="98.595641297525248"/>
    <n v="102.41703347421216"/>
    <n v="106.5267584632185"/>
    <n v="110.89245259689312"/>
    <n v="115.50184483354094"/>
    <n v="120.40659717512534"/>
  </r>
  <r>
    <x v="23"/>
    <x v="3"/>
    <x v="15"/>
    <n v="108.19841016887992"/>
    <n v="113.4013861223891"/>
    <n v="119.30858483645574"/>
    <n v="125.60899139701752"/>
    <n v="132.38089633128007"/>
    <n v="139.62797927995933"/>
    <n v="147.41698265316788"/>
    <n v="155.90672125331079"/>
    <n v="165.00199135547888"/>
    <n v="174.88217272847902"/>
    <n v="185.49281808408699"/>
    <n v="196.97372001139254"/>
    <n v="209.58234600500211"/>
  </r>
  <r>
    <x v="24"/>
    <x v="0"/>
    <x v="0"/>
    <n v="728.91753512158118"/>
    <n v="769.9844728486695"/>
    <n v="815.27013712649114"/>
    <n v="863.92289555321759"/>
    <n v="916.4513194606227"/>
    <n v="973.31154235396457"/>
    <n v="1034.7114984812704"/>
    <n v="1101.791038464889"/>
    <n v="1174.7468256571428"/>
    <n v="1254.1495544149213"/>
    <n v="1340.9264151036618"/>
    <n v="1435.5208367892919"/>
    <n v="1539.2363037109419"/>
  </r>
  <r>
    <x v="24"/>
    <x v="0"/>
    <x v="1"/>
    <n v="7251.0235215995408"/>
    <n v="7718.344021888458"/>
    <n v="8234.3849518418065"/>
    <n v="8791.4844697559038"/>
    <n v="9395.91399238144"/>
    <n v="10053.159529707897"/>
    <n v="10767.58250982907"/>
    <n v="11552.53077978172"/>
    <n v="12410.243702879536"/>
    <n v="13348.440574122138"/>
    <n v="14379.305993370899"/>
    <n v="15510.295219649988"/>
    <n v="16757.610619429553"/>
  </r>
  <r>
    <x v="24"/>
    <x v="1"/>
    <x v="2"/>
    <n v="2739.2841874260803"/>
    <n v="2889.0105141856166"/>
    <n v="3056.236097561979"/>
    <n v="3234.2472826296726"/>
    <n v="3425.825758772789"/>
    <n v="3631.1105938542432"/>
    <n v="3851.5738205724824"/>
    <n v="4092.2472809905958"/>
    <n v="4350.7722610462124"/>
    <n v="4630.9930710412227"/>
    <n v="4934.597249666288"/>
    <n v="5262.2211123756751"/>
    <n v="5618.8327154979606"/>
  </r>
  <r>
    <x v="24"/>
    <x v="1"/>
    <x v="3"/>
    <n v="1731.1680329581395"/>
    <n v="1857.5272879140757"/>
    <n v="1996.3146122209612"/>
    <n v="2147.2685818181844"/>
    <n v="2311.9531763005871"/>
    <n v="2492.1129346984203"/>
    <n v="2688.8078668870658"/>
    <n v="2905.1449321805217"/>
    <n v="3143.340367365141"/>
    <n v="3405.1295071572904"/>
    <n v="3694.122061688141"/>
    <n v="4012.4802532655563"/>
    <n v="4364.6208783178517"/>
  </r>
  <r>
    <x v="24"/>
    <x v="1"/>
    <x v="4"/>
    <n v="1394.9563027809779"/>
    <n v="1502.3392131864662"/>
    <n v="1620.7181497364006"/>
    <n v="1750.1425761529472"/>
    <n v="1891.8451252151137"/>
    <n v="2047.7694298258007"/>
    <n v="2218.5528046155887"/>
    <n v="2407.1911470182763"/>
    <n v="2615.8963552152463"/>
    <n v="2845.8043560822689"/>
    <n v="3100.6701906179201"/>
    <n v="3383.2199407830185"/>
    <n v="3697.4609120298346"/>
  </r>
  <r>
    <x v="24"/>
    <x v="1"/>
    <x v="5"/>
    <n v="1048.3563393085583"/>
    <n v="1117.0544518173829"/>
    <n v="1192.7096489039307"/>
    <n v="1274.3832582722989"/>
    <n v="1362.7547608544285"/>
    <n v="1459.0952272248514"/>
    <n v="1564.4150975615255"/>
    <n v="1680.6236796647527"/>
    <n v="1807.7928582666921"/>
    <n v="1946.9296158407083"/>
    <n v="2100.6602674871338"/>
    <n v="2270.6444497445632"/>
    <n v="2459.2352064427632"/>
  </r>
  <r>
    <x v="24"/>
    <x v="1"/>
    <x v="6"/>
    <n v="658.2584049099645"/>
    <n v="690.02768051824512"/>
    <n v="724.41309535311393"/>
    <n v="761.17632461933385"/>
    <n v="800.63832193041185"/>
    <n v="843.28379767554804"/>
    <n v="889.114217754739"/>
    <n v="939.08628437390212"/>
    <n v="993.35117818004778"/>
    <n v="1052.1035095196746"/>
    <n v="1116.264825362829"/>
    <n v="1185.9659210244299"/>
    <n v="1262.1616561545845"/>
  </r>
  <r>
    <x v="24"/>
    <x v="1"/>
    <x v="7"/>
    <n v="407.91778933740187"/>
    <n v="432.36934711533922"/>
    <n v="459.26348519191117"/>
    <n v="488.18934181668413"/>
    <n v="519.34816876873367"/>
    <n v="553.09908878299746"/>
    <n v="589.83020091894093"/>
    <n v="630.02849401856008"/>
    <n v="673.83750846333749"/>
    <n v="721.63006889589678"/>
    <n v="773.91781365224881"/>
    <n v="831.28437924603395"/>
    <n v="894.53555469750074"/>
  </r>
  <r>
    <x v="24"/>
    <x v="2"/>
    <x v="8"/>
    <n v="2655.0508281793605"/>
    <n v="2804.4501038581079"/>
    <n v="2968.7559708672629"/>
    <n v="3142.8145234249964"/>
    <n v="3329.6933336191119"/>
    <n v="3528.9534988245841"/>
    <n v="3744.096449458491"/>
    <n v="3978.3691716631834"/>
    <n v="4230.6261669048172"/>
    <n v="4502.8862428587927"/>
    <n v="4798.8901829016449"/>
    <n v="5118.003011618167"/>
    <n v="5464.4775780133386"/>
  </r>
  <r>
    <x v="24"/>
    <x v="2"/>
    <x v="9"/>
    <n v="2780.3085671324693"/>
    <n v="2981.7323464939714"/>
    <n v="3204.4675130654587"/>
    <n v="3447.0847412982857"/>
    <n v="3711.9815435827022"/>
    <n v="4002.1968283749216"/>
    <n v="4318.4813838980517"/>
    <n v="4666.2654839994711"/>
    <n v="5049.4287385481548"/>
    <n v="5470.5962525496752"/>
    <n v="5935.1492889325618"/>
    <n v="6447.4499465675344"/>
    <n v="7014.97608215949"/>
  </r>
  <r>
    <x v="24"/>
    <x v="2"/>
    <x v="10"/>
    <n v="1780.6247881202373"/>
    <n v="1894.6336851820947"/>
    <n v="2020.825822316523"/>
    <n v="2157.8106441894097"/>
    <n v="2306.6835098161978"/>
    <n v="2469.7179627172536"/>
    <n v="2647.3650839488737"/>
    <n v="2843.6894878412431"/>
    <n v="3058.605019521227"/>
    <n v="3294.8622327394733"/>
    <n v="3555.3544496609729"/>
    <n v="3842.944381862967"/>
    <n v="4162.1394575833883"/>
  </r>
  <r>
    <x v="24"/>
    <x v="2"/>
    <x v="11"/>
    <n v="763.95687328905524"/>
    <n v="807.51235920295142"/>
    <n v="855.60578271905126"/>
    <n v="907.69745639643111"/>
    <n v="964.00692482405157"/>
    <n v="1025.6027821451023"/>
    <n v="1092.3510910049267"/>
    <n v="1165.9976747427111"/>
    <n v="1246.3306035624771"/>
    <n v="1334.2454003891198"/>
    <n v="1430.8384869793806"/>
    <n v="1537.4187163906088"/>
    <n v="1655.2538053842775"/>
  </r>
  <r>
    <x v="24"/>
    <x v="3"/>
    <x v="12"/>
    <n v="2098.2902115380693"/>
    <n v="2243.3403259696288"/>
    <n v="2407.3140471552733"/>
    <n v="2582.1795526555479"/>
    <n v="2771.7340875907635"/>
    <n v="2974.1826867444097"/>
    <n v="3194.7856400622904"/>
    <n v="3435.436082664387"/>
    <n v="3695.8404926710446"/>
    <n v="3979.1940978661578"/>
    <n v="4287.1207320360263"/>
    <n v="4620.1809587732132"/>
    <n v="4984.6238177801361"/>
  </r>
  <r>
    <x v="24"/>
    <x v="3"/>
    <x v="13"/>
    <n v="2057.5588255867301"/>
    <n v="2178.351023712286"/>
    <n v="2310.4200914633493"/>
    <n v="2453.079011689249"/>
    <n v="2607.3938106724204"/>
    <n v="2775.5615670740308"/>
    <n v="2957.4775008047714"/>
    <n v="3156.9941568426384"/>
    <n v="3374.9216911193016"/>
    <n v="3613.1147582931931"/>
    <n v="3874.7077304840782"/>
    <n v="4161.4576897098932"/>
    <n v="4477.4547934004077"/>
  </r>
  <r>
    <x v="24"/>
    <x v="3"/>
    <x v="14"/>
    <n v="1470.6032663868166"/>
    <n v="1548.0794111536477"/>
    <n v="1632.0854296135869"/>
    <n v="1722.2023046733223"/>
    <n v="1819.2411503860444"/>
    <n v="1924.1657741370143"/>
    <n v="2037.0736031814381"/>
    <n v="2159.9409122100142"/>
    <n v="2293.7218977564903"/>
    <n v="2438.6676365075746"/>
    <n v="2596.8421284401361"/>
    <n v="2768.9363615883062"/>
    <n v="2957.0469307275521"/>
  </r>
  <r>
    <x v="24"/>
    <x v="3"/>
    <x v="15"/>
    <n v="2353.4887532095067"/>
    <n v="2518.5577339015636"/>
    <n v="2699.835520736086"/>
    <n v="2897.9464962910024"/>
    <n v="3113.9962631928347"/>
    <n v="3352.5610441064064"/>
    <n v="3612.9572642618427"/>
    <n v="3901.9506665295694"/>
    <n v="4220.5064469898416"/>
    <n v="4571.6136358701351"/>
    <n v="4961.5618175143181"/>
    <n v="5395.2410463678643"/>
    <n v="5877.7213812323971"/>
  </r>
  <r>
    <x v="24"/>
    <x v="5"/>
    <x v="42"/>
    <n v="331.27801104326164"/>
    <n v="347.44614875027105"/>
    <n v="365.17621873250255"/>
    <n v="384.08360688566296"/>
    <n v="404.28488865847044"/>
    <n v="426.02967223408723"/>
    <n v="449.24862316398674"/>
    <n v="474.23174245570812"/>
    <n v="501.34476745308041"/>
    <n v="530.40486763454783"/>
    <n v="561.81088200225952"/>
    <n v="595.78051076574877"/>
    <n v="632.81417160815374"/>
  </r>
  <r>
    <x v="24"/>
    <x v="5"/>
    <x v="43"/>
    <n v="213.6376428620147"/>
    <n v="220.50572027233795"/>
    <n v="227.87286081724739"/>
    <n v="235.63162670279226"/>
    <n v="243.95122301781532"/>
    <n v="252.90540085261165"/>
    <n v="262.43116433194655"/>
    <n v="272.88647042181429"/>
    <n v="284.11905298720376"/>
    <n v="296.07822927270428"/>
    <n v="309.10672505974293"/>
    <n v="323.03813817473508"/>
    <n v="338.10060844808783"/>
  </r>
  <r>
    <x v="24"/>
    <x v="5"/>
    <x v="44"/>
    <n v="73.127468534135204"/>
    <n v="74.605117376432972"/>
    <n v="76.206158513269472"/>
    <n v="77.893032131016582"/>
    <n v="79.716738312914643"/>
    <n v="81.695537005253911"/>
    <n v="83.79538139180211"/>
    <n v="86.123621751414149"/>
    <n v="88.634725417124457"/>
    <n v="91.300366764958753"/>
    <n v="94.215322372958013"/>
    <n v="97.318343965735494"/>
    <n v="100.67259849692795"/>
  </r>
  <r>
    <x v="24"/>
    <x v="5"/>
    <x v="45"/>
    <n v="1344.2892667733536"/>
    <n v="1445.9137518597001"/>
    <n v="1558.8979311956168"/>
    <n v="1681.2184920236136"/>
    <n v="1814.0809068774563"/>
    <n v="1959.2581934190739"/>
    <n v="2119.181408110931"/>
    <n v="2296.5908296821458"/>
    <n v="2491.024568689932"/>
    <n v="2704.3901516401238"/>
    <n v="2941.0664381484835"/>
    <n v="3204.0783838632874"/>
    <n v="3497.0763348025089"/>
  </r>
  <r>
    <x v="24"/>
    <x v="5"/>
    <x v="46"/>
    <n v="675.7035934325794"/>
    <n v="720.39374797685889"/>
    <n v="770.92757307778038"/>
    <n v="825.56256162051181"/>
    <n v="884.9858225754939"/>
    <n v="949.42668575983873"/>
    <n v="1019.551778243032"/>
    <n v="1096.7026684876751"/>
    <n v="1180.5172987684284"/>
    <n v="1272.5626283473694"/>
    <n v="1372.801251106175"/>
    <n v="1482.6182728139806"/>
    <n v="1604.3668415183479"/>
  </r>
  <r>
    <x v="24"/>
    <x v="5"/>
    <x v="47"/>
    <n v="306.5273892159035"/>
    <n v="319.58696283054655"/>
    <n v="333.98106679939877"/>
    <n v="349.20994503851267"/>
    <n v="365.37671901766271"/>
    <n v="382.50060496218248"/>
    <n v="400.60583220452196"/>
    <n v="419.84266379386804"/>
    <n v="440.44057365191316"/>
    <n v="462.63688392986859"/>
    <n v="486.39860843065685"/>
    <n v="511.7339301282675"/>
    <n v="538.90890600118951"/>
  </r>
  <r>
    <x v="24"/>
    <x v="5"/>
    <x v="48"/>
    <n v="323.83031521970219"/>
    <n v="338.02388433264025"/>
    <n v="353.26660725132535"/>
    <n v="369.42209682612224"/>
    <n v="386.78121337018928"/>
    <n v="405.4962803163653"/>
    <n v="425.50674012116991"/>
    <n v="447.4301326115438"/>
    <n v="471.07436586659435"/>
    <n v="496.40619024969794"/>
    <n v="524.04909600718645"/>
    <n v="553.79070294884104"/>
    <n v="586.08318328953828"/>
  </r>
  <r>
    <x v="24"/>
    <x v="5"/>
    <x v="49"/>
    <n v="395.3734663947771"/>
    <n v="418.89537261251934"/>
    <n v="444.02747229195649"/>
    <n v="470.93700082925136"/>
    <n v="499.9049662333091"/>
    <n v="531.03630539037101"/>
    <n v="564.28168463769873"/>
    <n v="600.12994525811041"/>
    <n v="639.19180648366194"/>
    <n v="681.22064446208356"/>
    <n v="726.9140539751404"/>
    <n v="776.44146926187727"/>
    <n v="830.2218200635599"/>
  </r>
  <r>
    <x v="24"/>
    <x v="5"/>
    <x v="50"/>
    <n v="215.42716824728461"/>
    <n v="221.8609595525626"/>
    <n v="228.71881665920259"/>
    <n v="235.96622268719432"/>
    <n v="243.55113901122601"/>
    <n v="251.59998243600029"/>
    <n v="260.27923045066478"/>
    <n v="269.5475797382677"/>
    <n v="279.50924609086292"/>
    <n v="290.14234449827904"/>
    <n v="301.42600736535019"/>
    <n v="313.60848169441834"/>
    <n v="326.76300754130716"/>
  </r>
  <r>
    <x v="24"/>
    <x v="5"/>
    <x v="51"/>
    <n v="672.23336009106492"/>
    <n v="720.68993640677945"/>
    <n v="773.53700438792475"/>
    <n v="830.76834809200523"/>
    <n v="893.28756571222164"/>
    <n v="961.71649564032282"/>
    <n v="1036.198726782947"/>
    <n v="1118.555313572909"/>
    <n v="1208.9454075861377"/>
    <n v="1307.8036997078832"/>
    <n v="1417.1299996588052"/>
    <n v="1536.9465786541123"/>
    <n v="1669.1443670358562"/>
  </r>
  <r>
    <x v="24"/>
    <x v="5"/>
    <x v="52"/>
    <n v="274.83885500804217"/>
    <n v="284.79257057766858"/>
    <n v="295.71494363225003"/>
    <n v="307.09547800846468"/>
    <n v="319.06699525495316"/>
    <n v="331.78556930962526"/>
    <n v="345.25848726935106"/>
    <n v="360.16719222165767"/>
    <n v="376.02561814445761"/>
    <n v="393.06479548321312"/>
    <n v="411.53735240196778"/>
    <n v="431.58851695727782"/>
    <n v="453.40335304389237"/>
  </r>
  <r>
    <x v="24"/>
    <x v="5"/>
    <x v="53"/>
    <n v="357.89581938684091"/>
    <n v="376.53459904152731"/>
    <n v="397.06777129588767"/>
    <n v="419.00865353406141"/>
    <n v="442.49291128774695"/>
    <n v="467.83712156403561"/>
    <n v="495.03045637451112"/>
    <n v="524.41404559277044"/>
    <n v="556.33237691521481"/>
    <n v="590.64964882565789"/>
    <n v="627.85183475954068"/>
    <n v="668.23855785058379"/>
    <n v="712.41854541758687"/>
  </r>
  <r>
    <x v="24"/>
    <x v="5"/>
    <x v="54"/>
    <n v="447.22439405654433"/>
    <n v="474.09448315948464"/>
    <n v="503.1809055589884"/>
    <n v="534.39239313181815"/>
    <n v="568.2193103584292"/>
    <n v="604.98751062560984"/>
    <n v="644.66676946464872"/>
    <n v="688.28265865573417"/>
    <n v="735.79579736935978"/>
    <n v="787.26314138021894"/>
    <n v="843.78317475126755"/>
    <n v="905.21498439725303"/>
    <n v="972.50855868400345"/>
  </r>
  <r>
    <x v="24"/>
    <x v="5"/>
    <x v="55"/>
    <n v="1681.3116858681137"/>
    <n v="1820.0098865626715"/>
    <n v="1974.3544921910946"/>
    <n v="2142.9572362166218"/>
    <n v="2327.588729334801"/>
    <n v="2529.4961752795689"/>
    <n v="2749.8585881707932"/>
    <n v="2991.1954762824466"/>
    <n v="3256.9302944338833"/>
    <n v="3550.6308901844668"/>
    <n v="3874.1572305825453"/>
    <n v="4229.5576413765521"/>
    <n v="4621.5717331246115"/>
  </r>
  <r>
    <x v="24"/>
    <x v="5"/>
    <x v="56"/>
    <n v="542.79028163213377"/>
    <n v="577.67289719383905"/>
    <n v="616.01686071634663"/>
    <n v="656.96302840937449"/>
    <n v="700.94717954442365"/>
    <n v="748.51889487585686"/>
    <n v="799.90933063990212"/>
    <n v="857.04443635775317"/>
    <n v="918.97243588470451"/>
    <n v="986.54701942698648"/>
    <n v="1060.8257767369605"/>
    <n v="1142.6385339566834"/>
    <n v="1232.9366772872875"/>
  </r>
  <r>
    <x v="24"/>
    <x v="5"/>
    <x v="57"/>
    <n v="124.45233895537081"/>
    <n v="127.3024562312854"/>
    <n v="130.70840584750417"/>
    <n v="134.29764317209813"/>
    <n v="138.12900327494995"/>
    <n v="142.18064239105701"/>
    <n v="146.48980695243512"/>
    <n v="151.17704136279079"/>
    <n v="156.13219279411817"/>
    <n v="161.48862672900097"/>
    <n v="167.15865511551959"/>
    <n v="173.22300962992361"/>
    <n v="179.85621677763626"/>
  </r>
  <r>
    <x v="25"/>
    <x v="0"/>
    <x v="0"/>
    <n v="32.733046890704038"/>
    <n v="34.213058649203361"/>
    <n v="35.769354487242396"/>
    <n v="37.417264312420627"/>
    <n v="39.175205711005788"/>
    <n v="41.04329511358798"/>
    <n v="43.011834304327749"/>
    <n v="45.113342665254429"/>
    <n v="47.3876640119963"/>
    <n v="49.807152169406137"/>
    <n v="52.416255812547334"/>
    <n v="55.216040370004201"/>
    <n v="58.223987644209132"/>
  </r>
  <r>
    <x v="25"/>
    <x v="0"/>
    <x v="1"/>
    <n v="298.54496415255761"/>
    <n v="313.23309010106772"/>
    <n v="329.40686424526018"/>
    <n v="346.66634257324233"/>
    <n v="365.10968294746465"/>
    <n v="384.98637712049924"/>
    <n v="406.23678885965899"/>
    <n v="429.11839979045368"/>
    <n v="453.95710344108409"/>
    <n v="480.59771546514173"/>
    <n v="509.3946261897122"/>
    <n v="540.56447039574459"/>
    <n v="574.59018396394458"/>
  </r>
  <r>
    <x v="25"/>
    <x v="1"/>
    <x v="2"/>
    <n v="120.80684549445732"/>
    <n v="125.37513924720315"/>
    <n v="130.34819889177976"/>
    <n v="135.60800170550283"/>
    <n v="141.17628311953786"/>
    <n v="147.23389301799898"/>
    <n v="153.67970002710246"/>
    <n v="160.67279995696907"/>
    <n v="168.30908264899779"/>
    <n v="176.23078482658502"/>
    <n v="184.79158558604615"/>
    <n v="194.14620940444786"/>
    <n v="204.48190447859071"/>
  </r>
  <r>
    <x v="25"/>
    <x v="1"/>
    <x v="3"/>
    <n v="64.657392030721141"/>
    <n v="68.491123951179986"/>
    <n v="72.717089124782675"/>
    <n v="77.245596465267226"/>
    <n v="82.110260886535343"/>
    <n v="87.322766400201175"/>
    <n v="92.894023467495956"/>
    <n v="98.867942065621932"/>
    <n v="105.32958203408089"/>
    <n v="112.35774078517983"/>
    <n v="119.95089719118188"/>
    <n v="128.12727499177402"/>
    <n v="136.97609749183138"/>
  </r>
  <r>
    <x v="25"/>
    <x v="1"/>
    <x v="4"/>
    <n v="60.708919001913237"/>
    <n v="64.610795487697473"/>
    <n v="68.919029196282452"/>
    <n v="73.554148181103045"/>
    <n v="78.552553866340801"/>
    <n v="83.930312284562334"/>
    <n v="89.703005877009815"/>
    <n v="95.918332495675031"/>
    <n v="102.66476131108766"/>
    <n v="110.02626270618694"/>
    <n v="118.00966319583814"/>
    <n v="126.64127205466293"/>
    <n v="136.01799676334954"/>
  </r>
  <r>
    <x v="25"/>
    <x v="1"/>
    <x v="5"/>
    <n v="38.831600428198968"/>
    <n v="40.805739177559694"/>
    <n v="42.979639060561993"/>
    <n v="45.302045701911531"/>
    <n v="47.786473839431203"/>
    <n v="50.466327609254726"/>
    <n v="53.334694701991708"/>
    <n v="56.426251779673947"/>
    <n v="59.784884450356877"/>
    <n v="63.391391201923909"/>
    <n v="67.293661855534964"/>
    <n v="71.521681787751888"/>
    <n v="76.140852535944873"/>
  </r>
  <r>
    <x v="25"/>
    <x v="1"/>
    <x v="6"/>
    <n v="29.169292904941393"/>
    <n v="30.224379835133657"/>
    <n v="31.390407732599989"/>
    <n v="32.619462420074761"/>
    <n v="33.919502158445667"/>
    <n v="35.288490344471676"/>
    <n v="36.723986374899688"/>
    <n v="38.236540871956301"/>
    <n v="39.8514384041884"/>
    <n v="41.589102048295324"/>
    <n v="43.438083425046486"/>
    <n v="45.394643635808386"/>
    <n v="47.480113880972098"/>
  </r>
  <r>
    <x v="25"/>
    <x v="1"/>
    <x v="7"/>
    <n v="17.103961183029604"/>
    <n v="17.938971051497077"/>
    <n v="18.821854726495712"/>
    <n v="19.754352411803549"/>
    <n v="20.739814788179537"/>
    <n v="21.787882577598335"/>
    <n v="22.913212715487155"/>
    <n v="24.109875285811835"/>
    <n v="25.405018604368802"/>
    <n v="26.809586066376809"/>
    <n v="28.326990748611884"/>
    <n v="29.949428891303672"/>
    <n v="31.717206457465135"/>
  </r>
  <r>
    <x v="25"/>
    <x v="2"/>
    <x v="8"/>
    <n v="110.60776007436723"/>
    <n v="115.3244495997547"/>
    <n v="120.33808784625074"/>
    <n v="125.60404689910882"/>
    <n v="131.15001788080781"/>
    <n v="137.04866172001658"/>
    <n v="143.25595141184345"/>
    <n v="149.74660659008941"/>
    <n v="156.82385382285497"/>
    <n v="164.20465841852382"/>
    <n v="172.11528330886188"/>
    <n v="180.53385896947987"/>
    <n v="189.55055703751714"/>
  </r>
  <r>
    <x v="25"/>
    <x v="2"/>
    <x v="9"/>
    <n v="115.3057383879971"/>
    <n v="121.88105818288123"/>
    <n v="129.12822701074077"/>
    <n v="136.90454456308001"/>
    <n v="145.25956049498842"/>
    <n v="154.30434795152451"/>
    <n v="164.0292057331489"/>
    <n v="174.55198163374644"/>
    <n v="186.02164348189325"/>
    <n v="198.39419473577337"/>
    <n v="211.8344088076428"/>
    <n v="226.45437676275392"/>
    <n v="242.48074090442665"/>
  </r>
  <r>
    <x v="25"/>
    <x v="2"/>
    <x v="10"/>
    <n v="75.769288181330538"/>
    <n v="79.473301890414973"/>
    <n v="83.676575311212389"/>
    <n v="88.162118158412554"/>
    <n v="92.985524391448209"/>
    <n v="98.150148475360965"/>
    <n v="103.70368363279961"/>
    <n v="109.75873698363137"/>
    <n v="116.24942511777635"/>
    <n v="123.30311787812256"/>
    <n v="130.88270515580589"/>
    <n v="139.08801856424094"/>
    <n v="148.10228237178342"/>
  </r>
  <r>
    <x v="25"/>
    <x v="2"/>
    <x v="11"/>
    <n v="29.595224399566764"/>
    <n v="30.767339077220115"/>
    <n v="32.033328564298635"/>
    <n v="33.412897265061602"/>
    <n v="34.889785891225998"/>
    <n v="36.52651408718517"/>
    <n v="38.259782386194786"/>
    <n v="40.1744172482409"/>
    <n v="42.249845030555846"/>
    <n v="44.502896602128097"/>
    <n v="46.978484729948953"/>
    <n v="49.704256469274043"/>
    <n v="52.680591294426584"/>
  </r>
  <r>
    <x v="25"/>
    <x v="3"/>
    <x v="12"/>
    <n v="96.221406614280596"/>
    <n v="100.9769183148166"/>
    <n v="106.37882566675495"/>
    <n v="112.22605059790385"/>
    <n v="118.57675784352938"/>
    <n v="125.5140238479421"/>
    <n v="132.69877222630129"/>
    <n v="140.33896799632544"/>
    <n v="148.73377503729256"/>
    <n v="157.59250179582364"/>
    <n v="167.07898450521992"/>
    <n v="177.24057834738863"/>
    <n v="188.2238137008016"/>
  </r>
  <r>
    <x v="25"/>
    <x v="3"/>
    <x v="13"/>
    <n v="78.482051143394798"/>
    <n v="82.200311202407093"/>
    <n v="86.127306538851627"/>
    <n v="90.270105145692099"/>
    <n v="94.643092434947931"/>
    <n v="99.28927528738086"/>
    <n v="104.27428031178349"/>
    <n v="109.56968278214389"/>
    <n v="115.29753659149023"/>
    <n v="121.50567862973247"/>
    <n v="128.20755010855322"/>
    <n v="135.36574552395712"/>
    <n v="143.16050361852675"/>
  </r>
  <r>
    <x v="25"/>
    <x v="3"/>
    <x v="14"/>
    <n v="61.431770126454936"/>
    <n v="63.840434860596808"/>
    <n v="66.405573373152947"/>
    <n v="69.116010250251492"/>
    <n v="71.96271018120774"/>
    <n v="74.977173799249428"/>
    <n v="78.232922085976014"/>
    <n v="81.704445198743826"/>
    <n v="85.437290770003116"/>
    <n v="89.427791833881841"/>
    <n v="93.666993547686147"/>
    <n v="98.241653505674492"/>
    <n v="103.18654012630482"/>
  </r>
  <r>
    <x v="25"/>
    <x v="3"/>
    <x v="15"/>
    <n v="95.142783159131312"/>
    <n v="100.42848437245054"/>
    <n v="106.26451315374301"/>
    <n v="112.47144089181553"/>
    <n v="119.10232819878539"/>
    <n v="126.24919929951483"/>
    <n v="134.04264853992595"/>
    <n v="142.61864647849495"/>
    <n v="151.87616505429452"/>
    <n v="161.87889537510989"/>
    <n v="172.85735384080022"/>
    <n v="184.93253338872853"/>
    <n v="198.24331416252056"/>
  </r>
  <r>
    <x v="26"/>
    <x v="0"/>
    <x v="0"/>
    <n v="17.755532827160188"/>
    <n v="18.186378339914029"/>
    <n v="18.674159768187877"/>
    <n v="19.180605342482128"/>
    <n v="19.711258819839479"/>
    <n v="20.277289349443905"/>
    <n v="20.894543096946073"/>
    <n v="21.577577001637408"/>
    <n v="22.303035829671447"/>
    <n v="23.074075310814703"/>
    <n v="23.916946416644922"/>
    <n v="24.839334233417276"/>
    <n v="25.849956739410253"/>
  </r>
  <r>
    <x v="26"/>
    <x v="0"/>
    <x v="1"/>
    <n v="195.88211003485452"/>
    <n v="202.31934193242392"/>
    <n v="209.19870104905951"/>
    <n v="216.45102136031014"/>
    <n v="224.23996419797584"/>
    <n v="232.62811150316773"/>
    <n v="241.5366212350005"/>
    <n v="251.30889342017687"/>
    <n v="261.81601715753231"/>
    <n v="273.00415396188959"/>
    <n v="285.18977864309801"/>
    <n v="298.19880394131781"/>
    <n v="312.25065170867759"/>
  </r>
  <r>
    <x v="26"/>
    <x v="1"/>
    <x v="2"/>
    <n v="69.171136102930546"/>
    <n v="70.808861059430114"/>
    <n v="72.384147549841771"/>
    <n v="74.036166656860445"/>
    <n v="75.868830358540578"/>
    <n v="77.9050325879507"/>
    <n v="80.01302650375132"/>
    <n v="82.404027275084616"/>
    <n v="84.997583733074691"/>
    <n v="87.706844175950948"/>
    <n v="90.738000516251958"/>
    <n v="93.841410479312458"/>
    <n v="97.096570071666889"/>
  </r>
  <r>
    <x v="26"/>
    <x v="1"/>
    <x v="3"/>
    <n v="44.704841760765625"/>
    <n v="46.465981295747142"/>
    <n v="48.415259705755496"/>
    <n v="50.460781730229613"/>
    <n v="52.620278804942764"/>
    <n v="54.927441622060975"/>
    <n v="57.430487816298019"/>
    <n v="60.176755619004091"/>
    <n v="63.110394333149451"/>
    <n v="66.24700995301535"/>
    <n v="69.669219662495607"/>
    <n v="73.410156595928072"/>
    <n v="77.507601840363606"/>
  </r>
  <r>
    <x v="26"/>
    <x v="1"/>
    <x v="4"/>
    <n v="35.757468570050882"/>
    <n v="37.322060973123094"/>
    <n v="39.104539600953025"/>
    <n v="41.000170313066221"/>
    <n v="43.032995740342621"/>
    <n v="45.20239646097955"/>
    <n v="47.52816343309771"/>
    <n v="50.059431863723226"/>
    <n v="52.76295240444405"/>
    <n v="55.69380173137035"/>
    <n v="58.831670231876565"/>
    <n v="62.218160710455336"/>
    <n v="65.931342892989008"/>
  </r>
  <r>
    <x v="26"/>
    <x v="1"/>
    <x v="5"/>
    <n v="31.267853988429003"/>
    <n v="32.471841534530846"/>
    <n v="33.731078616071443"/>
    <n v="35.058782305006403"/>
    <n v="36.470707841163389"/>
    <n v="37.965149849307274"/>
    <n v="39.531345219961032"/>
    <n v="41.19758504454574"/>
    <n v="42.998104676908724"/>
    <n v="44.904999232358989"/>
    <n v="46.956040196628429"/>
    <n v="49.149142267585674"/>
    <n v="51.496847697747114"/>
  </r>
  <r>
    <x v="26"/>
    <x v="1"/>
    <x v="6"/>
    <n v="19.974573948733529"/>
    <n v="20.299619422525353"/>
    <n v="20.681836697885267"/>
    <n v="21.077431944007451"/>
    <n v="21.492102747869531"/>
    <n v="21.937497373867199"/>
    <n v="22.429954323102614"/>
    <n v="22.983909637867132"/>
    <n v="23.572952708196702"/>
    <n v="24.199488642412717"/>
    <n v="24.890056406892661"/>
    <n v="25.651040648972582"/>
    <n v="26.489673596959737"/>
  </r>
  <r>
    <x v="26"/>
    <x v="1"/>
    <x v="7"/>
    <n v="12.761768491105112"/>
    <n v="13.13735598698139"/>
    <n v="13.555998646740404"/>
    <n v="13.998293753622123"/>
    <n v="14.466307524956447"/>
    <n v="14.967882958445964"/>
    <n v="15.498187035735866"/>
    <n v="16.064760981589487"/>
    <n v="16.677065131430147"/>
    <n v="17.326085537595922"/>
    <n v="18.021738045597726"/>
    <n v="18.76822747248098"/>
    <n v="19.578572348361472"/>
  </r>
  <r>
    <x v="26"/>
    <x v="2"/>
    <x v="8"/>
    <n v="67.753446109462431"/>
    <n v="68.982408115599924"/>
    <n v="70.35841393138719"/>
    <n v="71.799381722426318"/>
    <n v="73.380527883758873"/>
    <n v="75.146368672376923"/>
    <n v="77.076229947229308"/>
    <n v="79.310838861272146"/>
    <n v="81.686272181084348"/>
    <n v="84.211307197992625"/>
    <n v="87.026800323539931"/>
    <n v="89.999592225241088"/>
    <n v="93.249971489353499"/>
  </r>
  <r>
    <x v="26"/>
    <x v="2"/>
    <x v="9"/>
    <n v="73.362482328142576"/>
    <n v="76.641580558195329"/>
    <n v="80.088226204908494"/>
    <n v="83.736488623416292"/>
    <n v="87.62727930799926"/>
    <n v="91.760492325920168"/>
    <n v="96.114078867067107"/>
    <n v="100.76037240841559"/>
    <n v="105.78792220320733"/>
    <n v="111.13443817826978"/>
    <n v="116.89861710902886"/>
    <n v="123.08220765996211"/>
    <n v="129.72354802501792"/>
  </r>
  <r>
    <x v="26"/>
    <x v="2"/>
    <x v="10"/>
    <n v="50.683093108450649"/>
    <n v="52.429148478282897"/>
    <n v="54.295109350627705"/>
    <n v="56.263567804238093"/>
    <n v="58.377527668163211"/>
    <n v="60.653940511860398"/>
    <n v="63.072985461126841"/>
    <n v="65.724978944582432"/>
    <n v="68.577263052179489"/>
    <n v="71.616640554966779"/>
    <n v="74.926974568630783"/>
    <n v="78.463751944679544"/>
    <n v="82.2857274878928"/>
  </r>
  <r>
    <x v="26"/>
    <x v="2"/>
    <x v="11"/>
    <n v="21.838621315959042"/>
    <n v="22.452583120259817"/>
    <n v="23.131111330323982"/>
    <n v="23.832188552711568"/>
    <n v="24.565888157894001"/>
    <n v="25.344599342454146"/>
    <n v="26.167870056523288"/>
    <n v="27.090280207544147"/>
    <n v="28.067595550732577"/>
    <n v="29.115843341475092"/>
    <n v="30.254333058543349"/>
    <n v="31.492586344852331"/>
    <n v="32.841361445823594"/>
  </r>
  <r>
    <x v="26"/>
    <x v="3"/>
    <x v="12"/>
    <n v="55.641624471972307"/>
    <n v="57.698130697988461"/>
    <n v="59.775331286433044"/>
    <n v="61.872421044866314"/>
    <n v="64.183566775987231"/>
    <n v="66.652869344972771"/>
    <n v="69.245259726110589"/>
    <n v="72.164558573438796"/>
    <n v="75.296278726810897"/>
    <n v="78.529653411448066"/>
    <n v="82.181361055006164"/>
    <n v="85.931426067088921"/>
    <n v="89.925124675783167"/>
  </r>
  <r>
    <x v="26"/>
    <x v="3"/>
    <x v="13"/>
    <n v="54.95058469825878"/>
    <n v="56.258326097828707"/>
    <n v="57.683958652448503"/>
    <n v="59.256441071891288"/>
    <n v="60.939015509850265"/>
    <n v="62.83452512617869"/>
    <n v="64.822984777712605"/>
    <n v="67.042306924546708"/>
    <n v="69.446046660773021"/>
    <n v="72.051697038346617"/>
    <n v="74.920882992688433"/>
    <n v="78.083693828805821"/>
    <n v="81.525195461647982"/>
  </r>
  <r>
    <x v="26"/>
    <x v="3"/>
    <x v="14"/>
    <n v="39.997434919825373"/>
    <n v="40.768049087336522"/>
    <n v="41.716733490077296"/>
    <n v="42.717387936957699"/>
    <n v="43.789244531697847"/>
    <n v="44.924410815654113"/>
    <n v="46.135716771735439"/>
    <n v="47.463004082812297"/>
    <n v="48.863975520968737"/>
    <n v="50.381612108068708"/>
    <n v="51.986384322199079"/>
    <n v="53.705744573862134"/>
    <n v="55.595700534811471"/>
  </r>
  <r>
    <x v="26"/>
    <x v="3"/>
    <x v="15"/>
    <n v="63.047998771958241"/>
    <n v="65.781214389184271"/>
    <n v="68.696837388288543"/>
    <n v="71.785376649076966"/>
    <n v="75.039396200279995"/>
    <n v="78.493595565806089"/>
    <n v="82.227203056387907"/>
    <n v="86.216600841016501"/>
    <n v="90.512752078651104"/>
    <n v="95.115266714840885"/>
    <n v="100.01809668984926"/>
    <n v="105.31727370497821"/>
    <n v="111.05458777584519"/>
  </r>
  <r>
    <x v="27"/>
    <x v="0"/>
    <x v="0"/>
    <n v="6.2471028749718771"/>
    <n v="6.3319511029567073"/>
    <n v="6.4333757807360588"/>
    <n v="6.5413187913660193"/>
    <n v="6.6563476491283717"/>
    <n v="6.7816421324390781"/>
    <n v="6.9144321039244394"/>
    <n v="7.0576214762566609"/>
    <n v="7.2147669853818641"/>
    <n v="7.3811992382413489"/>
    <n v="7.5605765644007938"/>
    <n v="7.7539227788316429"/>
    <n v="7.9658200788683731"/>
  </r>
  <r>
    <x v="27"/>
    <x v="0"/>
    <x v="1"/>
    <n v="66.880365659163331"/>
    <n v="68.273166273476264"/>
    <n v="69.772782732533415"/>
    <n v="71.351713339650559"/>
    <n v="73.060390663786265"/>
    <n v="74.913894872814836"/>
    <n v="76.880949287877669"/>
    <n v="79.066000275157492"/>
    <n v="81.419958431742586"/>
    <n v="83.919167526717402"/>
    <n v="86.654745808557223"/>
    <n v="89.564421186903857"/>
    <n v="92.706778418059571"/>
  </r>
  <r>
    <x v="27"/>
    <x v="1"/>
    <x v="2"/>
    <n v="26.30726308477977"/>
    <n v="26.464717422754475"/>
    <n v="26.643879137996286"/>
    <n v="26.837361794610914"/>
    <n v="27.079776004897099"/>
    <n v="27.373055612610621"/>
    <n v="27.683532088824087"/>
    <n v="28.093122974511964"/>
    <n v="28.535668379855444"/>
    <n v="28.985958342060144"/>
    <n v="29.510988676719066"/>
    <n v="30.072004031315998"/>
    <n v="30.674823844208987"/>
  </r>
  <r>
    <x v="27"/>
    <x v="1"/>
    <x v="3"/>
    <n v="15.59794439466388"/>
    <n v="16.050892828575812"/>
    <n v="16.535287506856424"/>
    <n v="17.045290912902189"/>
    <n v="17.593484145660263"/>
    <n v="18.184329809898795"/>
    <n v="18.811166678830116"/>
    <n v="19.500312947692645"/>
    <n v="20.241047818637156"/>
    <n v="21.028607083544472"/>
    <n v="21.886816186105165"/>
    <n v="22.801499596825987"/>
    <n v="23.788772863041157"/>
  </r>
  <r>
    <x v="27"/>
    <x v="1"/>
    <x v="4"/>
    <n v="13.093004045404319"/>
    <n v="13.575025394712663"/>
    <n v="14.080171988836735"/>
    <n v="14.608725502788666"/>
    <n v="15.162123627116364"/>
    <n v="15.746314218064892"/>
    <n v="16.370574700734966"/>
    <n v="17.02902181777003"/>
    <n v="17.739368409241717"/>
    <n v="18.507172871691516"/>
    <n v="19.332497265800285"/>
    <n v="20.207695856418383"/>
    <n v="21.157880397097056"/>
  </r>
  <r>
    <x v="27"/>
    <x v="1"/>
    <x v="5"/>
    <n v="9.7548273036067492"/>
    <n v="9.9941798488600373"/>
    <n v="10.263750233478563"/>
    <n v="10.548399067318684"/>
    <n v="10.849448084387683"/>
    <n v="11.172524322309842"/>
    <n v="11.513684249671703"/>
    <n v="11.878248788331826"/>
    <n v="12.272854790686081"/>
    <n v="12.690415315496445"/>
    <n v="13.137837989576829"/>
    <n v="13.617733836427179"/>
    <n v="14.139055727235682"/>
  </r>
  <r>
    <x v="27"/>
    <x v="1"/>
    <x v="6"/>
    <n v="5.293873011636677"/>
    <n v="5.3672965057603568"/>
    <n v="5.4546622572378807"/>
    <n v="5.5465853220200776"/>
    <n v="5.6439450725543567"/>
    <n v="5.7458650406619007"/>
    <n v="5.8514582068107597"/>
    <n v="5.961965750873552"/>
    <n v="6.080804275607365"/>
    <n v="6.210337005200695"/>
    <n v="6.3479374889361484"/>
    <n v="6.4922951660424655"/>
    <n v="6.6457682139982799"/>
  </r>
  <r>
    <x v="27"/>
    <x v="1"/>
    <x v="7"/>
    <n v="3.0805566940438149"/>
    <n v="3.1530053757696304"/>
    <n v="3.228407388863586"/>
    <n v="3.306669531376051"/>
    <n v="3.3879613782988725"/>
    <n v="3.4734480017078613"/>
    <n v="3.564965466930472"/>
    <n v="3.6609494722341323"/>
    <n v="3.7649817430966896"/>
    <n v="3.8778761469654821"/>
    <n v="3.9992447658205266"/>
    <n v="4.1271154787054716"/>
    <n v="4.2662974513467917"/>
  </r>
  <r>
    <x v="27"/>
    <x v="2"/>
    <x v="8"/>
    <n v="22.908897348527191"/>
    <n v="23.187705157881396"/>
    <n v="23.469252694269301"/>
    <n v="23.760806521095205"/>
    <n v="24.114313339656682"/>
    <n v="24.500150416465438"/>
    <n v="24.914094825437381"/>
    <n v="25.360594932015545"/>
    <n v="25.858841522403381"/>
    <n v="26.358082563605308"/>
    <n v="26.914401289609259"/>
    <n v="27.440050161315966"/>
    <n v="27.988544069509416"/>
  </r>
  <r>
    <x v="27"/>
    <x v="2"/>
    <x v="9"/>
    <n v="26.518489943941937"/>
    <n v="27.285845126183741"/>
    <n v="28.132893992319659"/>
    <n v="29.008723685629143"/>
    <n v="29.925663562668159"/>
    <n v="30.898903363264967"/>
    <n v="31.92802572865779"/>
    <n v="33.079757501088295"/>
    <n v="34.300376285002244"/>
    <n v="35.609631609239834"/>
    <n v="37.031349690885207"/>
    <n v="38.577451521526626"/>
    <n v="40.261410028991186"/>
  </r>
  <r>
    <x v="27"/>
    <x v="2"/>
    <x v="10"/>
    <n v="16.615532281038753"/>
    <n v="16.918989432658385"/>
    <n v="17.254083418376037"/>
    <n v="17.628933059195845"/>
    <n v="18.031926206381293"/>
    <n v="18.493002369260168"/>
    <n v="18.975871982697136"/>
    <n v="19.520510228711903"/>
    <n v="20.112353295627699"/>
    <n v="20.755656247221882"/>
    <n v="21.467288349288697"/>
    <n v="22.254715098619506"/>
    <n v="23.112400427137693"/>
  </r>
  <r>
    <x v="27"/>
    <x v="2"/>
    <x v="11"/>
    <n v="7.0845489606273198"/>
    <n v="7.2125776597094537"/>
    <n v="7.3499284083044811"/>
    <n v="7.4945688650963893"/>
    <n v="7.6448352042085146"/>
    <n v="7.8034808562633398"/>
    <n v="7.9773888550097984"/>
    <n v="8.1627590895984099"/>
    <n v="8.3631543140911369"/>
    <n v="8.5769963448917252"/>
    <n v="8.8022830431748584"/>
    <n v="9.0461271842733915"/>
    <n v="9.310243971289653"/>
  </r>
  <r>
    <x v="27"/>
    <x v="3"/>
    <x v="12"/>
    <n v="18.885980478783893"/>
    <n v="19.262487579808145"/>
    <n v="19.636666541506571"/>
    <n v="20.027926592564313"/>
    <n v="20.471258398756483"/>
    <n v="20.974660874885345"/>
    <n v="21.486523510465688"/>
    <n v="22.08311752158059"/>
    <n v="22.734459913163278"/>
    <n v="23.409466631593574"/>
    <n v="24.192892692623843"/>
    <n v="25.007596892569779"/>
    <n v="25.876196408395572"/>
  </r>
  <r>
    <x v="27"/>
    <x v="3"/>
    <x v="13"/>
    <n v="19.405551353669861"/>
    <n v="19.713384394902683"/>
    <n v="20.048567832801524"/>
    <n v="20.402775813476847"/>
    <n v="20.790125352008136"/>
    <n v="21.214397138829376"/>
    <n v="21.666166778838349"/>
    <n v="22.174435921755283"/>
    <n v="22.724582674882218"/>
    <n v="23.309358391201425"/>
    <n v="23.9535280288294"/>
    <n v="24.638974643931579"/>
    <n v="25.381168859608206"/>
  </r>
  <r>
    <x v="27"/>
    <x v="3"/>
    <x v="14"/>
    <n v="13.606530364594349"/>
    <n v="13.73326179055276"/>
    <n v="13.916157485483911"/>
    <n v="14.111461141883707"/>
    <n v="14.325097874830762"/>
    <n v="14.553881568012271"/>
    <n v="14.80145221867336"/>
    <n v="15.079965484004072"/>
    <n v="15.374998229498942"/>
    <n v="15.699500156352912"/>
    <n v="16.043315515274283"/>
    <n v="16.414248285183703"/>
    <n v="16.828517176864203"/>
  </r>
  <r>
    <x v="27"/>
    <x v="3"/>
    <x v="15"/>
    <n v="21.229406337087095"/>
    <n v="21.895983611169385"/>
    <n v="22.604766653477473"/>
    <n v="23.350868583091721"/>
    <n v="24.13025668731926"/>
    <n v="24.952597423526914"/>
    <n v="25.841238883824712"/>
    <n v="26.786102824074209"/>
    <n v="27.800684599580016"/>
    <n v="28.882041585810839"/>
    <n v="30.025586136230483"/>
    <n v="31.257524144050443"/>
    <n v="32.586716052059963"/>
  </r>
  <r>
    <x v="28"/>
    <x v="0"/>
    <x v="0"/>
    <n v="125.76763891311795"/>
    <n v="134.84700050779549"/>
    <n v="144.90651332002361"/>
    <n v="155.79974949844981"/>
    <n v="167.62107579547697"/>
    <n v="180.4240268951163"/>
    <n v="194.26241942989392"/>
    <n v="209.26093599775086"/>
    <n v="225.63661052014339"/>
    <n v="243.6026866057889"/>
    <n v="263.20751870381508"/>
    <n v="284.54388664652527"/>
    <n v="307.86547134423745"/>
  </r>
  <r>
    <x v="28"/>
    <x v="0"/>
    <x v="1"/>
    <n v="1218.5216278602356"/>
    <n v="1311.0667513519047"/>
    <n v="1413.9914178755932"/>
    <n v="1525.4187425251639"/>
    <n v="1646.4598310819792"/>
    <n v="1778.8341665239575"/>
    <n v="1924.918988681037"/>
    <n v="2087.3298936843948"/>
    <n v="2265.3879581697888"/>
    <n v="2460.7874650343347"/>
    <n v="2677.8589194446686"/>
    <n v="2919.5344972167622"/>
    <n v="3189.2108634582714"/>
  </r>
  <r>
    <x v="28"/>
    <x v="1"/>
    <x v="2"/>
    <n v="441.30042944014474"/>
    <n v="468.32359345339205"/>
    <n v="498.88054287906789"/>
    <n v="531.23875041076735"/>
    <n v="565.6304267643909"/>
    <n v="602.8967240694069"/>
    <n v="644.42899242807334"/>
    <n v="691.39201432259028"/>
    <n v="741.78778883936207"/>
    <n v="796.21469367110876"/>
    <n v="856.84521815655717"/>
    <n v="925.12786017081226"/>
    <n v="1001.9939006816007"/>
  </r>
  <r>
    <x v="28"/>
    <x v="1"/>
    <x v="3"/>
    <n v="295.22648025454413"/>
    <n v="320.80363652856011"/>
    <n v="349.36915073588477"/>
    <n v="380.67905144908127"/>
    <n v="415.06171149356203"/>
    <n v="452.75947296665527"/>
    <n v="494.02552571630525"/>
    <n v="539.30378508033345"/>
    <n v="589.29668735293194"/>
    <n v="644.73070478863497"/>
    <n v="705.93039637830088"/>
    <n v="773.35173842238487"/>
    <n v="847.90705914074226"/>
  </r>
  <r>
    <x v="28"/>
    <x v="1"/>
    <x v="4"/>
    <n v="252.00875412253001"/>
    <n v="275.3803977009112"/>
    <n v="300.9949463842936"/>
    <n v="329.16723943336433"/>
    <n v="360.27646810586282"/>
    <n v="394.57921740863776"/>
    <n v="432.25730874995804"/>
    <n v="473.92070273051507"/>
    <n v="520.33663288821379"/>
    <n v="571.63356885214125"/>
    <n v="628.74599754456108"/>
    <n v="692.21238811415458"/>
    <n v="762.81996218562244"/>
  </r>
  <r>
    <x v="28"/>
    <x v="1"/>
    <x v="5"/>
    <n v="181.72884571799392"/>
    <n v="195.69053354297307"/>
    <n v="211.22500787747487"/>
    <n v="228.05578307480766"/>
    <n v="246.35218715395857"/>
    <n v="266.37512915911719"/>
    <n v="288.48486503587742"/>
    <n v="313.07854370608021"/>
    <n v="340.06045653358029"/>
    <n v="369.69083007336008"/>
    <n v="402.62678256584832"/>
    <n v="439.31731408336094"/>
    <n v="480.28276863858946"/>
  </r>
  <r>
    <x v="28"/>
    <x v="1"/>
    <x v="6"/>
    <n v="104.52760971504867"/>
    <n v="111.25487877085777"/>
    <n v="118.45919495411957"/>
    <n v="126.16880913211693"/>
    <n v="134.42339519961951"/>
    <n v="143.30517837267996"/>
    <n v="152.93363210770036"/>
    <n v="163.2971756065767"/>
    <n v="174.6067254579383"/>
    <n v="186.97344002317683"/>
    <n v="200.46141073893966"/>
    <n v="215.05789670155235"/>
    <n v="231.09358491937425"/>
  </r>
  <r>
    <x v="28"/>
    <x v="1"/>
    <x v="7"/>
    <n v="69.497147523092082"/>
    <n v="74.460711863005955"/>
    <n v="79.969088364775999"/>
    <n v="85.908858523475999"/>
    <n v="92.336718160062546"/>
    <n v="99.342471442576993"/>
    <n v="107.05108407301668"/>
    <n v="115.5986082360501"/>
    <n v="124.93627761790562"/>
    <n v="135.14691423170194"/>
    <n v="146.45663276427655"/>
    <n v="159.0111863710224"/>
    <n v="172.97905923657976"/>
  </r>
  <r>
    <x v="28"/>
    <x v="2"/>
    <x v="8"/>
    <n v="472.04415273566963"/>
    <n v="502.31116153071957"/>
    <n v="535.07866204632421"/>
    <n v="569.67221124599655"/>
    <n v="606.26583907844588"/>
    <n v="646.00674970472096"/>
    <n v="690.3962214100668"/>
    <n v="740.49460424491417"/>
    <n v="794.8249385750878"/>
    <n v="852.98169953871843"/>
    <n v="918.67745557348621"/>
    <n v="993.11470809693719"/>
    <n v="1076.7174294589781"/>
  </r>
  <r>
    <x v="28"/>
    <x v="2"/>
    <x v="9"/>
    <n v="458.9849002535035"/>
    <n v="499.3410878660975"/>
    <n v="544.44795098511668"/>
    <n v="593.94237907367358"/>
    <n v="648.35251611800288"/>
    <n v="708.07462095040785"/>
    <n v="773.5237928716848"/>
    <n v="845.41572667893934"/>
    <n v="924.87476330771369"/>
    <n v="1013.0682811406573"/>
    <n v="1110.5376392238184"/>
    <n v="1218.0334910050735"/>
    <n v="1337.0287928535422"/>
  </r>
  <r>
    <x v="28"/>
    <x v="2"/>
    <x v="10"/>
    <n v="278.44142457057563"/>
    <n v="299.94907823290123"/>
    <n v="324.31895458351494"/>
    <n v="350.90120765444897"/>
    <n v="380.04994999082709"/>
    <n v="411.93607397384454"/>
    <n v="446.92576832322834"/>
    <n v="485.69461778868538"/>
    <n v="528.18976183487598"/>
    <n v="575.21703886059584"/>
    <n v="626.88807192171009"/>
    <n v="683.96604289534287"/>
    <n v="747.68935760386228"/>
  </r>
  <r>
    <x v="28"/>
    <x v="2"/>
    <x v="11"/>
    <n v="134.81878921360484"/>
    <n v="144.3124242299819"/>
    <n v="155.05236358066099"/>
    <n v="166.7026940494946"/>
    <n v="179.41260169018042"/>
    <n v="193.24074879010041"/>
    <n v="208.33562550595101"/>
    <n v="224.98588096960697"/>
    <n v="243.13510497225465"/>
    <n v="263.12313210015208"/>
    <n v="284.96327142946865"/>
    <n v="308.9641418659337"/>
    <n v="335.64075488612593"/>
  </r>
  <r>
    <x v="28"/>
    <x v="3"/>
    <x v="12"/>
    <n v="326.8878895580342"/>
    <n v="353.55571765373611"/>
    <n v="384.59287228777612"/>
    <n v="417.37749270205859"/>
    <n v="452.25037008454979"/>
    <n v="489.1000054893866"/>
    <n v="530.91225804215787"/>
    <n v="576.91305599433576"/>
    <n v="626.45226851121288"/>
    <n v="680.286197485613"/>
    <n v="739.45429666084647"/>
    <n v="805.71506868275674"/>
    <n v="880.21067679287216"/>
  </r>
  <r>
    <x v="28"/>
    <x v="3"/>
    <x v="13"/>
    <n v="358.6000642844507"/>
    <n v="384.29630497688822"/>
    <n v="412.27184339006692"/>
    <n v="442.55793172499079"/>
    <n v="475.65201378326901"/>
    <n v="511.8973284796715"/>
    <n v="551.35917797021602"/>
    <n v="595.05608763553801"/>
    <n v="643.01993593081193"/>
    <n v="695.44350851829029"/>
    <n v="753.46409795340389"/>
    <n v="817.06373265269895"/>
    <n v="887.26317579602346"/>
  </r>
  <r>
    <x v="28"/>
    <x v="3"/>
    <x v="14"/>
    <n v="239.92037503098632"/>
    <n v="255.43599987330543"/>
    <n v="272.24613700717674"/>
    <n v="290.34349330745812"/>
    <n v="310.02642698535726"/>
    <n v="331.48463313964254"/>
    <n v="354.72242719705639"/>
    <n v="380.35675066783261"/>
    <n v="408.35736098238499"/>
    <n v="438.79628866038553"/>
    <n v="472.33893662229616"/>
    <n v="508.90856688897645"/>
    <n v="549.07647638864523"/>
  </r>
  <r>
    <x v="28"/>
    <x v="3"/>
    <x v="15"/>
    <n v="418.88093789988244"/>
    <n v="452.62572935577037"/>
    <n v="489.78707851059693"/>
    <n v="530.93957428910596"/>
    <n v="576.15209602428013"/>
    <n v="626.77622631037309"/>
    <n v="682.1875449015007"/>
    <n v="744.26493538443947"/>
    <n v="813.19500326552213"/>
    <n v="889.86415697583493"/>
    <n v="975.80910691193708"/>
    <n v="1072.3910156388549"/>
    <n v="1180.526005824968"/>
  </r>
  <r>
    <x v="29"/>
    <x v="0"/>
    <x v="0"/>
    <n v="70.096218311887725"/>
    <n v="74.251465921492269"/>
    <n v="78.950314035441238"/>
    <n v="84.003094056431721"/>
    <n v="89.472066662382431"/>
    <n v="95.371497971868422"/>
    <n v="101.75908131966725"/>
    <n v="108.75825417564563"/>
    <n v="116.32018662272127"/>
    <n v="124.58717884227761"/>
    <n v="133.54062995783474"/>
    <n v="143.30056555034079"/>
    <n v="154.07727743418678"/>
  </r>
  <r>
    <x v="29"/>
    <x v="0"/>
    <x v="1"/>
    <n v="605.6073751206917"/>
    <n v="646.14228205536665"/>
    <n v="691.97725904233914"/>
    <n v="741.55946756408014"/>
    <n v="795.51375591311148"/>
    <n v="854.05518778797034"/>
    <n v="917.7926969233647"/>
    <n v="987.94441431202949"/>
    <n v="1064.1971121457073"/>
    <n v="1147.9754495050918"/>
    <n v="1239.2606211483403"/>
    <n v="1339.3177072636399"/>
    <n v="1450.2895640841612"/>
  </r>
  <r>
    <x v="29"/>
    <x v="1"/>
    <x v="2"/>
    <n v="259.09620641706152"/>
    <n v="272.4067724968528"/>
    <n v="288.87124494179665"/>
    <n v="306.54607015271654"/>
    <n v="325.67478270778179"/>
    <n v="346.16941912216987"/>
    <n v="368.49500741796692"/>
    <n v="393.26494166998327"/>
    <n v="419.40794486224615"/>
    <n v="448.28667110009508"/>
    <n v="478.86082954548647"/>
    <n v="512.23326538635342"/>
    <n v="549.66773144055628"/>
  </r>
  <r>
    <x v="29"/>
    <x v="1"/>
    <x v="3"/>
    <n v="142.17660290055258"/>
    <n v="153.62869670969954"/>
    <n v="166.04529436857933"/>
    <n v="179.56207956786173"/>
    <n v="194.34288663757846"/>
    <n v="210.47709131762531"/>
    <n v="228.00904811638406"/>
    <n v="247.20572450174546"/>
    <n v="268.40293896877841"/>
    <n v="291.59056651547155"/>
    <n v="317.16827380458795"/>
    <n v="345.3163870996907"/>
    <n v="376.32916054340603"/>
  </r>
  <r>
    <x v="29"/>
    <x v="1"/>
    <x v="4"/>
    <n v="106.80422516509836"/>
    <n v="115.50321662831136"/>
    <n v="125.04236177787038"/>
    <n v="135.45243360812208"/>
    <n v="146.90764654753198"/>
    <n v="159.54056352600077"/>
    <n v="173.40149430255192"/>
    <n v="188.84185393225656"/>
    <n v="205.91217937810487"/>
    <n v="224.71567659141442"/>
    <n v="245.66379133771571"/>
    <n v="268.80545573490298"/>
    <n v="294.53219084205534"/>
  </r>
  <r>
    <x v="29"/>
    <x v="1"/>
    <x v="5"/>
    <n v="76.965368501304795"/>
    <n v="82.688060701891359"/>
    <n v="88.869026444450697"/>
    <n v="95.541116481118195"/>
    <n v="102.74685400101485"/>
    <n v="110.56265695285019"/>
    <n v="119.09630290064474"/>
    <n v="128.35726909460757"/>
    <n v="138.52994422839694"/>
    <n v="149.72613515546962"/>
    <n v="162.02370780387537"/>
    <n v="175.44085638271508"/>
    <n v="190.27611066798553"/>
  </r>
  <r>
    <x v="29"/>
    <x v="1"/>
    <x v="6"/>
    <n v="62.61380154408667"/>
    <n v="66.209493349470222"/>
    <n v="70.029798228881873"/>
    <n v="74.111298671473122"/>
    <n v="78.498242462446314"/>
    <n v="83.200083439818755"/>
    <n v="88.206598935257588"/>
    <n v="93.593441366089266"/>
    <n v="99.454767854457117"/>
    <n v="105.74719571845263"/>
    <n v="112.5780433962338"/>
    <n v="119.96612762868469"/>
    <n v="127.96641310251451"/>
  </r>
  <r>
    <x v="29"/>
    <x v="1"/>
    <x v="7"/>
    <n v="28.047388904475433"/>
    <n v="29.957508090633596"/>
    <n v="32.069847316201447"/>
    <n v="34.349563139220244"/>
    <n v="36.81541021914056"/>
    <n v="39.476871401373884"/>
    <n v="42.343326570226743"/>
    <n v="45.439437922992909"/>
    <n v="48.80952347644488"/>
    <n v="52.496383266466047"/>
    <n v="56.506605218275539"/>
    <n v="60.856180581633723"/>
    <n v="65.595234921830269"/>
  </r>
  <r>
    <x v="29"/>
    <x v="2"/>
    <x v="8"/>
    <n v="226.50045132196902"/>
    <n v="238.50560317122006"/>
    <n v="252.70712660266804"/>
    <n v="267.98350976684844"/>
    <n v="284.61144054027886"/>
    <n v="302.48053684347337"/>
    <n v="321.66519403206041"/>
    <n v="342.83781122008702"/>
    <n v="365.40311358826489"/>
    <n v="390.00009130753278"/>
    <n v="416.22166969137425"/>
    <n v="444.71164045317641"/>
    <n v="476.1289761208393"/>
  </r>
  <r>
    <x v="29"/>
    <x v="2"/>
    <x v="9"/>
    <n v="242.65894683183933"/>
    <n v="260.76004220720364"/>
    <n v="281.25539071198801"/>
    <n v="303.56318827967476"/>
    <n v="327.97574584647805"/>
    <n v="354.62430438888214"/>
    <n v="383.80683883651267"/>
    <n v="416.08399674561463"/>
    <n v="451.3867826872268"/>
    <n v="490.38055348257149"/>
    <n v="533.13219928665592"/>
    <n v="580.26187979280292"/>
    <n v="632.7866950731692"/>
  </r>
  <r>
    <x v="29"/>
    <x v="2"/>
    <x v="10"/>
    <n v="149.80531721660697"/>
    <n v="160.85893091551435"/>
    <n v="172.79189787510887"/>
    <n v="185.66665575004532"/>
    <n v="199.56430299077388"/>
    <n v="214.63159602730295"/>
    <n v="231.07585428644853"/>
    <n v="248.9132283287837"/>
    <n v="268.49902091489963"/>
    <n v="290.04710234527101"/>
    <n v="313.70513641473235"/>
    <n v="339.50493418278768"/>
    <n v="368.02072264891825"/>
  </r>
  <r>
    <x v="29"/>
    <x v="2"/>
    <x v="11"/>
    <n v="56.738878062164069"/>
    <n v="60.269171682920849"/>
    <n v="64.173157888015453"/>
    <n v="68.349207823943274"/>
    <n v="72.834333197963147"/>
    <n v="77.69024850018026"/>
    <n v="83.003891088010405"/>
    <n v="88.867632193189664"/>
    <n v="95.22838157803713"/>
    <n v="102.13488121199407"/>
    <n v="109.74224571341249"/>
    <n v="118.13981838521356"/>
    <n v="127.43044767542125"/>
  </r>
  <r>
    <x v="29"/>
    <x v="3"/>
    <x v="12"/>
    <n v="166.4381884249425"/>
    <n v="176.03772696989324"/>
    <n v="188.39790128106301"/>
    <n v="201.85415545863918"/>
    <n v="216.64452936648092"/>
    <n v="232.60179366442924"/>
    <n v="250.09181131050309"/>
    <n v="269.75287592538575"/>
    <n v="290.63058462320146"/>
    <n v="313.78555891395695"/>
    <n v="338.33657661982329"/>
    <n v="365.60714615002234"/>
    <n v="396.51847960038617"/>
  </r>
  <r>
    <x v="29"/>
    <x v="3"/>
    <x v="13"/>
    <n v="179.5668797671531"/>
    <n v="191.60981771744687"/>
    <n v="204.53636597704488"/>
    <n v="218.40193896644405"/>
    <n v="233.28226283090018"/>
    <n v="249.32765165801354"/>
    <n v="266.75472405068444"/>
    <n v="285.5536723676164"/>
    <n v="306.10362390467157"/>
    <n v="328.6126227987848"/>
    <n v="353.20804311533902"/>
    <n v="379.88311089965498"/>
    <n v="409.23756354935949"/>
  </r>
  <r>
    <x v="29"/>
    <x v="3"/>
    <x v="14"/>
    <n v="122.18976426386779"/>
    <n v="129.42760772268747"/>
    <n v="137.40582947867009"/>
    <n v="145.95482551801405"/>
    <n v="155.13801469748407"/>
    <n v="164.97736583051088"/>
    <n v="175.49338130995523"/>
    <n v="186.7689008453182"/>
    <n v="198.96448090795968"/>
    <n v="212.2288129469425"/>
    <n v="226.55884454621383"/>
    <n v="241.9888171470362"/>
    <n v="258.68705845914178"/>
  </r>
  <r>
    <x v="29"/>
    <x v="3"/>
    <x v="15"/>
    <n v="207.50876097661603"/>
    <n v="223.31859556683125"/>
    <n v="240.58747634100246"/>
    <n v="259.35164167741453"/>
    <n v="279.92101568062867"/>
    <n v="302.51987460688503"/>
    <n v="327.21186157188924"/>
    <n v="354.62721934935468"/>
    <n v="384.81860933259577"/>
    <n v="417.9356336876852"/>
    <n v="454.69778682479898"/>
    <n v="495.13919861726703"/>
    <n v="539.92373990946044"/>
  </r>
  <r>
    <x v="30"/>
    <x v="0"/>
    <x v="0"/>
    <n v="31.557712349994549"/>
    <n v="32.575266222841755"/>
    <n v="33.708887127303186"/>
    <n v="34.892032836572561"/>
    <n v="36.135757510846844"/>
    <n v="37.461755567455867"/>
    <n v="38.901015344386316"/>
    <n v="40.483056695652664"/>
    <n v="42.167142041933793"/>
    <n v="43.961347775875673"/>
    <n v="45.91796718458739"/>
    <n v="48.055222900942788"/>
    <n v="50.393838749659629"/>
  </r>
  <r>
    <x v="30"/>
    <x v="0"/>
    <x v="1"/>
    <n v="274.96967686590892"/>
    <n v="287.01169660770478"/>
    <n v="300.2721796720956"/>
    <n v="314.31791220194009"/>
    <n v="329.24096150681589"/>
    <n v="345.03884939472658"/>
    <n v="361.70481686013562"/>
    <n v="379.35960709821541"/>
    <n v="398.27343160997935"/>
    <n v="418.67553615399294"/>
    <n v="440.48064124606947"/>
    <n v="463.67870722732471"/>
    <n v="488.5150672515299"/>
  </r>
  <r>
    <x v="30"/>
    <x v="1"/>
    <x v="2"/>
    <n v="114.49956869312609"/>
    <n v="118.71751245346832"/>
    <n v="123.65701566111946"/>
    <n v="128.77476184044261"/>
    <n v="134.12979355138398"/>
    <n v="139.5824613382066"/>
    <n v="145.27010313701305"/>
    <n v="151.06557170826511"/>
    <n v="157.09397075661178"/>
    <n v="163.56941678437255"/>
    <n v="170.22547866751074"/>
    <n v="177.02810739605258"/>
    <n v="184.06811790706536"/>
  </r>
  <r>
    <x v="30"/>
    <x v="1"/>
    <x v="3"/>
    <n v="60.802683827572892"/>
    <n v="63.997220990188005"/>
    <n v="67.377116694972827"/>
    <n v="70.974734294557607"/>
    <n v="74.829152054817328"/>
    <n v="78.945526878109817"/>
    <n v="83.310212688929298"/>
    <n v="87.990884269906232"/>
    <n v="93.071328596542699"/>
    <n v="98.505032683057806"/>
    <n v="104.38666203681315"/>
    <n v="110.72702842736473"/>
    <n v="117.57004457066249"/>
  </r>
  <r>
    <x v="30"/>
    <x v="1"/>
    <x v="4"/>
    <n v="56.241295641608495"/>
    <n v="59.020843285596285"/>
    <n v="62.028790840510275"/>
    <n v="65.309098878977295"/>
    <n v="68.83697386292765"/>
    <n v="72.741982151554296"/>
    <n v="76.907864708459542"/>
    <n v="81.511568292198561"/>
    <n v="86.522687765628035"/>
    <n v="91.986061608758902"/>
    <n v="98.006047321353194"/>
    <n v="104.65464757229836"/>
    <n v="111.94885188353841"/>
  </r>
  <r>
    <x v="30"/>
    <x v="1"/>
    <x v="5"/>
    <n v="34.646368139862801"/>
    <n v="36.252059563330214"/>
    <n v="37.946533054551061"/>
    <n v="39.732631904650781"/>
    <n v="41.616408296111786"/>
    <n v="43.616475272662342"/>
    <n v="45.761308404978074"/>
    <n v="48.037995526883932"/>
    <n v="50.499647647810008"/>
    <n v="53.166659726348406"/>
    <n v="56.04429528321841"/>
    <n v="59.115568909817561"/>
    <n v="62.458607492938107"/>
  </r>
  <r>
    <x v="30"/>
    <x v="1"/>
    <x v="6"/>
    <n v="24.088496799890649"/>
    <n v="24.698858787118745"/>
    <n v="25.352835425331172"/>
    <n v="26.040979070121111"/>
    <n v="26.78211350399468"/>
    <n v="27.582431211808746"/>
    <n v="28.431159204724409"/>
    <n v="29.367519292658393"/>
    <n v="30.374388490136578"/>
    <n v="31.443820648605413"/>
    <n v="32.61072725505403"/>
    <n v="33.852897889543961"/>
    <n v="35.193403130483915"/>
  </r>
  <r>
    <x v="30"/>
    <x v="1"/>
    <x v="7"/>
    <n v="16.24897611384257"/>
    <n v="16.900467750844978"/>
    <n v="17.618775122914009"/>
    <n v="18.377739049763278"/>
    <n v="19.182277748427289"/>
    <n v="20.031728109840675"/>
    <n v="20.925184060417553"/>
    <n v="21.869124703955816"/>
    <n v="22.87855039518405"/>
    <n v="23.965892478725578"/>
    <n v="25.125397866707292"/>
    <n v="26.355679933190356"/>
    <n v="27.669881016501215"/>
  </r>
  <r>
    <x v="30"/>
    <x v="2"/>
    <x v="8"/>
    <n v="107.55507425705414"/>
    <n v="111.77813983126694"/>
    <n v="116.44782010160171"/>
    <n v="121.32116979023527"/>
    <n v="126.45688245201308"/>
    <n v="131.67819603229933"/>
    <n v="137.0182225224425"/>
    <n v="142.38686470227958"/>
    <n v="148.00294608968863"/>
    <n v="154.11957186782689"/>
    <n v="160.41483362394581"/>
    <n v="166.74648312823302"/>
    <n v="173.15439345467581"/>
  </r>
  <r>
    <x v="30"/>
    <x v="2"/>
    <x v="9"/>
    <n v="104.211169359387"/>
    <n v="109.36115159447371"/>
    <n v="115.03203286905064"/>
    <n v="121.08447776847751"/>
    <n v="127.55301260906604"/>
    <n v="134.52506186296856"/>
    <n v="141.98010491194046"/>
    <n v="150.00843703193428"/>
    <n v="158.72434370513182"/>
    <n v="168.07399840035271"/>
    <n v="178.18173772203988"/>
    <n v="189.12381586921546"/>
    <n v="201.06971937661456"/>
  </r>
  <r>
    <x v="30"/>
    <x v="2"/>
    <x v="10"/>
    <n v="66.101682864993094"/>
    <n v="68.871149200780863"/>
    <n v="71.932670897478374"/>
    <n v="75.151784954628823"/>
    <n v="78.555994588797475"/>
    <n v="82.196887567564886"/>
    <n v="86.148279659666628"/>
    <n v="90.483366430215725"/>
    <n v="95.120874071567442"/>
    <n v="100.08644001970292"/>
    <n v="105.50717785368091"/>
    <n v="111.43646247427797"/>
    <n v="117.93521588947796"/>
  </r>
  <r>
    <x v="30"/>
    <x v="2"/>
    <x v="11"/>
    <n v="28.659462734469269"/>
    <n v="29.576522204025046"/>
    <n v="30.568542931268066"/>
    <n v="31.652512525171066"/>
    <n v="32.810829367786113"/>
    <n v="34.100459499349711"/>
    <n v="35.459225110472374"/>
    <n v="36.963995629438472"/>
    <n v="38.592409785525255"/>
    <n v="40.356873641986034"/>
    <n v="42.294859230990284"/>
    <n v="44.427168656541049"/>
    <n v="46.749577280421214"/>
  </r>
  <r>
    <x v="30"/>
    <x v="3"/>
    <x v="12"/>
    <n v="89.446055287410161"/>
    <n v="93.947635094939756"/>
    <n v="98.868425142916237"/>
    <n v="104.11910098318177"/>
    <n v="109.72262872100413"/>
    <n v="115.59458592479837"/>
    <n v="121.61075068360435"/>
    <n v="127.7398413833356"/>
    <n v="134.31192794420161"/>
    <n v="141.45378014750969"/>
    <n v="148.89720204566243"/>
    <n v="156.54835200296316"/>
    <n v="164.48716486349178"/>
  </r>
  <r>
    <x v="30"/>
    <x v="3"/>
    <x v="13"/>
    <n v="77.763713275494638"/>
    <n v="80.764196554095975"/>
    <n v="84.074924375352538"/>
    <n v="87.569691749934265"/>
    <n v="91.271104410612139"/>
    <n v="95.175078149341928"/>
    <n v="99.276395039870764"/>
    <n v="103.60490217605583"/>
    <n v="108.23064056058229"/>
    <n v="113.21109034384467"/>
    <n v="118.51749586128362"/>
    <n v="124.14185919037332"/>
    <n v="130.14465877242483"/>
  </r>
  <r>
    <x v="30"/>
    <x v="3"/>
    <x v="14"/>
    <n v="54.006706793715317"/>
    <n v="55.502751677520081"/>
    <n v="57.182094165246482"/>
    <n v="58.929338682099839"/>
    <n v="60.762148372637313"/>
    <n v="62.715759238882548"/>
    <n v="64.840338090362437"/>
    <n v="67.182711818997149"/>
    <n v="69.672276736742859"/>
    <n v="72.320291913398165"/>
    <n v="75.210543009773886"/>
    <n v="78.369533108347284"/>
    <n v="81.827357415670846"/>
  </r>
  <r>
    <x v="30"/>
    <x v="3"/>
    <x v="15"/>
    <n v="85.310913859283389"/>
    <n v="89.372379503990743"/>
    <n v="93.855623115883532"/>
    <n v="98.591813623296815"/>
    <n v="103.62083751340913"/>
    <n v="109.01518164915964"/>
    <n v="114.87834839068439"/>
    <n v="121.31520841547945"/>
    <n v="128.22572841038641"/>
    <n v="135.65172152511605"/>
    <n v="143.77336751393696"/>
    <n v="152.67418582658377"/>
    <n v="162.44972494960209"/>
  </r>
  <r>
    <x v="31"/>
    <x v="0"/>
    <x v="0"/>
    <n v="27.237348365897127"/>
    <n v="28.216695205271023"/>
    <n v="29.303372504511039"/>
    <n v="30.44065780581295"/>
    <n v="31.638703253681481"/>
    <n v="32.917119062060095"/>
    <n v="34.303958381442058"/>
    <n v="35.826374486971496"/>
    <n v="37.44972351738727"/>
    <n v="39.182209873506807"/>
    <n v="41.071557488779668"/>
    <n v="43.135686285317703"/>
    <n v="45.395003301384584"/>
  </r>
  <r>
    <x v="31"/>
    <x v="0"/>
    <x v="1"/>
    <n v="296.59296685380508"/>
    <n v="309.80718912736921"/>
    <n v="323.96323474681429"/>
    <n v="338.98143902030927"/>
    <n v="355.14251011650782"/>
    <n v="372.57916125430518"/>
    <n v="391.20278173972787"/>
    <n v="411.60375812457232"/>
    <n v="433.62464234920708"/>
    <n v="457.22398037619115"/>
    <n v="482.97753851840673"/>
    <n v="510.65501666352333"/>
    <n v="540.68817998815371"/>
  </r>
  <r>
    <x v="31"/>
    <x v="1"/>
    <x v="2"/>
    <n v="109.93285917165369"/>
    <n v="113.46479552488751"/>
    <n v="117.14581919937419"/>
    <n v="120.97723611054272"/>
    <n v="125.16240064659326"/>
    <n v="129.72777098786014"/>
    <n v="134.60658233060951"/>
    <n v="140.20450887762047"/>
    <n v="146.13475187449507"/>
    <n v="152.44207764861733"/>
    <n v="159.49402991850877"/>
    <n v="166.92680914746308"/>
    <n v="174.93010872271418"/>
  </r>
  <r>
    <x v="31"/>
    <x v="1"/>
    <x v="3"/>
    <n v="64.06364398323916"/>
    <n v="67.656573647723164"/>
    <n v="71.469529498885038"/>
    <n v="75.538975061498675"/>
    <n v="79.908998682281108"/>
    <n v="84.588042403434827"/>
    <n v="89.564496820334654"/>
    <n v="94.914004259943354"/>
    <n v="100.73058564560367"/>
    <n v="106.96847743539971"/>
    <n v="113.73458301234587"/>
    <n v="121.04584946840589"/>
    <n v="128.95560484967552"/>
  </r>
  <r>
    <x v="31"/>
    <x v="1"/>
    <x v="4"/>
    <n v="57.670830252786558"/>
    <n v="60.980766953711409"/>
    <n v="64.629216285150349"/>
    <n v="68.545112502433199"/>
    <n v="72.7535462349326"/>
    <n v="77.310457204926081"/>
    <n v="82.211351789914985"/>
    <n v="87.515657671920309"/>
    <n v="93.298487743133322"/>
    <n v="99.538278327951843"/>
    <n v="106.31818002681135"/>
    <n v="113.69501760243162"/>
    <n v="121.78320666769835"/>
  </r>
  <r>
    <x v="31"/>
    <x v="1"/>
    <x v="5"/>
    <n v="44.63839771433603"/>
    <n v="46.714189259576315"/>
    <n v="49.000301435195176"/>
    <n v="51.43556541296833"/>
    <n v="54.033335507815437"/>
    <n v="56.829218681813018"/>
    <n v="59.812818727021799"/>
    <n v="63.020528266037466"/>
    <n v="66.498406595452764"/>
    <n v="70.221562064694368"/>
    <n v="74.239800318989751"/>
    <n v="78.582331919375974"/>
    <n v="83.316769545693589"/>
  </r>
  <r>
    <x v="31"/>
    <x v="1"/>
    <x v="6"/>
    <n v="28.300646077761112"/>
    <n v="29.192081993647658"/>
    <n v="30.139962647082072"/>
    <n v="31.137788612359504"/>
    <n v="32.180196952399754"/>
    <n v="33.280091914528377"/>
    <n v="34.468630380581423"/>
    <n v="35.732395167889266"/>
    <n v="37.089410847234753"/>
    <n v="38.535778716434308"/>
    <n v="40.065403694656986"/>
    <n v="41.713278492872654"/>
    <n v="43.491261704877601"/>
  </r>
  <r>
    <x v="31"/>
    <x v="1"/>
    <x v="7"/>
    <n v="19.223938019925644"/>
    <n v="20.015476953094211"/>
    <n v="20.881778185638517"/>
    <n v="21.787419126319794"/>
    <n v="22.742735346167127"/>
    <n v="23.760699123802837"/>
    <n v="24.842860072707538"/>
    <n v="26.043038368132915"/>
    <n v="27.322723160674723"/>
    <n v="28.700016056600333"/>
    <n v="30.197099035873773"/>
    <n v="31.827416318291878"/>
    <n v="33.606231798879023"/>
  </r>
  <r>
    <x v="31"/>
    <x v="2"/>
    <x v="8"/>
    <n v="111.4418609224268"/>
    <n v="114.71251748973947"/>
    <n v="118.08076650490136"/>
    <n v="121.62392605303961"/>
    <n v="125.54918185996343"/>
    <n v="129.93346000090747"/>
    <n v="134.64172678754153"/>
    <n v="140.15445975475461"/>
    <n v="146.10006112373787"/>
    <n v="152.24578059273244"/>
    <n v="159.17447737172233"/>
    <n v="166.66046938290879"/>
    <n v="174.82842939355828"/>
  </r>
  <r>
    <x v="31"/>
    <x v="2"/>
    <x v="9"/>
    <n v="111.20709877249455"/>
    <n v="117.38412209372858"/>
    <n v="124.18689868874826"/>
    <n v="131.45529743324661"/>
    <n v="139.24123681326813"/>
    <n v="147.55867101101987"/>
    <n v="156.42000395250165"/>
    <n v="165.89298284595452"/>
    <n v="176.11339692152964"/>
    <n v="187.20459761925733"/>
    <n v="199.15431400701942"/>
    <n v="211.98315394148958"/>
    <n v="225.82882537876117"/>
  </r>
  <r>
    <x v="31"/>
    <x v="2"/>
    <x v="10"/>
    <n v="68.055547965081971"/>
    <n v="71.473476086832022"/>
    <n v="75.091385186707981"/>
    <n v="78.917012876806254"/>
    <n v="82.9645702679056"/>
    <n v="87.273504582496443"/>
    <n v="91.903564991051596"/>
    <n v="96.832244723263258"/>
    <n v="102.16976589932858"/>
    <n v="107.96176515052026"/>
    <n v="114.22379348361345"/>
    <n v="120.92625030958557"/>
    <n v="128.23362573945937"/>
  </r>
  <r>
    <x v="31"/>
    <x v="2"/>
    <x v="11"/>
    <n v="33.125807559698863"/>
    <n v="34.453768662340181"/>
    <n v="35.907556870967774"/>
    <n v="37.425860463029778"/>
    <n v="39.026224429052093"/>
    <n v="40.730644721941509"/>
    <n v="42.541444390075149"/>
    <n v="44.550445287571414"/>
    <n v="46.691141921998216"/>
    <n v="48.994046887187892"/>
    <n v="51.49651114483121"/>
    <n v="54.220829314857099"/>
    <n v="57.192302777759409"/>
  </r>
  <r>
    <x v="31"/>
    <x v="3"/>
    <x v="12"/>
    <n v="74.061116147138648"/>
    <n v="77.711743103976119"/>
    <n v="81.165461832624601"/>
    <n v="84.83044719694243"/>
    <n v="88.88232283246947"/>
    <n v="93.347459610223439"/>
    <n v="98.018916040459317"/>
    <n v="103.2333676171769"/>
    <n v="108.94214533662989"/>
    <n v="114.97953292010561"/>
    <n v="121.74349406317077"/>
    <n v="128.79836035350934"/>
    <n v="136.22968554416229"/>
  </r>
  <r>
    <x v="31"/>
    <x v="3"/>
    <x v="13"/>
    <n v="85.217542685806805"/>
    <n v="88.466617035313121"/>
    <n v="92.193762264617504"/>
    <n v="96.143999408584264"/>
    <n v="100.36972486956412"/>
    <n v="104.86464645624046"/>
    <n v="109.66990500654225"/>
    <n v="114.89341983156358"/>
    <n v="120.45166024957085"/>
    <n v="126.46444200237097"/>
    <n v="132.87777949786891"/>
    <n v="139.77858972990876"/>
    <n v="147.33378765619943"/>
  </r>
  <r>
    <x v="31"/>
    <x v="3"/>
    <x v="14"/>
    <n v="65.089834912169508"/>
    <n v="67.245073190577926"/>
    <n v="69.635477881103597"/>
    <n v="72.163825956203283"/>
    <n v="74.842164787131622"/>
    <n v="77.71258969782815"/>
    <n v="80.751970715620033"/>
    <n v="84.001309296856135"/>
    <n v="87.512211969298178"/>
    <n v="91.240058494111835"/>
    <n v="95.239261577919365"/>
    <n v="99.534807756028002"/>
    <n v="104.19875916447654"/>
  </r>
  <r>
    <x v="31"/>
    <x v="3"/>
    <x v="15"/>
    <n v="99.461821474587211"/>
    <n v="104.60045100277304"/>
    <n v="110.27190527297964"/>
    <n v="116.28382426439225"/>
    <n v="122.68700088102403"/>
    <n v="129.57158455207326"/>
    <n v="137.06594835854833"/>
    <n v="145.30203586594718"/>
    <n v="154.16834831109543"/>
    <n v="163.72215683310952"/>
    <n v="174.1885608682274"/>
    <n v="185.6789451093949"/>
    <n v="198.32095092469999"/>
  </r>
  <r>
    <x v="32"/>
    <x v="0"/>
    <x v="0"/>
    <n v="40.325758925594975"/>
    <n v="42.31483652220362"/>
    <n v="44.505100822164785"/>
    <n v="46.842589709506775"/>
    <n v="49.340620167227605"/>
    <n v="52.032966717898731"/>
    <n v="54.91163977734336"/>
    <n v="58.011511255611353"/>
    <n v="61.376718206556305"/>
    <n v="64.986375226119065"/>
    <n v="68.888491611987433"/>
    <n v="73.112470074364666"/>
    <n v="77.723745137495854"/>
  </r>
  <r>
    <x v="32"/>
    <x v="0"/>
    <x v="1"/>
    <n v="355.04770746918211"/>
    <n v="376.58053609031572"/>
    <n v="399.52237146979172"/>
    <n v="424.09441111974456"/>
    <n v="450.5643460660815"/>
    <n v="479.00333867247224"/>
    <n v="509.37004486035534"/>
    <n v="542.11843400249904"/>
    <n v="577.81508827710559"/>
    <n v="616.23426923596446"/>
    <n v="658.02556236315297"/>
    <n v="703.32899918751264"/>
    <n v="752.49807492606408"/>
  </r>
  <r>
    <x v="32"/>
    <x v="1"/>
    <x v="2"/>
    <n v="147.02120054614232"/>
    <n v="155.19378178962631"/>
    <n v="163.56074546371286"/>
    <n v="172.48336122319097"/>
    <n v="182.11537919879453"/>
    <n v="192.34853704686213"/>
    <n v="202.84025257859741"/>
    <n v="213.82060290252406"/>
    <n v="225.81462020132074"/>
    <n v="238.47552978336444"/>
    <n v="252.05829769562041"/>
    <n v="266.34356046825155"/>
    <n v="281.35818488825817"/>
  </r>
  <r>
    <x v="32"/>
    <x v="1"/>
    <x v="3"/>
    <n v="85.876663704044518"/>
    <n v="91.290553224988926"/>
    <n v="97.279071515453765"/>
    <n v="103.6895015634778"/>
    <n v="110.57897853080797"/>
    <n v="118.04231820599618"/>
    <n v="126.21295214889071"/>
    <n v="135.23298494715544"/>
    <n v="145.02360311884192"/>
    <n v="155.66083033914737"/>
    <n v="167.3830427817737"/>
    <n v="180.32902977703947"/>
    <n v="194.65861817080841"/>
  </r>
  <r>
    <x v="32"/>
    <x v="1"/>
    <x v="4"/>
    <n v="70.860640965359664"/>
    <n v="75.93295279094859"/>
    <n v="81.442131492940419"/>
    <n v="87.40281097378849"/>
    <n v="93.832162161992116"/>
    <n v="100.80032410155943"/>
    <n v="108.44057795273277"/>
    <n v="116.76305936368639"/>
    <n v="125.87757338175443"/>
    <n v="135.83191098800611"/>
    <n v="146.66808638717134"/>
    <n v="158.57934606842812"/>
    <n v="171.69491146852235"/>
  </r>
  <r>
    <x v="32"/>
    <x v="1"/>
    <x v="5"/>
    <n v="44.223043748814753"/>
    <n v="46.971655851463765"/>
    <n v="49.903962155483619"/>
    <n v="53.048372092426909"/>
    <n v="56.439270687740596"/>
    <n v="60.086618459215373"/>
    <n v="63.986317500042794"/>
    <n v="68.19646534785808"/>
    <n v="72.789652969129875"/>
    <n v="77.739067529533443"/>
    <n v="83.128165316722914"/>
    <n v="88.976499312584806"/>
    <n v="95.330734184555581"/>
  </r>
  <r>
    <x v="32"/>
    <x v="1"/>
    <x v="6"/>
    <n v="30.474798661165398"/>
    <n v="31.691375473209426"/>
    <n v="33.037516669413264"/>
    <n v="34.450711422216379"/>
    <n v="35.94316707217493"/>
    <n v="37.538016773646845"/>
    <n v="39.268368104185924"/>
    <n v="41.166793828974235"/>
    <n v="43.195340523865212"/>
    <n v="45.364886198301562"/>
    <n v="47.732218727382865"/>
    <n v="50.320336655527008"/>
    <n v="53.155470140590936"/>
  </r>
  <r>
    <x v="32"/>
    <x v="1"/>
    <x v="7"/>
    <n v="16.917118769250443"/>
    <n v="17.81505348228232"/>
    <n v="18.804044994952562"/>
    <n v="19.862243554150751"/>
    <n v="20.996008581798982"/>
    <n v="22.220490803091003"/>
    <n v="23.533216353249152"/>
    <n v="24.950038867912223"/>
    <n v="26.491016288749758"/>
    <n v="28.14841962373065"/>
    <n v="29.944243066469166"/>
    <n v="31.892696980046285"/>
    <n v="34.023901210824455"/>
  </r>
  <r>
    <x v="32"/>
    <x v="2"/>
    <x v="8"/>
    <n v="135.90771638371291"/>
    <n v="143.72303150593348"/>
    <n v="151.387410076241"/>
    <n v="159.49561019112309"/>
    <n v="168.16803064088521"/>
    <n v="177.30507170075646"/>
    <n v="186.79198363865743"/>
    <n v="196.77436320027113"/>
    <n v="207.66151491072037"/>
    <n v="219.09568884774171"/>
    <n v="231.50795590939731"/>
    <n v="244.72543289705118"/>
    <n v="258.53278336519315"/>
  </r>
  <r>
    <x v="32"/>
    <x v="2"/>
    <x v="9"/>
    <n v="141.63680628744808"/>
    <n v="150.83305597097299"/>
    <n v="160.99381853719549"/>
    <n v="171.96151800173416"/>
    <n v="183.81505608398774"/>
    <n v="196.71330068954182"/>
    <n v="210.66561957243675"/>
    <n v="225.84516138156764"/>
    <n v="242.47017682449723"/>
    <n v="260.51351143863877"/>
    <n v="280.22091535302582"/>
    <n v="301.77531836274034"/>
    <n v="325.51722949242509"/>
  </r>
  <r>
    <x v="32"/>
    <x v="2"/>
    <x v="10"/>
    <n v="80.530556186877533"/>
    <n v="85.103783796448923"/>
    <n v="90.277449378422943"/>
    <n v="95.830326754670338"/>
    <n v="101.83064162172506"/>
    <n v="108.29134161379109"/>
    <n v="115.27454528703649"/>
    <n v="122.91624794168936"/>
    <n v="131.15646231891481"/>
    <n v="140.15124188088697"/>
    <n v="149.87416068171302"/>
    <n v="160.45458931820639"/>
    <n v="172.12173692841722"/>
  </r>
  <r>
    <x v="32"/>
    <x v="2"/>
    <x v="11"/>
    <n v="37.298387536738566"/>
    <n v="39.235501339163953"/>
    <n v="41.368794300097022"/>
    <n v="43.649545881723775"/>
    <n v="46.091237886711092"/>
    <n v="48.726591386281626"/>
    <n v="51.549536139568055"/>
    <n v="54.59417273458228"/>
    <n v="57.903652429529508"/>
    <n v="61.460202294816099"/>
    <n v="65.311022031004285"/>
    <n v="69.486128683879343"/>
    <n v="74.050070277524426"/>
  </r>
  <r>
    <x v="32"/>
    <x v="3"/>
    <x v="12"/>
    <n v="111.77664253935251"/>
    <n v="119.39101853116699"/>
    <n v="127.11403961072341"/>
    <n v="135.40638914872238"/>
    <n v="144.42254474480302"/>
    <n v="154.13174910234795"/>
    <n v="164.19318987082715"/>
    <n v="174.93371096479643"/>
    <n v="186.8018049478024"/>
    <n v="199.22462313586993"/>
    <n v="212.8887838572789"/>
    <n v="227.66512124274436"/>
    <n v="243.29372324701728"/>
  </r>
  <r>
    <x v="32"/>
    <x v="3"/>
    <x v="13"/>
    <n v="96.78413329520167"/>
    <n v="102.12425537790213"/>
    <n v="107.79949189043019"/>
    <n v="113.82540416939281"/>
    <n v="120.22714437911084"/>
    <n v="127.0668681643424"/>
    <n v="134.43741673089971"/>
    <n v="142.31300142941814"/>
    <n v="150.86235420258902"/>
    <n v="160.16195094787699"/>
    <n v="170.24498655542095"/>
    <n v="181.07788973432454"/>
    <n v="192.91700393251693"/>
  </r>
  <r>
    <x v="32"/>
    <x v="3"/>
    <x v="14"/>
    <n v="73.2702327695376"/>
    <n v="76.714459138076492"/>
    <n v="80.395131351351964"/>
    <n v="84.303524424481267"/>
    <n v="88.433188526672382"/>
    <n v="92.82722467973845"/>
    <n v="97.581982212450399"/>
    <n v="102.67308683784354"/>
    <n v="108.16461541231151"/>
    <n v="114.0601467332132"/>
    <n v="120.35649709932486"/>
    <n v="127.17324923756786"/>
    <n v="134.56612300464687"/>
  </r>
  <r>
    <x v="32"/>
    <x v="3"/>
    <x v="15"/>
    <n v="113.54245779068533"/>
    <n v="120.66563956537374"/>
    <n v="128.71880943945095"/>
    <n v="137.40168308665486"/>
    <n v="146.82208858272287"/>
    <n v="157.01046344394223"/>
    <n v="168.06909582352151"/>
    <n v="180.21014602605234"/>
    <n v="193.36303192095903"/>
    <n v="207.77392364512343"/>
    <n v="223.4237864631157"/>
    <n v="240.52520904724051"/>
    <n v="259.4449698793789"/>
  </r>
  <r>
    <x v="33"/>
    <x v="0"/>
    <x v="0"/>
    <n v="21.381022770340458"/>
    <n v="21.74442394606308"/>
    <n v="22.147538712013624"/>
    <n v="22.600638466593594"/>
    <n v="23.088647978264223"/>
    <n v="23.64977052327686"/>
    <n v="24.237323285690138"/>
    <n v="24.902264359033094"/>
    <n v="25.62572518604129"/>
    <n v="26.412907410026751"/>
    <n v="27.285039159647468"/>
    <n v="28.251291919642014"/>
    <n v="29.304287099950717"/>
  </r>
  <r>
    <x v="33"/>
    <x v="0"/>
    <x v="1"/>
    <n v="194.04614547694416"/>
    <n v="200.11653560649953"/>
    <n v="206.57127794718897"/>
    <n v="213.36558422060071"/>
    <n v="220.46249103296179"/>
    <n v="227.95021191272343"/>
    <n v="236.04190716497465"/>
    <n v="244.64531537923463"/>
    <n v="253.88352090482161"/>
    <n v="263.72943708825227"/>
    <n v="274.14096820570273"/>
    <n v="285.35718977477632"/>
    <n v="297.45872044135643"/>
  </r>
  <r>
    <x v="33"/>
    <x v="1"/>
    <x v="2"/>
    <n v="74.4513090544026"/>
    <n v="76.021656781490378"/>
    <n v="77.644399549778768"/>
    <n v="79.362332474618768"/>
    <n v="81.078174176837138"/>
    <n v="82.880034646610113"/>
    <n v="84.949384130102402"/>
    <n v="87.153224450741959"/>
    <n v="89.512820487739077"/>
    <n v="91.973500641956832"/>
    <n v="94.455998370698467"/>
    <n v="97.258405911898336"/>
    <n v="100.30709722701386"/>
  </r>
  <r>
    <x v="33"/>
    <x v="1"/>
    <x v="3"/>
    <n v="48.870630230624684"/>
    <n v="50.771797950037943"/>
    <n v="52.869178359192006"/>
    <n v="55.083589528587382"/>
    <n v="57.429358578847093"/>
    <n v="59.904036282269679"/>
    <n v="62.504456819030338"/>
    <n v="65.249527442778245"/>
    <n v="68.183492198082988"/>
    <n v="71.34273576237203"/>
    <n v="74.709343297750635"/>
    <n v="78.278463092265454"/>
    <n v="82.08841572917629"/>
  </r>
  <r>
    <x v="33"/>
    <x v="1"/>
    <x v="4"/>
    <n v="35.030206464805282"/>
    <n v="36.596962046099165"/>
    <n v="38.24829481742659"/>
    <n v="39.9866612556756"/>
    <n v="41.817730568227503"/>
    <n v="43.759756987639257"/>
    <n v="45.840775204981874"/>
    <n v="48.047185316593108"/>
    <n v="50.431504896538861"/>
    <n v="53.013253764392168"/>
    <n v="55.796741168659253"/>
    <n v="58.764096202986266"/>
    <n v="61.992101187538651"/>
  </r>
  <r>
    <x v="33"/>
    <x v="1"/>
    <x v="5"/>
    <n v="30.24189552101479"/>
    <n v="31.150279835309114"/>
    <n v="32.121451285911682"/>
    <n v="33.144250755299225"/>
    <n v="34.243290144978381"/>
    <n v="35.427474759245143"/>
    <n v="36.684071859948574"/>
    <n v="38.064612884255013"/>
    <n v="39.548527276328059"/>
    <n v="41.126802816521739"/>
    <n v="42.846306361558156"/>
    <n v="44.679692220742915"/>
    <n v="46.658864515214049"/>
  </r>
  <r>
    <x v="33"/>
    <x v="1"/>
    <x v="6"/>
    <n v="17.805117012215891"/>
    <n v="18.106148199891816"/>
    <n v="18.417225538818638"/>
    <n v="18.74436773098984"/>
    <n v="19.094409298480123"/>
    <n v="19.464418916181977"/>
    <n v="19.84699019420859"/>
    <n v="20.25487046714148"/>
    <n v="20.702622539268717"/>
    <n v="21.173601856198772"/>
    <n v="21.68338842281733"/>
    <n v="22.227789623842938"/>
    <n v="22.80945461307056"/>
  </r>
  <r>
    <x v="33"/>
    <x v="1"/>
    <x v="7"/>
    <n v="9.0280099642213489"/>
    <n v="9.2141147397342031"/>
    <n v="9.4182671080748932"/>
    <n v="9.6450209420235211"/>
    <n v="9.8881762438557779"/>
    <n v="10.164260844054109"/>
    <n v="10.453552242393021"/>
    <n v="10.778159176757896"/>
    <n v="11.13027869290522"/>
    <n v="11.512449656837477"/>
    <n v="11.934229743866318"/>
    <n v="12.400034642682453"/>
    <n v="12.907074269293767"/>
  </r>
  <r>
    <x v="33"/>
    <x v="2"/>
    <x v="8"/>
    <n v="68.884268151186944"/>
    <n v="70.572395346148284"/>
    <n v="72.177891344931481"/>
    <n v="73.94652877694503"/>
    <n v="75.768759346392414"/>
    <n v="77.677840197002553"/>
    <n v="79.798378572172567"/>
    <n v="81.832295478954649"/>
    <n v="84.084330940222173"/>
    <n v="86.473044749681435"/>
    <n v="88.803853471422059"/>
    <n v="91.248380194389057"/>
    <n v="93.779533525128102"/>
  </r>
  <r>
    <x v="33"/>
    <x v="2"/>
    <x v="9"/>
    <n v="74.236456879475398"/>
    <n v="76.97982482678816"/>
    <n v="79.986762593013793"/>
    <n v="83.11822203257411"/>
    <n v="86.411944121182984"/>
    <n v="89.91506357596559"/>
    <n v="93.630710118931802"/>
    <n v="97.75894432640608"/>
    <n v="102.14999397489208"/>
    <n v="106.86811199859926"/>
    <n v="111.99168423192593"/>
    <n v="117.56539929405864"/>
    <n v="123.63991118386991"/>
  </r>
  <r>
    <x v="33"/>
    <x v="2"/>
    <x v="10"/>
    <n v="50.330792209731975"/>
    <n v="51.808233455957527"/>
    <n v="53.461457395358963"/>
    <n v="55.183414739026809"/>
    <n v="56.990966528626892"/>
    <n v="58.917563191860317"/>
    <n v="61.01089481463692"/>
    <n v="63.315811964772443"/>
    <n v="65.766776877190111"/>
    <n v="68.375103793010652"/>
    <n v="71.220746986636584"/>
    <n v="74.329923118879833"/>
    <n v="77.73241794052619"/>
  </r>
  <r>
    <x v="33"/>
    <x v="2"/>
    <x v="11"/>
    <n v="21.975651006890313"/>
    <n v="22.500505923668644"/>
    <n v="23.092705325898351"/>
    <n v="23.718057138648359"/>
    <n v="24.379469015023723"/>
    <n v="25.08951547117184"/>
    <n v="25.839246944923513"/>
    <n v="26.640527968134545"/>
    <n v="27.508144298558548"/>
    <n v="28.426083956987696"/>
    <n v="29.409722675365593"/>
    <n v="30.464779087090811"/>
    <n v="31.611144891782931"/>
  </r>
  <r>
    <x v="33"/>
    <x v="3"/>
    <x v="12"/>
    <n v="60.120992072316398"/>
    <n v="61.986960993187751"/>
    <n v="63.879982498649696"/>
    <n v="65.938201489685639"/>
    <n v="68.072543353637656"/>
    <n v="70.367118779822903"/>
    <n v="72.954626142237998"/>
    <n v="75.709000875911727"/>
    <n v="78.690743156140201"/>
    <n v="81.792888208125476"/>
    <n v="84.987294971553496"/>
    <n v="88.554378848163964"/>
    <n v="92.401741297946387"/>
  </r>
  <r>
    <x v="33"/>
    <x v="3"/>
    <x v="13"/>
    <n v="55.539562377314041"/>
    <n v="57.020552587159344"/>
    <n v="58.678333879787608"/>
    <n v="60.418039570604762"/>
    <n v="62.251671131269369"/>
    <n v="64.172400499357394"/>
    <n v="66.172860951054844"/>
    <n v="68.269313005093267"/>
    <n v="70.503682455719627"/>
    <n v="72.907708873217246"/>
    <n v="75.456027416993962"/>
    <n v="78.137497386656136"/>
    <n v="80.984455560431599"/>
  </r>
  <r>
    <x v="33"/>
    <x v="3"/>
    <x v="14"/>
    <n v="40.779623308969363"/>
    <n v="41.481615167797642"/>
    <n v="42.283089655406023"/>
    <n v="43.103785153359922"/>
    <n v="43.960980591526294"/>
    <n v="44.875350654394786"/>
    <n v="45.843930520274156"/>
    <n v="46.96024963954531"/>
    <n v="48.142564896622858"/>
    <n v="49.415837587788694"/>
    <n v="50.80950110149044"/>
    <n v="52.335251048922345"/>
    <n v="54.006265277824895"/>
  </r>
  <r>
    <x v="33"/>
    <x v="3"/>
    <x v="15"/>
    <n v="58.98699048868481"/>
    <n v="61.371830804417883"/>
    <n v="63.877410625359246"/>
    <n v="66.506196473543994"/>
    <n v="69.265943934792674"/>
    <n v="72.185112502425198"/>
    <n v="75.307812837097799"/>
    <n v="78.609016217717397"/>
    <n v="82.172255582380231"/>
    <n v="86.025909829147636"/>
    <n v="90.17318387531229"/>
    <n v="94.581354410675914"/>
    <n v="99.370545405104266"/>
  </r>
  <r>
    <x v="34"/>
    <x v="0"/>
    <x v="0"/>
    <n v="55.465099789262126"/>
    <n v="59.223958509645797"/>
    <n v="63.380159651049738"/>
    <n v="67.864462996060794"/>
    <n v="72.713607848974846"/>
    <n v="77.945974492949915"/>
    <n v="83.579716324197079"/>
    <n v="89.66312848257806"/>
    <n v="96.283230943828812"/>
    <n v="103.52394022158083"/>
    <n v="111.39765664753396"/>
    <n v="119.93530179524799"/>
    <n v="129.23502945255393"/>
  </r>
  <r>
    <x v="34"/>
    <x v="0"/>
    <x v="1"/>
    <n v="616.7682603018028"/>
    <n v="661.4659778971336"/>
    <n v="710.15684473687497"/>
    <n v="762.90388509594447"/>
    <n v="820.57395786324673"/>
    <n v="883.77052114737285"/>
    <n v="952.61901045874993"/>
    <n v="1028.8921850903309"/>
    <n v="1112.6621766423089"/>
    <n v="1204.2797594863023"/>
    <n v="1305.7323430112713"/>
    <n v="1417.0112768588642"/>
    <n v="1539.9093375833022"/>
  </r>
  <r>
    <x v="34"/>
    <x v="1"/>
    <x v="2"/>
    <n v="231.31861136307651"/>
    <n v="246.27697046987396"/>
    <n v="262.16789713107744"/>
    <n v="279.13345754013449"/>
    <n v="297.82207440845468"/>
    <n v="318.15396934296803"/>
    <n v="339.80175862663657"/>
    <n v="363.62473929204384"/>
    <n v="389.61703947173362"/>
    <n v="417.54980988164016"/>
    <n v="448.44167748949121"/>
    <n v="481.09395693075408"/>
    <n v="516.29939896657334"/>
  </r>
  <r>
    <x v="34"/>
    <x v="1"/>
    <x v="3"/>
    <n v="151.745638221886"/>
    <n v="164.25737883211298"/>
    <n v="177.96034513800822"/>
    <n v="192.91963620300973"/>
    <n v="209.20794788980231"/>
    <n v="227.0183490876426"/>
    <n v="246.69322901288947"/>
    <n v="268.30786771880071"/>
    <n v="292.16860977664942"/>
    <n v="318.44919524825457"/>
    <n v="347.31563036095207"/>
    <n v="379.29745975945332"/>
    <n v="414.79105102278021"/>
  </r>
  <r>
    <x v="34"/>
    <x v="1"/>
    <x v="4"/>
    <n v="109.59452779042942"/>
    <n v="118.7863186651888"/>
    <n v="129.05263072307199"/>
    <n v="140.2447970640726"/>
    <n v="152.48418746707623"/>
    <n v="165.95183065478196"/>
    <n v="180.89514808436758"/>
    <n v="197.59087535278096"/>
    <n v="216.01156698221843"/>
    <n v="236.35478569383031"/>
    <n v="259.07660934183144"/>
    <n v="284.51061518265203"/>
    <n v="313.04471007294495"/>
  </r>
  <r>
    <x v="34"/>
    <x v="1"/>
    <x v="5"/>
    <n v="94.792856954472043"/>
    <n v="101.41948024419442"/>
    <n v="108.66576887846591"/>
    <n v="116.63837699393092"/>
    <n v="125.3282454694247"/>
    <n v="135.00520072327313"/>
    <n v="145.50237228458468"/>
    <n v="157.19268956240313"/>
    <n v="170.07650595232417"/>
    <n v="184.29972493234317"/>
    <n v="200.13642912922802"/>
    <n v="217.81311946293698"/>
    <n v="237.45602551187139"/>
  </r>
  <r>
    <x v="34"/>
    <x v="1"/>
    <x v="6"/>
    <n v="52.142600572341735"/>
    <n v="55.125285989227194"/>
    <n v="58.394732806066898"/>
    <n v="61.863247474039639"/>
    <n v="65.567307323277078"/>
    <n v="69.552997745602738"/>
    <n v="73.835512920399296"/>
    <n v="78.585987252416629"/>
    <n v="83.707052907084773"/>
    <n v="89.268227119590279"/>
    <n v="95.355513015813173"/>
    <n v="102.03202177560581"/>
    <n v="109.3698817044517"/>
  </r>
  <r>
    <x v="34"/>
    <x v="1"/>
    <x v="7"/>
    <n v="32.639125188859232"/>
    <n v="34.82450220618216"/>
    <n v="37.295629711234341"/>
    <n v="39.968832816817724"/>
    <n v="42.877803154186637"/>
    <n v="46.034148086054451"/>
    <n v="49.470705854069372"/>
    <n v="53.253154394463678"/>
    <n v="57.364632496127243"/>
    <n v="61.881956832224823"/>
    <n v="66.804140321489243"/>
    <n v="72.199405542709982"/>
    <n v="78.183299757234622"/>
  </r>
  <r>
    <x v="34"/>
    <x v="2"/>
    <x v="8"/>
    <n v="226.17227829993772"/>
    <n v="241.86798790127654"/>
    <n v="258.42747628606958"/>
    <n v="275.8198259335594"/>
    <n v="294.78489668503312"/>
    <n v="314.96584636749412"/>
    <n v="336.84709909541311"/>
    <n v="360.67457815354817"/>
    <n v="386.6064991544406"/>
    <n v="414.17142671505292"/>
    <n v="444.37527774638897"/>
    <n v="476.07335918887202"/>
    <n v="510.08770647647043"/>
  </r>
  <r>
    <x v="34"/>
    <x v="2"/>
    <x v="9"/>
    <n v="241.66591874030033"/>
    <n v="260.14244050713262"/>
    <n v="280.43280657369752"/>
    <n v="302.84404806500487"/>
    <n v="327.38989283352925"/>
    <n v="354.81250776259361"/>
    <n v="384.72401239839479"/>
    <n v="418.15382284870316"/>
    <n v="455.16477812870403"/>
    <n v="496.21008623508692"/>
    <n v="542.0983662980633"/>
    <n v="593.52813544226353"/>
    <n v="650.94060759656668"/>
  </r>
  <r>
    <x v="34"/>
    <x v="2"/>
    <x v="10"/>
    <n v="141.48027328613622"/>
    <n v="151.77191278786049"/>
    <n v="163.41984219872484"/>
    <n v="176.07881220419566"/>
    <n v="189.91293647041832"/>
    <n v="204.99190782708064"/>
    <n v="221.48129042349717"/>
    <n v="239.69705868048737"/>
    <n v="259.59026336889883"/>
    <n v="281.53456526953153"/>
    <n v="305.55743832347673"/>
    <n v="332.00321039843146"/>
    <n v="361.44091653154828"/>
  </r>
  <r>
    <x v="34"/>
    <x v="2"/>
    <x v="11"/>
    <n v="62.914889764690628"/>
    <n v="66.907595210509783"/>
    <n v="71.25687932943282"/>
    <n v="76.025661889245285"/>
    <n v="81.199839723240942"/>
    <n v="86.946233683154389"/>
    <n v="93.146324865641859"/>
    <n v="100.02985389017029"/>
    <n v="107.58386693409416"/>
    <n v="115.88762148821182"/>
    <n v="125.09891729087616"/>
    <n v="135.34187362454526"/>
    <n v="146.6751364312708"/>
  </r>
  <r>
    <x v="34"/>
    <x v="3"/>
    <x v="12"/>
    <n v="189.65200259801986"/>
    <n v="204.48314785456353"/>
    <n v="220.76702003006972"/>
    <n v="238.01442614938958"/>
    <n v="256.9988326554062"/>
    <n v="277.38681569547805"/>
    <n v="299.85602350738009"/>
    <n v="324.7363307337796"/>
    <n v="351.85068522730114"/>
    <n v="381.21758578898482"/>
    <n v="413.54470796580188"/>
    <n v="447.97235964316451"/>
    <n v="485.71771156249633"/>
  </r>
  <r>
    <x v="34"/>
    <x v="3"/>
    <x v="13"/>
    <n v="170.05202902378051"/>
    <n v="182.19031188799863"/>
    <n v="195.24489835042368"/>
    <n v="209.34854081168211"/>
    <n v="224.66182277662375"/>
    <n v="241.25325948405879"/>
    <n v="259.13681291260878"/>
    <n v="278.57830726999066"/>
    <n v="299.91147476244493"/>
    <n v="323.07140526672737"/>
    <n v="348.44844764350353"/>
    <n v="376.17785183002366"/>
    <n v="406.51327851591634"/>
  </r>
  <r>
    <x v="34"/>
    <x v="3"/>
    <x v="14"/>
    <n v="116.96988611312675"/>
    <n v="123.55484199381907"/>
    <n v="130.70106790236048"/>
    <n v="138.51149872497123"/>
    <n v="146.94580455966044"/>
    <n v="156.29195313196016"/>
    <n v="166.31708759726402"/>
    <n v="177.41614538509396"/>
    <n v="189.54284728883715"/>
    <n v="202.81428970512948"/>
    <n v="217.48159163312553"/>
    <n v="233.73029583047105"/>
    <n v="251.62753633208183"/>
  </r>
  <r>
    <x v="34"/>
    <x v="3"/>
    <x v="15"/>
    <n v="195.55944235613779"/>
    <n v="210.46163467039821"/>
    <n v="226.82401810507082"/>
    <n v="244.89388240596227"/>
    <n v="264.68110572053126"/>
    <n v="286.78446732882583"/>
    <n v="310.88880276569415"/>
    <n v="337.82453018404482"/>
    <n v="367.64040030755444"/>
    <n v="400.7004189470415"/>
    <n v="437.65525241637431"/>
    <n v="479.06607135045306"/>
    <n v="525.28584062536174"/>
  </r>
  <r>
    <x v="35"/>
    <x v="0"/>
    <x v="0"/>
    <n v="24.279194199534153"/>
    <n v="25.043637864069609"/>
    <n v="25.892453007541373"/>
    <n v="26.784919852115618"/>
    <n v="27.726921887655426"/>
    <n v="28.71606060873312"/>
    <n v="29.749645428352935"/>
    <n v="30.835551901782615"/>
    <n v="31.993389795483203"/>
    <n v="33.238506280944343"/>
    <n v="34.56049166841224"/>
    <n v="35.955246002656452"/>
    <n v="37.438589785745457"/>
  </r>
  <r>
    <x v="35"/>
    <x v="0"/>
    <x v="1"/>
    <n v="250.55966080850803"/>
    <n v="259.748932713599"/>
    <n v="269.82249062470868"/>
    <n v="280.31055815634909"/>
    <n v="291.34007336729775"/>
    <n v="303.06950870089213"/>
    <n v="315.50884184099812"/>
    <n v="329.33164031987508"/>
    <n v="344.0322283489744"/>
    <n v="359.82628920226875"/>
    <n v="376.97686073355555"/>
    <n v="395.63327095462137"/>
    <n v="415.96476325814689"/>
  </r>
  <r>
    <x v="35"/>
    <x v="1"/>
    <x v="2"/>
    <n v="98.341950557448513"/>
    <n v="101.00828176827005"/>
    <n v="103.9995934961855"/>
    <n v="106.96105194102017"/>
    <n v="109.98239326438235"/>
    <n v="113.13584467873963"/>
    <n v="116.38334601532063"/>
    <n v="120.32222895208466"/>
    <n v="124.34362822947267"/>
    <n v="128.69015508653541"/>
    <n v="133.52894894299584"/>
    <n v="138.90373259090904"/>
    <n v="144.81713886522692"/>
  </r>
  <r>
    <x v="35"/>
    <x v="1"/>
    <x v="3"/>
    <n v="55.848122951958885"/>
    <n v="58.462395157913733"/>
    <n v="61.255849653584363"/>
    <n v="64.22173618836969"/>
    <n v="67.355042698320617"/>
    <n v="70.688501143850829"/>
    <n v="74.295367751017892"/>
    <n v="78.156929213187055"/>
    <n v="82.321817021704589"/>
    <n v="86.792582399126928"/>
    <n v="91.56662869906674"/>
    <n v="96.73476113940724"/>
    <n v="102.33913957825158"/>
  </r>
  <r>
    <x v="35"/>
    <x v="1"/>
    <x v="4"/>
    <n v="42.490077684895269"/>
    <n v="44.596877624800165"/>
    <n v="46.916773559968036"/>
    <n v="49.393037239620632"/>
    <n v="52.03982692608286"/>
    <n v="54.892891455658201"/>
    <n v="57.943955067465168"/>
    <n v="61.229962283662069"/>
    <n v="64.797672939781336"/>
    <n v="68.625245909077407"/>
    <n v="72.763571185289649"/>
    <n v="77.243935167980865"/>
    <n v="82.135722656185621"/>
  </r>
  <r>
    <x v="35"/>
    <x v="1"/>
    <x v="5"/>
    <n v="35.736082128846768"/>
    <n v="37.209634769666458"/>
    <n v="38.833545381525951"/>
    <n v="40.550647735280648"/>
    <n v="42.372096969857779"/>
    <n v="44.29676771548376"/>
    <n v="46.322991790697095"/>
    <n v="48.465442043131702"/>
    <n v="50.757739245623512"/>
    <n v="53.227950555873598"/>
    <n v="55.863876966749118"/>
    <n v="58.662973635221505"/>
    <n v="61.655022564683293"/>
  </r>
  <r>
    <x v="35"/>
    <x v="1"/>
    <x v="6"/>
    <n v="26.144879221624027"/>
    <n v="26.69581453568162"/>
    <n v="27.288784398770744"/>
    <n v="27.913063115982574"/>
    <n v="28.588402774843804"/>
    <n v="29.320741184056132"/>
    <n v="30.09787810473054"/>
    <n v="30.960735280281032"/>
    <n v="31.890152096241987"/>
    <n v="32.876910978293616"/>
    <n v="33.956750522508507"/>
    <n v="35.105335583417094"/>
    <n v="36.345678257116148"/>
  </r>
  <r>
    <x v="35"/>
    <x v="1"/>
    <x v="7"/>
    <n v="16.277742463268705"/>
    <n v="16.819566721336564"/>
    <n v="17.420397142215428"/>
    <n v="18.055941788190975"/>
    <n v="18.729232621465751"/>
    <n v="19.450823131836703"/>
    <n v="20.214948540119742"/>
    <n v="21.031894449311149"/>
    <n v="21.914608611633501"/>
    <n v="22.851950554306168"/>
    <n v="23.857576085357969"/>
    <n v="24.937778840342023"/>
    <n v="26.11065112242883"/>
  </r>
  <r>
    <x v="35"/>
    <x v="2"/>
    <x v="8"/>
    <n v="83.101962595537373"/>
    <n v="85.242413911359819"/>
    <n v="87.861598726817022"/>
    <n v="90.367456155283918"/>
    <n v="92.880402318716847"/>
    <n v="95.407322943098876"/>
    <n v="98.093720895466532"/>
    <n v="101.35372040688003"/>
    <n v="104.60956058704306"/>
    <n v="108.1452700963016"/>
    <n v="111.99142543014989"/>
    <n v="116.19904925079726"/>
    <n v="120.89044395201159"/>
  </r>
  <r>
    <x v="35"/>
    <x v="2"/>
    <x v="9"/>
    <n v="97.382539091993436"/>
    <n v="102.03718098340644"/>
    <n v="106.94223612271945"/>
    <n v="112.14533240520508"/>
    <n v="117.70381454955222"/>
    <n v="123.62059685718093"/>
    <n v="129.86904927974064"/>
    <n v="136.54973866949126"/>
    <n v="143.78638217578273"/>
    <n v="151.49911784912697"/>
    <n v="159.82657163855964"/>
    <n v="168.77643261031892"/>
    <n v="178.40662413916661"/>
  </r>
  <r>
    <x v="35"/>
    <x v="2"/>
    <x v="10"/>
    <n v="66.159314562015965"/>
    <n v="68.377869312803639"/>
    <n v="70.776281217466675"/>
    <n v="73.39467305482296"/>
    <n v="76.193198466882819"/>
    <n v="79.304932326284316"/>
    <n v="82.586649326373603"/>
    <n v="86.218122807247326"/>
    <n v="90.148728997700147"/>
    <n v="94.408754262962077"/>
    <n v="99.087296690201327"/>
    <n v="104.23491804683633"/>
    <n v="109.84375170388489"/>
  </r>
  <r>
    <x v="35"/>
    <x v="2"/>
    <x v="11"/>
    <n v="28.195038758495411"/>
    <n v="29.135106370098661"/>
    <n v="30.134827565246901"/>
    <n v="31.188016393152701"/>
    <n v="32.289579919801255"/>
    <n v="33.452717183061132"/>
    <n v="34.709067767770279"/>
    <n v="36.045610338039047"/>
    <n v="37.480946383931645"/>
    <n v="39.011653274822478"/>
    <n v="40.632058643056965"/>
    <n v="42.378117049325304"/>
    <n v="44.262533248829236"/>
  </r>
  <r>
    <x v="35"/>
    <x v="3"/>
    <x v="12"/>
    <n v="73.869057293547627"/>
    <n v="76.359359821759085"/>
    <n v="79.308447677911289"/>
    <n v="82.256311850203531"/>
    <n v="85.2547011321235"/>
    <n v="88.417728605086552"/>
    <n v="91.820002462318826"/>
    <n v="95.977055108708214"/>
    <n v="100.19952919668214"/>
    <n v="104.87958597267396"/>
    <n v="110.04748958131614"/>
    <n v="115.82459592105084"/>
    <n v="122.25900047694199"/>
  </r>
  <r>
    <x v="35"/>
    <x v="3"/>
    <x v="13"/>
    <n v="71.741588202488174"/>
    <n v="74.028074197853158"/>
    <n v="76.567758560508437"/>
    <n v="79.252815313483651"/>
    <n v="82.095937879099438"/>
    <n v="85.142717877140683"/>
    <n v="88.367066119034149"/>
    <n v="91.813195520571782"/>
    <n v="95.536697753229859"/>
    <n v="99.487847479536384"/>
    <n v="103.72513902507502"/>
    <n v="108.2747383969002"/>
    <n v="113.21389410125006"/>
  </r>
  <r>
    <x v="35"/>
    <x v="3"/>
    <x v="14"/>
    <n v="54.525722179682717"/>
    <n v="56.082592140962319"/>
    <n v="57.699268113157402"/>
    <n v="59.396133138425149"/>
    <n v="61.197049689900012"/>
    <n v="63.095617439338135"/>
    <n v="65.070563563721961"/>
    <n v="67.165652329247379"/>
    <n v="69.432616525165372"/>
    <n v="71.820798784364527"/>
    <n v="74.386414196839539"/>
    <n v="77.120321235929666"/>
    <n v="80.036572937212"/>
  </r>
  <r>
    <x v="35"/>
    <x v="3"/>
    <x v="15"/>
    <n v="74.702487332323656"/>
    <n v="78.322544417094022"/>
    <n v="82.139469280672898"/>
    <n v="86.190217706352357"/>
    <n v="90.519306553830219"/>
    <n v="95.129505388059897"/>
    <n v="100.00085512427614"/>
    <n v="105.21128926313031"/>
    <n v="110.85677466938026"/>
    <n v="116.87656324663824"/>
    <n v="123.37830959873706"/>
    <n v="130.36886140339709"/>
    <n v="137.89388552848828"/>
  </r>
  <r>
    <x v="36"/>
    <x v="0"/>
    <x v="0"/>
    <n v="32.701150401857902"/>
    <n v="34.136542508921181"/>
    <n v="35.722187213642364"/>
    <n v="37.392161687099218"/>
    <n v="39.1606226489656"/>
    <n v="41.053839760259173"/>
    <n v="43.109383349299065"/>
    <n v="45.364797274989051"/>
    <n v="47.780462514039336"/>
    <n v="50.370157423506349"/>
    <n v="53.198831544650105"/>
    <n v="56.294743018170188"/>
    <n v="59.690171281804723"/>
  </r>
  <r>
    <x v="36"/>
    <x v="0"/>
    <x v="1"/>
    <n v="325.19466898498302"/>
    <n v="342.39805653260612"/>
    <n v="361.3455840822453"/>
    <n v="381.61649184696216"/>
    <n v="403.33228863878134"/>
    <n v="426.78328180377645"/>
    <n v="451.92107302521202"/>
    <n v="479.04924831778141"/>
    <n v="508.55191440117551"/>
    <n v="540.27949140215151"/>
    <n v="574.65300321489053"/>
    <n v="611.94381483241364"/>
    <n v="652.72837413578213"/>
  </r>
  <r>
    <x v="36"/>
    <x v="1"/>
    <x v="2"/>
    <n v="113.4720267598118"/>
    <n v="118.53009879194281"/>
    <n v="124.36393360553438"/>
    <n v="130.50013408324332"/>
    <n v="137.04005462581523"/>
    <n v="143.95229702283717"/>
    <n v="151.31725616957777"/>
    <n v="158.96175544646172"/>
    <n v="167.24163281140522"/>
    <n v="175.76937627854932"/>
    <n v="184.68986753245031"/>
    <n v="194.10460247478238"/>
    <n v="204.24790759017333"/>
  </r>
  <r>
    <x v="36"/>
    <x v="1"/>
    <x v="3"/>
    <n v="80.571203309862526"/>
    <n v="85.677548395095002"/>
    <n v="91.141469777840413"/>
    <n v="96.98368086367843"/>
    <n v="103.23359620343136"/>
    <n v="109.95319682333957"/>
    <n v="117.23281102469565"/>
    <n v="125.06196955675701"/>
    <n v="133.60063780651109"/>
    <n v="142.93185824508282"/>
    <n v="153.10238270559469"/>
    <n v="164.10010459302268"/>
    <n v="176.17500732436139"/>
  </r>
  <r>
    <x v="36"/>
    <x v="1"/>
    <x v="4"/>
    <n v="65.097949476640878"/>
    <n v="69.039051434047494"/>
    <n v="73.325233031394561"/>
    <n v="78.018261769463251"/>
    <n v="83.100168739838878"/>
    <n v="88.73831860702289"/>
    <n v="94.807006350479725"/>
    <n v="101.5363378692598"/>
    <n v="108.90753906991277"/>
    <n v="116.99535150537245"/>
    <n v="125.95296275679569"/>
    <n v="135.89795086827164"/>
    <n v="146.88083364950785"/>
  </r>
  <r>
    <x v="36"/>
    <x v="1"/>
    <x v="5"/>
    <n v="45.920548652122136"/>
    <n v="48.407398694052873"/>
    <n v="51.130915730294276"/>
    <n v="54.012181643495929"/>
    <n v="57.081585556119357"/>
    <n v="60.37752184693138"/>
    <n v="63.91111623121548"/>
    <n v="67.828333249034472"/>
    <n v="72.041703969113257"/>
    <n v="76.608368229609454"/>
    <n v="81.598942627958976"/>
    <n v="87.063627598953801"/>
    <n v="93.059721662129533"/>
  </r>
  <r>
    <x v="36"/>
    <x v="1"/>
    <x v="6"/>
    <n v="32.449737866961954"/>
    <n v="33.502419612381004"/>
    <n v="34.640922519609674"/>
    <n v="35.884607365876406"/>
    <n v="37.213653839299518"/>
    <n v="38.692781379863398"/>
    <n v="40.251630413266675"/>
    <n v="41.977561309531495"/>
    <n v="43.845392848728864"/>
    <n v="45.869400485923158"/>
    <n v="48.092373454205401"/>
    <n v="50.538218013558009"/>
    <n v="53.20241108426233"/>
  </r>
  <r>
    <x v="36"/>
    <x v="1"/>
    <x v="7"/>
    <n v="20.384353321441651"/>
    <n v="21.378082114008144"/>
    <n v="22.46529663121434"/>
    <n v="23.609787808304095"/>
    <n v="24.823852323242601"/>
    <n v="26.123005884041223"/>
    <n v="27.510636185275821"/>
    <n v="29.048088161725961"/>
    <n v="30.695470409543574"/>
    <n v="32.475294081120644"/>
    <n v="34.415305682535603"/>
    <n v="36.534054301995312"/>
    <n v="38.852664107152378"/>
  </r>
  <r>
    <x v="36"/>
    <x v="2"/>
    <x v="8"/>
    <n v="116.52044382981197"/>
    <n v="121.163288609315"/>
    <n v="126.52945493964666"/>
    <n v="132.27256203694083"/>
    <n v="138.36753335967848"/>
    <n v="144.99362072218446"/>
    <n v="151.99850319097044"/>
    <n v="159.39929347694357"/>
    <n v="167.45615967976357"/>
    <n v="176.03794818088829"/>
    <n v="185.12254242722537"/>
    <n v="194.81683801448276"/>
    <n v="205.43896562713746"/>
  </r>
  <r>
    <x v="36"/>
    <x v="2"/>
    <x v="9"/>
    <n v="125.51415209813952"/>
    <n v="133.59000782254554"/>
    <n v="142.22205249971702"/>
    <n v="151.49464959813517"/>
    <n v="161.50991262002762"/>
    <n v="172.3008892018054"/>
    <n v="183.86057168667699"/>
    <n v="196.36059537995837"/>
    <n v="210.01572420062445"/>
    <n v="224.75566310533927"/>
    <n v="240.82832363935898"/>
    <n v="258.29849688451742"/>
    <n v="277.31018494732251"/>
  </r>
  <r>
    <x v="36"/>
    <x v="2"/>
    <x v="10"/>
    <n v="80.97301529967703"/>
    <n v="85.276854349908731"/>
    <n v="90.027402026788991"/>
    <n v="95.069497062393609"/>
    <n v="100.44589086231856"/>
    <n v="106.23179538025069"/>
    <n v="112.53418188093359"/>
    <n v="119.46355097550924"/>
    <n v="126.93086614572258"/>
    <n v="134.98553776786753"/>
    <n v="143.81561969708082"/>
    <n v="153.51632646951651"/>
    <n v="164.19683744385739"/>
  </r>
  <r>
    <x v="36"/>
    <x v="2"/>
    <x v="11"/>
    <n v="34.888208159212375"/>
    <n v="36.504448259758057"/>
    <n v="38.288861829734991"/>
    <n v="40.171944836591791"/>
    <n v="42.169574445722276"/>
    <n v="44.310816259795068"/>
    <n v="46.637199615930122"/>
    <n v="49.190605760359247"/>
    <n v="51.929626889104192"/>
    <n v="54.87049977156277"/>
    <n v="58.085348995875513"/>
    <n v="61.606896482067121"/>
    <n v="65.472557399269476"/>
  </r>
  <r>
    <x v="36"/>
    <x v="3"/>
    <x v="12"/>
    <n v="93.27908893360177"/>
    <n v="98.543761399093569"/>
    <n v="104.56415750584409"/>
    <n v="111.05554956844895"/>
    <n v="117.92436085818457"/>
    <n v="125.31164137549939"/>
    <n v="133.13596061631995"/>
    <n v="141.23850175695293"/>
    <n v="150.1321486447153"/>
    <n v="159.63561136695023"/>
    <n v="169.65196611532122"/>
    <n v="180.50794172225397"/>
    <n v="192.39514558472695"/>
  </r>
  <r>
    <x v="36"/>
    <x v="3"/>
    <x v="13"/>
    <n v="85.634039318538896"/>
    <n v="89.599570295674567"/>
    <n v="93.977737762395989"/>
    <n v="98.597926323832866"/>
    <n v="103.499091950204"/>
    <n v="108.75255697697224"/>
    <n v="114.46022863020494"/>
    <n v="120.72487068987772"/>
    <n v="127.44482960721541"/>
    <n v="134.65992926592054"/>
    <n v="142.54714733577268"/>
    <n v="151.18675116157183"/>
    <n v="160.670520010247"/>
  </r>
  <r>
    <x v="36"/>
    <x v="3"/>
    <x v="14"/>
    <n v="68.371142647035867"/>
    <n v="71.124078319337769"/>
    <n v="74.06891938462833"/>
    <n v="77.184920087226331"/>
    <n v="80.533709854369945"/>
    <n v="84.142329707966653"/>
    <n v="87.987370666346834"/>
    <n v="92.198495378415842"/>
    <n v="96.735712078678617"/>
    <n v="101.58552013891293"/>
    <n v="106.8717367523096"/>
    <n v="112.53776915559433"/>
    <n v="118.67380251485781"/>
  </r>
  <r>
    <x v="36"/>
    <x v="3"/>
    <x v="15"/>
    <n v="110.61154848766438"/>
    <n v="117.2671890274214"/>
    <n v="124.45695664301928"/>
    <n v="132.17025755455325"/>
    <n v="140.53574862498843"/>
    <n v="149.63059350359734"/>
    <n v="159.4468964616394"/>
    <n v="170.25217776752396"/>
    <n v="182.01968658460549"/>
    <n v="194.76858805387423"/>
    <n v="208.78098455613721"/>
    <n v="224.00609581116368"/>
    <n v="240.67907730775508"/>
  </r>
  <r>
    <x v="37"/>
    <x v="0"/>
    <x v="0"/>
    <n v="43.600018416154789"/>
    <n v="45.934572621913986"/>
    <n v="48.506022381211075"/>
    <n v="51.258321123646844"/>
    <n v="54.208122208194148"/>
    <n v="57.394806004965893"/>
    <n v="60.812298533976048"/>
    <n v="64.501875226519346"/>
    <n v="68.515753293022613"/>
    <n v="72.834374168815799"/>
    <n v="77.515053961684231"/>
    <n v="82.595059771626211"/>
    <n v="88.152926034269683"/>
  </r>
  <r>
    <x v="37"/>
    <x v="0"/>
    <x v="1"/>
    <n v="403.62437564038953"/>
    <n v="428.15991053757068"/>
    <n v="454.6748831777773"/>
    <n v="483.13407200817136"/>
    <n v="514.01118815023506"/>
    <n v="547.59270462064399"/>
    <n v="583.85447093067273"/>
    <n v="623.78078342921481"/>
    <n v="667.28004407633716"/>
    <n v="714.42876721140317"/>
    <n v="766.26812078958335"/>
    <n v="822.61992462562682"/>
    <n v="884.35563264973371"/>
  </r>
  <r>
    <x v="37"/>
    <x v="1"/>
    <x v="2"/>
    <n v="149.709476667947"/>
    <n v="158.30232685482406"/>
    <n v="167.45619152829454"/>
    <n v="176.9501265254446"/>
    <n v="187.28508469413833"/>
    <n v="198.13674970025488"/>
    <n v="209.78313995572137"/>
    <n v="222.38014671906251"/>
    <n v="235.93460214367241"/>
    <n v="250.16465522367207"/>
    <n v="265.47659404008346"/>
    <n v="281.23281619798468"/>
    <n v="298.01497926990567"/>
  </r>
  <r>
    <x v="37"/>
    <x v="1"/>
    <x v="3"/>
    <n v="101.38651803560262"/>
    <n v="107.90447455157367"/>
    <n v="115.00788299423579"/>
    <n v="122.79966779242756"/>
    <n v="131.25866069279715"/>
    <n v="140.65608835664747"/>
    <n v="150.8024097838657"/>
    <n v="162.07132404959907"/>
    <n v="174.44446024370956"/>
    <n v="188.05290732194422"/>
    <n v="203.15560782540382"/>
    <n v="219.95760114398166"/>
    <n v="238.55814484070592"/>
  </r>
  <r>
    <x v="37"/>
    <x v="1"/>
    <x v="4"/>
    <n v="75.47667121559229"/>
    <n v="80.704718454231283"/>
    <n v="86.419370427821221"/>
    <n v="92.704553607485508"/>
    <n v="99.552023174796787"/>
    <n v="107.17507883701026"/>
    <n v="115.43983528632384"/>
    <n v="124.64099252438047"/>
    <n v="134.7771265711217"/>
    <n v="145.9621540281656"/>
    <n v="158.4112334521073"/>
    <n v="172.3013493356078"/>
    <n v="187.72974409043789"/>
  </r>
  <r>
    <x v="37"/>
    <x v="1"/>
    <x v="5"/>
    <n v="51.185674737947792"/>
    <n v="54.330990646295582"/>
    <n v="57.808444228400319"/>
    <n v="61.525749625649432"/>
    <n v="65.515686484326892"/>
    <n v="69.833158683797876"/>
    <n v="74.555581721566284"/>
    <n v="79.76502658534838"/>
    <n v="85.41276377945367"/>
    <n v="91.541537549578138"/>
    <n v="98.289306289435842"/>
    <n v="105.73472204615292"/>
    <n v="113.96829520004007"/>
  </r>
  <r>
    <x v="37"/>
    <x v="1"/>
    <x v="6"/>
    <n v="42.641066723472854"/>
    <n v="44.396443017280241"/>
    <n v="46.29255565555502"/>
    <n v="48.358506321109047"/>
    <n v="50.571518621900196"/>
    <n v="53.022864689600794"/>
    <n v="55.621717078880124"/>
    <n v="58.492047309342027"/>
    <n v="61.605105542599489"/>
    <n v="64.986507092718554"/>
    <n v="68.703023435656704"/>
    <n v="72.796567849153533"/>
    <n v="77.269360574828539"/>
  </r>
  <r>
    <x v="37"/>
    <x v="1"/>
    <x v="7"/>
    <n v="26.824986675981716"/>
    <n v="28.455529635279785"/>
    <n v="30.196460724681522"/>
    <n v="32.053789259702064"/>
    <n v="34.036336690469909"/>
    <n v="36.163570358298578"/>
    <n v="38.464085638291401"/>
    <n v="40.933121468001751"/>
    <n v="43.621739088802926"/>
    <n v="46.555380164140388"/>
    <n v="49.747409708580427"/>
    <n v="53.191927824372478"/>
    <n v="56.968034708085355"/>
  </r>
  <r>
    <x v="37"/>
    <x v="2"/>
    <x v="8"/>
    <n v="152.04815132417474"/>
    <n v="159.92362635878163"/>
    <n v="168.1623240185362"/>
    <n v="176.95476868533439"/>
    <n v="186.4895776596365"/>
    <n v="196.84108798107496"/>
    <n v="207.78136786225826"/>
    <n v="219.68779545554639"/>
    <n v="232.6487401160465"/>
    <n v="246.50051494524905"/>
    <n v="261.61387973115984"/>
    <n v="277.66274220316416"/>
    <n v="294.90529448110988"/>
  </r>
  <r>
    <x v="37"/>
    <x v="2"/>
    <x v="9"/>
    <n v="156.1862746900706"/>
    <n v="166.90595455089652"/>
    <n v="178.55158977775795"/>
    <n v="191.12845934635357"/>
    <n v="204.84306138421371"/>
    <n v="219.83310174484529"/>
    <n v="236.11531002551644"/>
    <n v="254.11436044479638"/>
    <n v="273.82874424665755"/>
    <n v="295.32538968839214"/>
    <n v="319.07146041941201"/>
    <n v="345.03956496663915"/>
    <n v="373.64112686926131"/>
  </r>
  <r>
    <x v="37"/>
    <x v="2"/>
    <x v="10"/>
    <n v="101.89930158497567"/>
    <n v="108.16840133195974"/>
    <n v="115.09965166603088"/>
    <n v="122.50944533151893"/>
    <n v="130.46315365829534"/>
    <n v="139.07022268822803"/>
    <n v="148.48495979825947"/>
    <n v="158.87098678903936"/>
    <n v="170.13145024576798"/>
    <n v="182.35167449281963"/>
    <n v="195.80667498954696"/>
    <n v="210.65339571119156"/>
    <n v="227.07244882648135"/>
  </r>
  <r>
    <x v="37"/>
    <x v="2"/>
    <x v="11"/>
    <n v="37.090666457323323"/>
    <n v="39.096500917846733"/>
    <n v="41.367340096663384"/>
    <n v="43.799719768611297"/>
    <n v="46.423517656283664"/>
    <n v="49.2430982114616"/>
    <n v="52.285131778614605"/>
    <n v="55.609515966352006"/>
    <n v="59.186862760887728"/>
    <n v="63.085562253758063"/>
    <n v="67.291159611148728"/>
    <n v="71.859281516258235"/>
    <n v="76.889688507150922"/>
  </r>
  <r>
    <x v="37"/>
    <x v="3"/>
    <x v="12"/>
    <n v="113.66567379648478"/>
    <n v="120.66499840253545"/>
    <n v="127.81334979663387"/>
    <n v="135.43743481771236"/>
    <n v="143.87312938275431"/>
    <n v="153.2318332716444"/>
    <n v="163.17506945442585"/>
    <n v="174.44476073608314"/>
    <n v="186.79950471502377"/>
    <n v="200.0390795014207"/>
    <n v="215.12714684708078"/>
    <n v="231.3330292625393"/>
    <n v="248.91463034714411"/>
  </r>
  <r>
    <x v="37"/>
    <x v="3"/>
    <x v="13"/>
    <n v="117.16294656782794"/>
    <n v="123.52590336252028"/>
    <n v="130.72898442982643"/>
    <n v="138.44577316655398"/>
    <n v="146.77104786558223"/>
    <n v="155.71900712692531"/>
    <n v="165.3743987855041"/>
    <n v="175.92713975026749"/>
    <n v="187.28484561394589"/>
    <n v="199.66445147341278"/>
    <n v="213.02087717240084"/>
    <n v="227.53085826171449"/>
    <n v="243.51102542379741"/>
  </r>
  <r>
    <x v="37"/>
    <x v="3"/>
    <x v="14"/>
    <n v="87.921869286431971"/>
    <n v="92.255848946946713"/>
    <n v="97.028192393064984"/>
    <n v="102.12121360398918"/>
    <n v="107.56391545085064"/>
    <n v="113.42989529468109"/>
    <n v="119.70169745382026"/>
    <n v="126.45530194924162"/>
    <n v="133.78687610097859"/>
    <n v="141.65084193759682"/>
    <n v="150.15179674140143"/>
    <n v="159.35376965882796"/>
    <n v="169.3993160136269"/>
  </r>
  <r>
    <x v="37"/>
    <x v="3"/>
    <x v="15"/>
    <n v="128.47390440579963"/>
    <n v="137.64773244748221"/>
    <n v="147.61037893946312"/>
    <n v="158.38797154356263"/>
    <n v="170.01121765924199"/>
    <n v="182.60677493235906"/>
    <n v="196.41560377089854"/>
    <n v="211.45545622014188"/>
    <n v="227.9245709394115"/>
    <n v="245.90876846778858"/>
    <n v="265.4833539903845"/>
    <n v="286.99732721417121"/>
    <n v="310.68358689943494"/>
  </r>
  <r>
    <x v="38"/>
    <x v="0"/>
    <x v="0"/>
    <n v="141.37060850787216"/>
    <n v="151.65955615214276"/>
    <n v="162.87017828836952"/>
    <n v="175.01773898385923"/>
    <n v="188.30192820318541"/>
    <n v="202.86222226913344"/>
    <n v="218.7285323795567"/>
    <n v="236.30904305688105"/>
    <n v="255.62181892132551"/>
    <n v="276.7489614898866"/>
    <n v="300.14877401905443"/>
    <n v="325.82125045846755"/>
    <n v="354.18059905141024"/>
  </r>
  <r>
    <x v="38"/>
    <x v="0"/>
    <x v="1"/>
    <n v="1539.9410773602415"/>
    <n v="1668.3503304105286"/>
    <n v="1811.484313902725"/>
    <n v="1967.9394972327627"/>
    <n v="2139.2868011316154"/>
    <n v="2326.6339530104356"/>
    <n v="2531.1300557912364"/>
    <n v="2754.8864332255657"/>
    <n v="3001.3084755125578"/>
    <n v="3273.88192869458"/>
    <n v="3574.0084565634907"/>
    <n v="3903.7363909180849"/>
    <n v="4267.3911340732011"/>
  </r>
  <r>
    <x v="38"/>
    <x v="1"/>
    <x v="2"/>
    <n v="558.58828112526317"/>
    <n v="602.64913931994306"/>
    <n v="652.14556581470447"/>
    <n v="705.9662797069268"/>
    <n v="764.3801387135486"/>
    <n v="826.92857438819124"/>
    <n v="893.56787002957071"/>
    <n v="963.81711332450186"/>
    <n v="1039.8926439329534"/>
    <n v="1124.0523209939506"/>
    <n v="1214.0957261236281"/>
    <n v="1309.9079610274894"/>
    <n v="1411.861990211049"/>
  </r>
  <r>
    <x v="38"/>
    <x v="1"/>
    <x v="3"/>
    <n v="381.96989475650929"/>
    <n v="415.43156171221966"/>
    <n v="452.29803167180381"/>
    <n v="492.73675165734551"/>
    <n v="537.44023760340554"/>
    <n v="586.96380647938599"/>
    <n v="641.57208647035475"/>
    <n v="702.64902062577642"/>
    <n v="770.48957437696174"/>
    <n v="845.59144674328388"/>
    <n v="929.62244619295313"/>
    <n v="1022.9151089116782"/>
    <n v="1127.1118191210294"/>
  </r>
  <r>
    <x v="38"/>
    <x v="1"/>
    <x v="4"/>
    <n v="295.36168720322127"/>
    <n v="322.82795102329226"/>
    <n v="353.63473536742453"/>
    <n v="387.65034736929653"/>
    <n v="425.25046084946814"/>
    <n v="467.02420052997422"/>
    <n v="513.25527743366024"/>
    <n v="564.64173960829385"/>
    <n v="622.05226744568517"/>
    <n v="685.79908372564864"/>
    <n v="756.92459252043272"/>
    <n v="836.38873053698592"/>
    <n v="925.66294658396578"/>
  </r>
  <r>
    <x v="38"/>
    <x v="1"/>
    <x v="5"/>
    <n v="235.05908803123745"/>
    <n v="254.03931430099928"/>
    <n v="275.20141060113252"/>
    <n v="298.20861208280701"/>
    <n v="323.30207450460387"/>
    <n v="350.84653741459152"/>
    <n v="381.3427635328074"/>
    <n v="415.34739436005515"/>
    <n v="452.77108901379916"/>
    <n v="493.99691527953593"/>
    <n v="539.94362615358705"/>
    <n v="591.26390796028875"/>
    <n v="648.7155858085448"/>
  </r>
  <r>
    <x v="38"/>
    <x v="1"/>
    <x v="6"/>
    <n v="129.4216294219265"/>
    <n v="137.76686870085206"/>
    <n v="146.80722943136567"/>
    <n v="156.53840195659308"/>
    <n v="167.12087076623871"/>
    <n v="178.65643093685574"/>
    <n v="191.14689304357003"/>
    <n v="204.92418736120658"/>
    <n v="219.97132702622429"/>
    <n v="236.32642808691767"/>
    <n v="254.34715651699139"/>
    <n v="273.99129454420404"/>
    <n v="295.56554810469464"/>
  </r>
  <r>
    <x v="38"/>
    <x v="1"/>
    <x v="7"/>
    <n v="80.911105329955987"/>
    <n v="87.295051505364995"/>
    <n v="94.26751930466375"/>
    <n v="101.85684344365302"/>
    <n v="110.09494689753609"/>
    <n v="119.07662553057034"/>
    <n v="128.97369766083008"/>
    <n v="139.81602100261273"/>
    <n v="151.7533926382599"/>
    <n v="164.86469535513015"/>
    <n v="179.22368307495287"/>
    <n v="195.09063839590527"/>
    <n v="212.65384329532816"/>
  </r>
  <r>
    <x v="38"/>
    <x v="2"/>
    <x v="8"/>
    <n v="529.54189020665331"/>
    <n v="573.25622627893881"/>
    <n v="622.25220109945121"/>
    <n v="674.73484876170119"/>
    <n v="731.79389650286157"/>
    <n v="791.85471211638946"/>
    <n v="856.57799424609198"/>
    <n v="924.79505297712694"/>
    <n v="998.25261551683388"/>
    <n v="1078.9787364266122"/>
    <n v="1165.0841138185665"/>
    <n v="1255.3147991852143"/>
    <n v="1350.7989643955184"/>
  </r>
  <r>
    <x v="38"/>
    <x v="2"/>
    <x v="9"/>
    <n v="572.73665091950988"/>
    <n v="623.60370284812927"/>
    <n v="680.50750305677263"/>
    <n v="743.1214179624402"/>
    <n v="812.09570766491208"/>
    <n v="888.47763672495068"/>
    <n v="972.71670689395819"/>
    <n v="1066.0399154308438"/>
    <n v="1169.9767743353987"/>
    <n v="1284.9858413544864"/>
    <n v="1412.885548386721"/>
    <n v="1555.3114290134863"/>
    <n v="1714.8238202590308"/>
  </r>
  <r>
    <x v="38"/>
    <x v="2"/>
    <x v="10"/>
    <n v="406.93414076985692"/>
    <n v="438.76415081485476"/>
    <n v="473.76059351804753"/>
    <n v="512.45777504726948"/>
    <n v="554.89715307341658"/>
    <n v="602.35506331053568"/>
    <n v="654.1976819362186"/>
    <n v="712.19703390593509"/>
    <n v="776.49036774125898"/>
    <n v="847.88172409759818"/>
    <n v="927.78761070932637"/>
    <n v="1017.4452158490479"/>
    <n v="1117.6585796412048"/>
  </r>
  <r>
    <x v="38"/>
    <x v="2"/>
    <x v="11"/>
    <n v="172.09900397209361"/>
    <n v="184.38580662074867"/>
    <n v="197.83419451682309"/>
    <n v="212.64319444521092"/>
    <n v="228.80197209361094"/>
    <n v="246.808763127693"/>
    <n v="266.36620509452422"/>
    <n v="288.16347396854059"/>
    <n v="312.21053684039163"/>
    <n v="338.78458830577006"/>
    <n v="368.39995766793163"/>
    <n v="401.4861973288036"/>
    <n v="438.29036882885742"/>
  </r>
  <r>
    <x v="38"/>
    <x v="3"/>
    <x v="12"/>
    <n v="456.4315248954033"/>
    <n v="501.09479894500191"/>
    <n v="552.52013076178969"/>
    <n v="607.85903023278479"/>
    <n v="668.48348306495473"/>
    <n v="732.61214630443283"/>
    <n v="802.81008765432171"/>
    <n v="877.08508546623989"/>
    <n v="957.91749321568022"/>
    <n v="1047.1378365539722"/>
    <n v="1142.6544725696936"/>
    <n v="1243.421979074305"/>
    <n v="1351.8436348792261"/>
  </r>
  <r>
    <x v="38"/>
    <x v="3"/>
    <x v="13"/>
    <n v="439.21784233962433"/>
    <n v="470.58763523186144"/>
    <n v="504.92372094069952"/>
    <n v="542.73430480850084"/>
    <n v="583.9920121901016"/>
    <n v="629.96881132726492"/>
    <n v="679.90607350357379"/>
    <n v="735.5632540748386"/>
    <n v="796.96625025914568"/>
    <n v="864.82310253237972"/>
    <n v="940.44726475840207"/>
    <n v="1024.9359102076985"/>
    <n v="1118.9204538830836"/>
  </r>
  <r>
    <x v="38"/>
    <x v="3"/>
    <x v="14"/>
    <n v="304.71511265228946"/>
    <n v="326.81646067587104"/>
    <n v="350.61031269472562"/>
    <n v="376.34055807187389"/>
    <n v="404.30216228545493"/>
    <n v="434.62566684377509"/>
    <n v="467.34388886125822"/>
    <n v="502.94400631568476"/>
    <n v="542.03788256049268"/>
    <n v="584.51951728846291"/>
    <n v="631.10612984571446"/>
    <n v="682.05596683713043"/>
    <n v="737.84306271547075"/>
  </r>
  <r>
    <x v="38"/>
    <x v="3"/>
    <x v="15"/>
    <n v="480.9472059807967"/>
    <n v="521.51099170993723"/>
    <n v="566.30032779387966"/>
    <n v="616.02334310346237"/>
    <n v="670.81107179428966"/>
    <n v="732.28955080409617"/>
    <n v="799.79853815163926"/>
    <n v="875.6031304256835"/>
    <n v="960.00866839856485"/>
    <n v="1054.1504338096518"/>
    <n v="1159.9493634087351"/>
    <n v="1279.1437852574181"/>
    <n v="1412.964581646831"/>
  </r>
  <r>
    <x v="39"/>
    <x v="0"/>
    <x v="0"/>
    <n v="46.589498963021526"/>
    <n v="49.25762522941487"/>
    <n v="52.182333731729059"/>
    <n v="55.285309125491473"/>
    <n v="58.599184209913822"/>
    <n v="62.165186964654055"/>
    <n v="65.996945728732683"/>
    <n v="70.247477497596876"/>
    <n v="74.829825176961691"/>
    <n v="79.806196732963073"/>
    <n v="85.253554142971097"/>
    <n v="91.228411804390632"/>
    <n v="97.795360552941247"/>
  </r>
  <r>
    <x v="39"/>
    <x v="0"/>
    <x v="1"/>
    <n v="496.20078266911224"/>
    <n v="528.41527196442416"/>
    <n v="563.83452698461758"/>
    <n v="601.67771928388299"/>
    <n v="642.34799533450985"/>
    <n v="686.35370791120283"/>
    <n v="733.9123849111694"/>
    <n v="786.79695886015634"/>
    <n v="844.14261070774285"/>
    <n v="906.74082269402345"/>
    <n v="975.5722225939893"/>
    <n v="1051.4101221522928"/>
    <n v="1135.1413167343462"/>
  </r>
  <r>
    <x v="39"/>
    <x v="1"/>
    <x v="2"/>
    <n v="177.92022063979857"/>
    <n v="187.68851655885487"/>
    <n v="198.4158712813408"/>
    <n v="209.5171452165514"/>
    <n v="221.1488351462657"/>
    <n v="233.4939211073272"/>
    <n v="246.56143942730648"/>
    <n v="261.70962538439107"/>
    <n v="277.60787753800491"/>
    <n v="295.03630837482297"/>
    <n v="314.1832617148799"/>
    <n v="335.35630713959654"/>
    <n v="358.70138212331324"/>
  </r>
  <r>
    <x v="39"/>
    <x v="1"/>
    <x v="3"/>
    <n v="111.87472502281344"/>
    <n v="119.93276108001334"/>
    <n v="128.86334081686113"/>
    <n v="138.55694366147935"/>
    <n v="149.0914650890989"/>
    <n v="160.61155549317203"/>
    <n v="173.14344905524311"/>
    <n v="186.84845791297585"/>
    <n v="201.92925384190235"/>
    <n v="218.3892304346964"/>
    <n v="236.46033309710597"/>
    <n v="256.32731611376306"/>
    <n v="278.31329372268686"/>
  </r>
  <r>
    <x v="39"/>
    <x v="1"/>
    <x v="4"/>
    <n v="97.180553085493159"/>
    <n v="105.02061312926581"/>
    <n v="113.52192127087267"/>
    <n v="122.77748026595759"/>
    <n v="132.89958524162273"/>
    <n v="143.94966663399177"/>
    <n v="155.95839323095097"/>
    <n v="169.10871624912343"/>
    <n v="183.63077288564691"/>
    <n v="199.51812766788677"/>
    <n v="217.04473907027602"/>
    <n v="236.33459525673263"/>
    <n v="257.5897155324281"/>
  </r>
  <r>
    <x v="39"/>
    <x v="1"/>
    <x v="5"/>
    <n v="79.344755026722552"/>
    <n v="84.483187293332264"/>
    <n v="90.170313254504862"/>
    <n v="96.267227181465572"/>
    <n v="102.82895123916694"/>
    <n v="109.94589828762503"/>
    <n v="117.74502625744815"/>
    <n v="126.36219497220969"/>
    <n v="135.72770177468408"/>
    <n v="145.91630030200272"/>
    <n v="157.15540563049561"/>
    <n v="169.58037836699643"/>
    <n v="183.3472161169164"/>
  </r>
  <r>
    <x v="39"/>
    <x v="1"/>
    <x v="6"/>
    <n v="44.124834805202319"/>
    <n v="46.282779659149867"/>
    <n v="48.659000293365985"/>
    <n v="51.194233094915795"/>
    <n v="53.902838106966179"/>
    <n v="56.821501327220751"/>
    <n v="59.941242424375844"/>
    <n v="63.299882402765"/>
    <n v="66.945291536684678"/>
    <n v="70.854341916920561"/>
    <n v="75.079057444355328"/>
    <n v="79.651100435568026"/>
    <n v="84.641336771650856"/>
  </r>
  <r>
    <x v="39"/>
    <x v="1"/>
    <x v="7"/>
    <n v="32.345193052103703"/>
    <n v="34.265039473222885"/>
    <n v="36.386413799401247"/>
    <n v="38.649998989004786"/>
    <n v="41.075504721303219"/>
    <n v="43.69635202652011"/>
    <n v="46.559780244577603"/>
    <n v="49.715559436288132"/>
    <n v="53.131538307781682"/>
    <n v="56.832710730657084"/>
    <n v="60.902979779847634"/>
    <n v="65.388836644026739"/>
    <n v="70.343733020292021"/>
  </r>
  <r>
    <x v="39"/>
    <x v="2"/>
    <x v="8"/>
    <n v="184.18277638240841"/>
    <n v="193.5671823345196"/>
    <n v="204.33957418587266"/>
    <n v="215.47014142935365"/>
    <n v="227.0367914544388"/>
    <n v="239.35458178149906"/>
    <n v="252.53537647197265"/>
    <n v="267.86518662261835"/>
    <n v="283.92368855318421"/>
    <n v="301.55108230835276"/>
    <n v="320.95910612675323"/>
    <n v="342.70597317695069"/>
    <n v="367.04500016371389"/>
  </r>
  <r>
    <x v="39"/>
    <x v="2"/>
    <x v="9"/>
    <n v="194.59710510360642"/>
    <n v="209.45139976905853"/>
    <n v="225.49691398654076"/>
    <n v="242.90288970827467"/>
    <n v="261.87386627779665"/>
    <n v="282.51070122871022"/>
    <n v="304.85206685959486"/>
    <n v="329.23347106205694"/>
    <n v="356.07669161149386"/>
    <n v="385.33776469723557"/>
    <n v="417.5146614273234"/>
    <n v="452.80860087288562"/>
    <n v="491.5667301114442"/>
  </r>
  <r>
    <x v="39"/>
    <x v="2"/>
    <x v="10"/>
    <n v="117.67988668636373"/>
    <n v="125.45697685457245"/>
    <n v="133.89101260570109"/>
    <n v="142.98103116749181"/>
    <n v="152.87657985863879"/>
    <n v="163.67441364498569"/>
    <n v="175.38026191475728"/>
    <n v="188.30277060322598"/>
    <n v="202.43181239830486"/>
    <n v="217.80789720460808"/>
    <n v="234.76627812893156"/>
    <n v="253.2751030321391"/>
    <n v="273.62485957747964"/>
  </r>
  <r>
    <x v="39"/>
    <x v="2"/>
    <x v="11"/>
    <n v="46.330513459755217"/>
    <n v="49.197338235688491"/>
    <n v="52.289359938232103"/>
    <n v="55.608966104254357"/>
    <n v="59.159941953549357"/>
    <n v="62.979198220661907"/>
    <n v="67.141625393577357"/>
    <n v="71.643008069851916"/>
    <n v="76.540243321721604"/>
    <n v="81.850275216790166"/>
    <n v="87.585731053952415"/>
    <n v="93.848856874707991"/>
    <n v="100.70008743464977"/>
  </r>
  <r>
    <x v="39"/>
    <x v="3"/>
    <x v="12"/>
    <n v="139.22074014776069"/>
    <n v="148.49672723732306"/>
    <n v="158.54459829130121"/>
    <n v="169.01199311462699"/>
    <n v="180.07333042496248"/>
    <n v="191.97082832258877"/>
    <n v="204.68366221899157"/>
    <n v="219.69365821047757"/>
    <n v="235.65912422009728"/>
    <n v="253.07119410485348"/>
    <n v="272.64511697093235"/>
    <n v="294.74681072937915"/>
    <n v="319.16947677077337"/>
  </r>
  <r>
    <x v="39"/>
    <x v="3"/>
    <x v="13"/>
    <n v="134.87072282868482"/>
    <n v="142.67592686554497"/>
    <n v="151.50406360141196"/>
    <n v="160.98701185634621"/>
    <n v="171.24139596270268"/>
    <n v="182.29135651094461"/>
    <n v="194.24390122003919"/>
    <n v="207.33095729348327"/>
    <n v="221.45481487641612"/>
    <n v="236.88214314382864"/>
    <n v="253.57226544185571"/>
    <n v="271.74792861802661"/>
    <n v="291.80186622044988"/>
  </r>
  <r>
    <x v="39"/>
    <x v="3"/>
    <x v="14"/>
    <n v="105.93548461331127"/>
    <n v="111.89369830078506"/>
    <n v="118.23136601353168"/>
    <n v="124.96670720540358"/>
    <n v="132.12854334412387"/>
    <n v="139.7864776683769"/>
    <n v="148.04415068555954"/>
    <n v="156.87498309558936"/>
    <n v="166.46671056736872"/>
    <n v="176.90602533031591"/>
    <n v="188.2321594567189"/>
    <n v="200.41067884969269"/>
    <n v="213.72787543515773"/>
  </r>
  <r>
    <x v="39"/>
    <x v="3"/>
    <x v="15"/>
    <n v="162.76333404237698"/>
    <n v="174.60654479018598"/>
    <n v="187.73683281010176"/>
    <n v="201.99731623299775"/>
    <n v="217.50390981263465"/>
    <n v="234.4702323739466"/>
    <n v="252.93761651531184"/>
    <n v="273.14483775820298"/>
    <n v="295.39178622082238"/>
    <n v="319.68765684798842"/>
    <n v="346.37623486745349"/>
    <n v="375.73311575958502"/>
    <n v="408.23745886090654"/>
  </r>
  <r>
    <x v="40"/>
    <x v="0"/>
    <x v="0"/>
    <n v="11.810582614209645"/>
    <n v="12.047503544819895"/>
    <n v="12.318186295324281"/>
    <n v="12.60203096530814"/>
    <n v="12.901248905880326"/>
    <n v="13.214088920121817"/>
    <n v="13.538729693534689"/>
    <n v="13.87822691072855"/>
    <n v="14.240772090648528"/>
    <n v="14.632285645167288"/>
    <n v="15.047070219110651"/>
    <n v="15.482403179346848"/>
    <n v="15.944240022814009"/>
  </r>
  <r>
    <x v="40"/>
    <x v="0"/>
    <x v="1"/>
    <n v="112.64175634116116"/>
    <n v="115.25495268646551"/>
    <n v="118.39021955217989"/>
    <n v="121.69561220678999"/>
    <n v="125.22775436906961"/>
    <n v="128.9665534709352"/>
    <n v="132.95107725890043"/>
    <n v="137.29881445206223"/>
    <n v="141.89142070346963"/>
    <n v="146.85634108383368"/>
    <n v="152.11158489640894"/>
    <n v="157.74060645057676"/>
    <n v="163.91197675482226"/>
  </r>
  <r>
    <x v="40"/>
    <x v="1"/>
    <x v="2"/>
    <n v="47.346802308035933"/>
    <n v="47.778350192802691"/>
    <n v="48.551051430374031"/>
    <n v="49.355045247099071"/>
    <n v="50.251331391426788"/>
    <n v="51.192309184249012"/>
    <n v="52.192429706308602"/>
    <n v="53.360857733759929"/>
    <n v="54.540605135267725"/>
    <n v="55.844968227940228"/>
    <n v="57.200746689358837"/>
    <n v="58.644103618250568"/>
    <n v="60.311479210044126"/>
  </r>
  <r>
    <x v="40"/>
    <x v="1"/>
    <x v="3"/>
    <n v="25.795047572778248"/>
    <n v="26.704691058446642"/>
    <n v="27.710714658265001"/>
    <n v="28.770564878410696"/>
    <n v="29.891116308699171"/>
    <n v="31.070411428129628"/>
    <n v="32.30614351650059"/>
    <n v="33.607441969244682"/>
    <n v="34.996354231052742"/>
    <n v="36.490581419078104"/>
    <n v="38.079798455709742"/>
    <n v="39.76047413257151"/>
    <n v="41.551047508329098"/>
  </r>
  <r>
    <x v="40"/>
    <x v="1"/>
    <x v="4"/>
    <n v="21.579492095148812"/>
    <n v="22.440661594529086"/>
    <n v="23.358002971583829"/>
    <n v="24.327698187732562"/>
    <n v="25.346672100953317"/>
    <n v="26.426118763437255"/>
    <n v="27.59207244289955"/>
    <n v="28.835709646437241"/>
    <n v="30.173261142733594"/>
    <n v="31.603620110374468"/>
    <n v="33.123807811400312"/>
    <n v="34.764684518049201"/>
    <n v="36.538795155953046"/>
  </r>
  <r>
    <x v="40"/>
    <x v="1"/>
    <x v="5"/>
    <n v="14.019132713647808"/>
    <n v="14.425906553347497"/>
    <n v="14.858500666427707"/>
    <n v="15.31351621416157"/>
    <n v="15.788145074326781"/>
    <n v="16.288567487373736"/>
    <n v="16.829837143068438"/>
    <n v="17.405098454296468"/>
    <n v="18.022875363044804"/>
    <n v="18.680955876058199"/>
    <n v="19.376082997725877"/>
    <n v="20.124899953650814"/>
    <n v="20.932728572674105"/>
  </r>
  <r>
    <x v="40"/>
    <x v="1"/>
    <x v="6"/>
    <n v="9.0854466229551729"/>
    <n v="9.2139366660581814"/>
    <n v="9.3664300970101912"/>
    <n v="9.5268309654380268"/>
    <n v="9.6966560299014866"/>
    <n v="9.8744070246830784"/>
    <n v="10.058565938045154"/>
    <n v="10.251271468333035"/>
    <n v="10.458405121590641"/>
    <n v="10.684042982232652"/>
    <n v="10.923681417338555"/>
    <n v="11.175076380076465"/>
    <n v="11.442296354738344"/>
  </r>
  <r>
    <x v="40"/>
    <x v="1"/>
    <x v="7"/>
    <n v="6.6264176428048458"/>
    <n v="6.738910166101312"/>
    <n v="6.8637060238434113"/>
    <n v="7.0039876792562081"/>
    <n v="7.1550823696424057"/>
    <n v="7.3288285031843028"/>
    <n v="7.510758205612782"/>
    <n v="7.7166620907194456"/>
    <n v="7.9406918004286595"/>
    <n v="8.1844581133173051"/>
    <n v="8.454537743986279"/>
    <n v="8.7537710273250546"/>
    <n v="9.0798699758975427"/>
  </r>
  <r>
    <x v="40"/>
    <x v="2"/>
    <x v="8"/>
    <n v="39.879698236460499"/>
    <n v="40.331966715653138"/>
    <n v="41.137910462294812"/>
    <n v="41.987729456004473"/>
    <n v="42.875242616544455"/>
    <n v="43.759291624824158"/>
    <n v="44.70438454886586"/>
    <n v="45.695105585882033"/>
    <n v="46.683030543440708"/>
    <n v="47.811339101979726"/>
    <n v="48.887107058042545"/>
    <n v="50.049635089953952"/>
    <n v="51.380585002624997"/>
  </r>
  <r>
    <x v="40"/>
    <x v="2"/>
    <x v="9"/>
    <n v="44.10383744461992"/>
    <n v="45.533891586277306"/>
    <n v="47.062209455171406"/>
    <n v="48.673104751365535"/>
    <n v="50.403273295029237"/>
    <n v="52.26662873533936"/>
    <n v="54.245286161288185"/>
    <n v="56.416219609953508"/>
    <n v="58.750244458400253"/>
    <n v="61.235071016648213"/>
    <n v="63.941491691080593"/>
    <n v="66.830192567800097"/>
    <n v="69.950115919879565"/>
  </r>
  <r>
    <x v="40"/>
    <x v="2"/>
    <x v="10"/>
    <n v="29.165621346524762"/>
    <n v="29.931428240343742"/>
    <n v="30.751455686954774"/>
    <n v="31.614388570243872"/>
    <n v="32.54319317157821"/>
    <n v="33.545569226546505"/>
    <n v="34.608610230141387"/>
    <n v="35.780220745464007"/>
    <n v="37.039827241213708"/>
    <n v="38.377972913787382"/>
    <n v="39.837475706597147"/>
    <n v="41.391524449183571"/>
    <n v="43.068576821456922"/>
  </r>
  <r>
    <x v="40"/>
    <x v="2"/>
    <x v="11"/>
    <n v="11.303181927765623"/>
    <n v="11.505169689011215"/>
    <n v="11.756830243083174"/>
    <n v="12.022420394484254"/>
    <n v="12.307294191798043"/>
    <n v="12.609152804346998"/>
    <n v="12.931526012139685"/>
    <n v="13.285495421491245"/>
    <n v="13.659090551063503"/>
    <n v="14.064243696585653"/>
    <n v="14.492580659799296"/>
    <n v="14.951657522986"/>
    <n v="15.456939033674795"/>
  </r>
  <r>
    <x v="40"/>
    <x v="3"/>
    <x v="12"/>
    <n v="32.692228279020327"/>
    <n v="33.129193369838433"/>
    <n v="33.986836943275733"/>
    <n v="34.89262170781717"/>
    <n v="35.899727951159491"/>
    <n v="36.967426530870938"/>
    <n v="38.092726595864718"/>
    <n v="39.392193799858745"/>
    <n v="40.68801925508879"/>
    <n v="42.159001927256696"/>
    <n v="43.688945514694737"/>
    <n v="45.306213833313649"/>
    <n v="47.157612027971624"/>
  </r>
  <r>
    <x v="40"/>
    <x v="3"/>
    <x v="13"/>
    <n v="32.569574425040962"/>
    <n v="33.289835926888827"/>
    <n v="34.058373016681955"/>
    <n v="34.866311787838384"/>
    <n v="35.70634734657456"/>
    <n v="36.591686811367865"/>
    <n v="37.555108016203697"/>
    <n v="38.579610169877824"/>
    <n v="39.682715015813208"/>
    <n v="40.857821587722007"/>
    <n v="42.096197576687409"/>
    <n v="43.432557643646518"/>
    <n v="44.87624203892566"/>
  </r>
  <r>
    <x v="40"/>
    <x v="3"/>
    <x v="14"/>
    <n v="21.871776404817886"/>
    <n v="22.202638267474626"/>
    <n v="22.560079224449463"/>
    <n v="22.937621470723762"/>
    <n v="23.329988653139047"/>
    <n v="23.745444627003209"/>
    <n v="24.204723231363818"/>
    <n v="24.695903884788038"/>
    <n v="25.229477209178196"/>
    <n v="25.800302888648474"/>
    <n v="26.402022471848923"/>
    <n v="27.055688469061469"/>
    <n v="27.765967230758019"/>
  </r>
  <r>
    <x v="40"/>
    <x v="3"/>
    <x v="15"/>
    <n v="37.318759846491638"/>
    <n v="38.680788667083512"/>
    <n v="40.103116663097019"/>
    <n v="41.601088205718824"/>
    <n v="43.192939324076846"/>
    <n v="44.876084421814987"/>
    <n v="46.637249109002873"/>
    <n v="48.509333508266188"/>
    <n v="50.531981314037978"/>
    <n v="52.671500325373792"/>
    <n v="54.971489552288531"/>
    <n v="57.428549683901984"/>
    <n v="60.056395479980964"/>
  </r>
  <r>
    <x v="41"/>
    <x v="0"/>
    <x v="0"/>
    <n v="54.642658219145289"/>
    <n v="58.260037439532724"/>
    <n v="62.158822194760184"/>
    <n v="66.354994544492513"/>
    <n v="70.892525471982083"/>
    <n v="75.787861252674119"/>
    <n v="81.043394927339335"/>
    <n v="86.730326132152783"/>
    <n v="92.943121544682626"/>
    <n v="99.67486461373656"/>
    <n v="107.01793935681565"/>
    <n v="115.00382842627953"/>
    <n v="123.70513690125"/>
  </r>
  <r>
    <x v="41"/>
    <x v="0"/>
    <x v="1"/>
    <n v="510.9404584117068"/>
    <n v="547.71516872828363"/>
    <n v="588.48465233284537"/>
    <n v="632.60345528905509"/>
    <n v="680.46523890269157"/>
    <n v="732.38574171801531"/>
    <n v="788.73411397031521"/>
    <n v="850.1196495810899"/>
    <n v="917.16059547923146"/>
    <n v="990.67313394428993"/>
    <n v="1071.1618537639486"/>
    <n v="1159.1452477136486"/>
    <n v="1255.6933880861568"/>
  </r>
  <r>
    <x v="41"/>
    <x v="1"/>
    <x v="2"/>
    <n v="199.31236179687312"/>
    <n v="212.44896327224515"/>
    <n v="227.2434548753842"/>
    <n v="243.07525335153028"/>
    <n v="260.08225008788929"/>
    <n v="278.14799495194097"/>
    <n v="297.42395574993122"/>
    <n v="317.78198272083932"/>
    <n v="339.65529690998682"/>
    <n v="363.471888123599"/>
    <n v="389.03007362222382"/>
    <n v="416.27498875624548"/>
    <n v="445.45350601282297"/>
  </r>
  <r>
    <x v="41"/>
    <x v="1"/>
    <x v="3"/>
    <n v="118.32558686004595"/>
    <n v="127.75936918280809"/>
    <n v="138.07621747102479"/>
    <n v="149.31715332906967"/>
    <n v="161.56058325946225"/>
    <n v="174.94765886308326"/>
    <n v="189.69115406692021"/>
    <n v="205.90707969019411"/>
    <n v="223.78325224447232"/>
    <n v="243.43741581316172"/>
    <n v="265.04874047425591"/>
    <n v="288.93705298168248"/>
    <n v="315.41325536061066"/>
  </r>
  <r>
    <x v="41"/>
    <x v="1"/>
    <x v="4"/>
    <n v="95.418598186405106"/>
    <n v="103.38040933517286"/>
    <n v="112.10382865700009"/>
    <n v="121.63613737626584"/>
    <n v="132.12833330002047"/>
    <n v="143.69224309563293"/>
    <n v="156.37656576366868"/>
    <n v="170.47485693361904"/>
    <n v="186.08407349651014"/>
    <n v="203.28435942364561"/>
    <n v="222.43708200605332"/>
    <n v="243.61737504699386"/>
    <n v="267.16032454371208"/>
  </r>
  <r>
    <x v="41"/>
    <x v="1"/>
    <x v="5"/>
    <n v="68.166256360199682"/>
    <n v="73.064817260841707"/>
    <n v="78.476381657652141"/>
    <n v="84.310031883914064"/>
    <n v="90.625388828177392"/>
    <n v="97.504739332906382"/>
    <n v="104.98281806568801"/>
    <n v="113.28243768798586"/>
    <n v="122.35380303261063"/>
    <n v="132.29399831052356"/>
    <n v="143.25826983728066"/>
    <n v="155.3750275757809"/>
    <n v="168.80846210082427"/>
  </r>
  <r>
    <x v="41"/>
    <x v="1"/>
    <x v="6"/>
    <n v="52.052792321535811"/>
    <n v="54.76215584074955"/>
    <n v="57.705661459482961"/>
    <n v="60.903990961266359"/>
    <n v="64.343890439527712"/>
    <n v="68.126684965061898"/>
    <n v="72.166147778613279"/>
    <n v="76.605116055843652"/>
    <n v="81.433623268793639"/>
    <n v="86.698410581077283"/>
    <n v="92.481390704894324"/>
    <n v="98.842932486405047"/>
    <n v="105.81070628113861"/>
  </r>
  <r>
    <x v="41"/>
    <x v="1"/>
    <x v="7"/>
    <n v="32.307521105792382"/>
    <n v="34.559491275999051"/>
    <n v="37.03793040706131"/>
    <n v="39.715882931501525"/>
    <n v="42.617318459596532"/>
    <n v="45.754281762064018"/>
    <n v="49.136867472833224"/>
    <n v="52.798502624760815"/>
    <n v="56.793668071540488"/>
    <n v="61.161926306019303"/>
    <n v="65.924236476056066"/>
    <n v="71.101699292820285"/>
    <n v="76.752270688298339"/>
  </r>
  <r>
    <x v="41"/>
    <x v="2"/>
    <x v="8"/>
    <n v="180.25217921737033"/>
    <n v="192.37821579048384"/>
    <n v="206.12521842112795"/>
    <n v="220.73888103327204"/>
    <n v="236.4449669113892"/>
    <n v="252.90062985743464"/>
    <n v="270.66853337361715"/>
    <n v="289.19590808177747"/>
    <n v="309.0390514032535"/>
    <n v="330.58388927462153"/>
    <n v="353.38458296106535"/>
    <n v="377.23245477073715"/>
    <n v="402.54785526075239"/>
  </r>
  <r>
    <x v="41"/>
    <x v="2"/>
    <x v="9"/>
    <n v="206.13300179868043"/>
    <n v="221.51372450623523"/>
    <n v="238.4114925801444"/>
    <n v="256.9606698259426"/>
    <n v="277.2085261327548"/>
    <n v="299.69605981044253"/>
    <n v="324.18791807459058"/>
    <n v="351.53567950693287"/>
    <n v="381.7017736918782"/>
    <n v="415.06353304313143"/>
    <n v="452.25189027263662"/>
    <n v="493.80551216702804"/>
    <n v="540.10522302852735"/>
  </r>
  <r>
    <x v="41"/>
    <x v="2"/>
    <x v="10"/>
    <n v="122.34950950970357"/>
    <n v="131.48271512009018"/>
    <n v="141.40089635480351"/>
    <n v="152.1571687003588"/>
    <n v="163.86878791867778"/>
    <n v="176.6187895674199"/>
    <n v="190.43056123737901"/>
    <n v="205.50478639769415"/>
    <n v="222.09388411013524"/>
    <n v="240.17490164492096"/>
    <n v="260.04398271754712"/>
    <n v="281.84060857558615"/>
    <n v="305.80759496924537"/>
  </r>
  <r>
    <x v="41"/>
    <x v="2"/>
    <x v="11"/>
    <n v="56.84842610509773"/>
    <n v="60.600550751007205"/>
    <n v="64.705867171529675"/>
    <n v="69.101730273974255"/>
    <n v="73.835483411851868"/>
    <n v="78.958123735392377"/>
    <n v="84.490496212067868"/>
    <n v="90.613601726838297"/>
    <n v="97.269007818647182"/>
    <n v="104.52567459535257"/>
    <n v="112.49933716951516"/>
    <n v="121.27050062657683"/>
    <n v="130.93785172888195"/>
  </r>
  <r>
    <x v="41"/>
    <x v="3"/>
    <x v="12"/>
    <n v="145.67430453466969"/>
    <n v="157.50240809178189"/>
    <n v="170.51016042746707"/>
    <n v="184.604296218759"/>
    <n v="199.9014937915274"/>
    <n v="216.38622104507451"/>
    <n v="233.90640406080593"/>
    <n v="252.51532698654947"/>
    <n v="272.84340208723563"/>
    <n v="295.15096499259596"/>
    <n v="319.5331052750405"/>
    <n v="345.70767321399887"/>
    <n v="373.68880421901633"/>
  </r>
  <r>
    <x v="41"/>
    <x v="3"/>
    <x v="13"/>
    <n v="145.18592550023496"/>
    <n v="154.94021232772172"/>
    <n v="165.55275111358162"/>
    <n v="177.00384530153576"/>
    <n v="189.33132434793936"/>
    <n v="202.67404918612573"/>
    <n v="217.23580518644738"/>
    <n v="233.06081695420744"/>
    <n v="250.35900019091844"/>
    <n v="269.18710541417636"/>
    <n v="289.65168155005432"/>
    <n v="312.08037099554173"/>
    <n v="336.73169715053473"/>
  </r>
  <r>
    <x v="41"/>
    <x v="3"/>
    <x v="14"/>
    <n v="115.40360973045803"/>
    <n v="121.99248714482472"/>
    <n v="129.307328704545"/>
    <n v="137.11151256047845"/>
    <n v="145.47819640248935"/>
    <n v="154.50241782106687"/>
    <n v="164.33215969673014"/>
    <n v="175.14322341955847"/>
    <n v="186.82352401426854"/>
    <n v="199.48396462474534"/>
    <n v="213.34793133454258"/>
    <n v="228.57752098142862"/>
    <n v="245.38133509714157"/>
  </r>
  <r>
    <x v="41"/>
    <x v="3"/>
    <x v="15"/>
    <n v="159.31927686548937"/>
    <n v="171.54009860348808"/>
    <n v="185.2732342820118"/>
    <n v="200.23879575277454"/>
    <n v="216.64674983271757"/>
    <n v="234.61091491842225"/>
    <n v="254.30313995367109"/>
    <n v="276.13060835292737"/>
    <n v="300.07779073149152"/>
    <n v="326.52596352650869"/>
    <n v="355.64707496112669"/>
    <n v="387.78351094895885"/>
    <n v="423.59668852071422"/>
  </r>
  <r>
    <x v="41"/>
    <x v="5"/>
    <x v="58"/>
    <n v="441.27509368293477"/>
    <n v="473.85861361339835"/>
    <n v="509.89175153983905"/>
    <n v="548.96149575313189"/>
    <n v="591.42418274060776"/>
    <n v="637.4848207941867"/>
    <n v="687.33697134346426"/>
    <n v="741.46591936470986"/>
    <n v="800.67312704142785"/>
    <n v="865.65363204185155"/>
    <n v="936.6900327724295"/>
    <n v="1014.1456722659627"/>
    <n v="1098.9364613149698"/>
  </r>
  <r>
    <x v="41"/>
    <x v="5"/>
    <x v="59"/>
    <n v="124.30802294791729"/>
    <n v="132.11659255441805"/>
    <n v="140.75172298776647"/>
    <n v="149.99695408041583"/>
    <n v="159.93358163406592"/>
    <n v="170.68878217650271"/>
    <n v="182.44053755419031"/>
    <n v="195.38405634853291"/>
    <n v="209.43058998248625"/>
    <n v="224.69436651617488"/>
    <n v="241.48976034833467"/>
    <n v="260.00340387396534"/>
    <n v="280.46206367243707"/>
  </r>
  <r>
    <x v="42"/>
    <x v="0"/>
    <x v="0"/>
    <n v="43.43850702116999"/>
    <n v="46.390384312718773"/>
    <n v="49.555556861572185"/>
    <n v="52.965531500461744"/>
    <n v="56.658436706550219"/>
    <n v="60.648675726543743"/>
    <n v="64.936731862680361"/>
    <n v="69.586172538802501"/>
    <n v="74.676693620144661"/>
    <n v="80.187687950052961"/>
    <n v="86.211773879715707"/>
    <n v="92.777243604886166"/>
    <n v="99.941193979538468"/>
  </r>
  <r>
    <x v="42"/>
    <x v="0"/>
    <x v="1"/>
    <n v="397.83658666176478"/>
    <n v="427.46822930067958"/>
    <n v="460.33619467826685"/>
    <n v="495.99596425267009"/>
    <n v="534.76574603405754"/>
    <n v="576.83614506764297"/>
    <n v="622.40023948078385"/>
    <n v="671.87974682590732"/>
    <n v="725.9964334212832"/>
    <n v="785.46594409179863"/>
    <n v="850.47825889271382"/>
    <n v="921.36842866107656"/>
    <n v="998.99526733543132"/>
  </r>
  <r>
    <x v="42"/>
    <x v="1"/>
    <x v="2"/>
    <n v="155.79589683469965"/>
    <n v="166.75746082785861"/>
    <n v="179.05856272873052"/>
    <n v="192.28888396375606"/>
    <n v="206.58446703129425"/>
    <n v="221.76196816973356"/>
    <n v="237.80780397155479"/>
    <n v="254.54721084183069"/>
    <n v="272.60546521559957"/>
    <n v="292.31099630667632"/>
    <n v="313.33127132556717"/>
    <n v="335.47876274100588"/>
    <n v="358.95156670858546"/>
  </r>
  <r>
    <x v="42"/>
    <x v="1"/>
    <x v="3"/>
    <n v="93.073046970115698"/>
    <n v="100.70483467371211"/>
    <n v="109.06026605582706"/>
    <n v="118.17829922161182"/>
    <n v="128.10247798161566"/>
    <n v="138.94997724541705"/>
    <n v="150.9291662356635"/>
    <n v="164.08464223539116"/>
    <n v="178.60223228603365"/>
    <n v="194.58638770399838"/>
    <n v="212.13665468238946"/>
    <n v="231.57445295281977"/>
    <n v="253.13935129917013"/>
  </r>
  <r>
    <x v="42"/>
    <x v="1"/>
    <x v="4"/>
    <n v="73.165407937819097"/>
    <n v="79.337683483162763"/>
    <n v="86.121076279621164"/>
    <n v="93.541692146900701"/>
    <n v="101.72495943138453"/>
    <n v="110.76879634217596"/>
    <n v="120.7150426829145"/>
    <n v="131.81558083869265"/>
    <n v="144.11494758300569"/>
    <n v="157.69498620655074"/>
    <n v="172.85469296120303"/>
    <n v="189.64115015494863"/>
    <n v="208.34359814417377"/>
  </r>
  <r>
    <x v="42"/>
    <x v="1"/>
    <x v="5"/>
    <n v="50.531123022800244"/>
    <n v="54.268290585373734"/>
    <n v="58.396189423305813"/>
    <n v="62.843234564458996"/>
    <n v="67.658926505525528"/>
    <n v="72.905405413787449"/>
    <n v="78.61588472996003"/>
    <n v="84.991151962417604"/>
    <n v="91.95366072006415"/>
    <n v="99.603416259623273"/>
    <n v="108.06435078900242"/>
    <n v="117.44134191901001"/>
    <n v="127.8551588597122"/>
  </r>
  <r>
    <x v="42"/>
    <x v="1"/>
    <x v="6"/>
    <n v="42.547109784107612"/>
    <n v="44.769882298240454"/>
    <n v="47.177828181735869"/>
    <n v="49.805842171698842"/>
    <n v="52.63675226391409"/>
    <n v="55.771225988342003"/>
    <n v="59.12252423971541"/>
    <n v="62.82836999440633"/>
    <n v="66.868120766859818"/>
    <n v="71.279051077976547"/>
    <n v="76.144939375609269"/>
    <n v="81.525300136813698"/>
    <n v="87.437404532488785"/>
  </r>
  <r>
    <x v="42"/>
    <x v="1"/>
    <x v="7"/>
    <n v="26.162509133392454"/>
    <n v="28.020461745050689"/>
    <n v="30.077828870618589"/>
    <n v="32.303543684705467"/>
    <n v="34.716599526873679"/>
    <n v="37.327447634730682"/>
    <n v="40.146549483656052"/>
    <n v="43.198963491971469"/>
    <n v="46.528700469864944"/>
    <n v="50.178794487026323"/>
    <n v="54.15812363865809"/>
    <n v="58.484664361364757"/>
    <n v="63.209381770839535"/>
  </r>
  <r>
    <x v="42"/>
    <x v="2"/>
    <x v="8"/>
    <n v="140.61725686051432"/>
    <n v="150.76201445038674"/>
    <n v="162.28157124515849"/>
    <n v="174.54921367207214"/>
    <n v="187.77717802014297"/>
    <n v="201.58375443968134"/>
    <n v="216.38269868469507"/>
    <n v="231.6522094321507"/>
    <n v="248.02873836194976"/>
    <n v="265.85839147020602"/>
    <n v="284.5588492044875"/>
    <n v="303.86627357830844"/>
    <n v="324.15771554636035"/>
  </r>
  <r>
    <x v="42"/>
    <x v="2"/>
    <x v="9"/>
    <n v="160.85842184425147"/>
    <n v="172.97241896387726"/>
    <n v="186.26548278896334"/>
    <n v="200.93766153299697"/>
    <n v="216.99353264752898"/>
    <n v="234.92044658194354"/>
    <n v="254.45547151103054"/>
    <n v="276.27416260569754"/>
    <n v="300.41058300036269"/>
    <n v="327.15627038801176"/>
    <n v="357.03583084880654"/>
    <n v="390.4991167096552"/>
    <n v="427.82476684267027"/>
  </r>
  <r>
    <x v="42"/>
    <x v="2"/>
    <x v="10"/>
    <n v="94.391631877430925"/>
    <n v="101.68219191484695"/>
    <n v="109.56369135413321"/>
    <n v="118.11986944874188"/>
    <n v="127.45191138060098"/>
    <n v="137.61088080357507"/>
    <n v="148.6177222036242"/>
    <n v="160.63816019611693"/>
    <n v="173.88056741241502"/>
    <n v="188.32658116018055"/>
    <n v="204.22263795395114"/>
    <n v="221.67084503394642"/>
    <n v="240.84508936904217"/>
  </r>
  <r>
    <x v="42"/>
    <x v="2"/>
    <x v="11"/>
    <n v="45.407783100738065"/>
    <n v="48.441988284287412"/>
    <n v="51.781006151584016"/>
    <n v="55.354751099320879"/>
    <n v="59.201560692334837"/>
    <n v="63.369738968986809"/>
    <n v="67.881078944114449"/>
    <n v="72.901387130744681"/>
    <n v="78.353238266700401"/>
    <n v="84.31238902345325"/>
    <n v="90.872714765184384"/>
    <n v="98.109436944052732"/>
    <n v="106.10888955689711"/>
  </r>
  <r>
    <x v="42"/>
    <x v="3"/>
    <x v="12"/>
    <n v="114.46339417215233"/>
    <n v="124.27035178519361"/>
    <n v="135.02672182953324"/>
    <n v="146.75201358737985"/>
    <n v="159.56624450341599"/>
    <n v="173.39643373769053"/>
    <n v="187.9341665566177"/>
    <n v="203.21423109306386"/>
    <n v="219.98311665390429"/>
    <n v="238.43851197264644"/>
    <n v="258.51651694464545"/>
    <n v="279.81460027525213"/>
    <n v="302.35373024488638"/>
  </r>
  <r>
    <x v="42"/>
    <x v="3"/>
    <x v="13"/>
    <n v="112.99308451469825"/>
    <n v="120.83045926589422"/>
    <n v="129.32885591418085"/>
    <n v="138.5072175356014"/>
    <n v="148.38832744961849"/>
    <n v="159.07852070713793"/>
    <n v="170.78287509598724"/>
    <n v="183.510803796094"/>
    <n v="197.42825259475035"/>
    <n v="212.60249879336263"/>
    <n v="229.0911813710027"/>
    <n v="247.18763892021209"/>
    <n v="267.08295000881873"/>
  </r>
  <r>
    <x v="42"/>
    <x v="3"/>
    <x v="14"/>
    <n v="91.280852153601046"/>
    <n v="96.64947190843715"/>
    <n v="102.58086278575723"/>
    <n v="108.90692275100584"/>
    <n v="115.68257014406288"/>
    <n v="123.00122601126554"/>
    <n v="130.99501723948183"/>
    <n v="139.80292098104019"/>
    <n v="149.33326367631412"/>
    <n v="159.65516928481514"/>
    <n v="171.00310797360621"/>
    <n v="183.50602887707703"/>
    <n v="197.31215217547086"/>
  </r>
  <r>
    <x v="42"/>
    <x v="3"/>
    <x v="15"/>
    <n v="122.5377628424831"/>
    <n v="132.1083306538734"/>
    <n v="142.95531101036772"/>
    <n v="154.79534187914481"/>
    <n v="167.78704064351044"/>
    <n v="182.00864033809268"/>
    <n v="197.62491245137747"/>
    <n v="214.93796349451179"/>
    <n v="233.92849411645912"/>
    <n v="254.95745199102731"/>
    <n v="278.07922648317509"/>
    <n v="303.63740419342145"/>
    <n v="332.18762888579386"/>
  </r>
  <r>
    <x v="43"/>
    <x v="0"/>
    <x v="0"/>
    <n v="11.204151197975301"/>
    <n v="11.869653126813954"/>
    <n v="12.603265333187998"/>
    <n v="13.389463044030773"/>
    <n v="14.234088765431864"/>
    <n v="15.139185526130374"/>
    <n v="16.106663064658967"/>
    <n v="17.144153593350282"/>
    <n v="18.266427924537968"/>
    <n v="19.487176663683595"/>
    <n v="20.806165477099931"/>
    <n v="22.226584821393359"/>
    <n v="23.763942921711529"/>
  </r>
  <r>
    <x v="43"/>
    <x v="0"/>
    <x v="1"/>
    <n v="113.10387174994199"/>
    <n v="120.24693942760409"/>
    <n v="128.14845765457846"/>
    <n v="136.60749103638506"/>
    <n v="145.69949286863405"/>
    <n v="155.54959665037234"/>
    <n v="166.33387448953135"/>
    <n v="178.23990275518261"/>
    <n v="191.16416205794829"/>
    <n v="205.2071898524913"/>
    <n v="220.68359487123473"/>
    <n v="237.77681905257197"/>
    <n v="256.69812075072554"/>
  </r>
  <r>
    <x v="43"/>
    <x v="1"/>
    <x v="2"/>
    <n v="43.516464962173472"/>
    <n v="45.691502444386543"/>
    <n v="48.184892146653667"/>
    <n v="50.786369387774215"/>
    <n v="53.497783056595054"/>
    <n v="56.386026782207381"/>
    <n v="59.61615177837642"/>
    <n v="63.234771879008662"/>
    <n v="67.049831694387251"/>
    <n v="71.160891816922657"/>
    <n v="75.698802296656652"/>
    <n v="80.796226015239597"/>
    <n v="86.50193930423751"/>
  </r>
  <r>
    <x v="43"/>
    <x v="1"/>
    <x v="3"/>
    <n v="25.252539889930254"/>
    <n v="27.05453450909598"/>
    <n v="29.01595141519773"/>
    <n v="31.138854107457835"/>
    <n v="33.458105277846592"/>
    <n v="35.997681617666224"/>
    <n v="38.761987831256704"/>
    <n v="41.822437454802937"/>
    <n v="45.181019958438675"/>
    <n v="48.85102810916333"/>
    <n v="52.912085791866467"/>
    <n v="57.362600028862715"/>
    <n v="62.273904061440533"/>
  </r>
  <r>
    <x v="43"/>
    <x v="1"/>
    <x v="4"/>
    <n v="22.253190248586005"/>
    <n v="24.042725852010097"/>
    <n v="25.982752377378937"/>
    <n v="28.094445229365135"/>
    <n v="30.403373868635928"/>
    <n v="32.923446753456965"/>
    <n v="35.661523080754179"/>
    <n v="38.659276094926369"/>
    <n v="41.96912591350447"/>
    <n v="45.589373217094874"/>
    <n v="49.582389044850288"/>
    <n v="53.976224892045217"/>
    <n v="58.816726399538325"/>
  </r>
  <r>
    <x v="43"/>
    <x v="1"/>
    <x v="5"/>
    <n v="17.635133337399441"/>
    <n v="18.79652667546797"/>
    <n v="20.080192234346331"/>
    <n v="21.466797319455065"/>
    <n v="22.966462322651868"/>
    <n v="24.599333919118926"/>
    <n v="26.366933335727982"/>
    <n v="28.291285725568255"/>
    <n v="30.400142312546482"/>
    <n v="32.690582050900296"/>
    <n v="35.193919048278254"/>
    <n v="37.933685656770898"/>
    <n v="40.953303241112074"/>
  </r>
  <r>
    <x v="43"/>
    <x v="1"/>
    <x v="6"/>
    <n v="9.5056825374281999"/>
    <n v="9.9922735425090963"/>
    <n v="10.527833277747094"/>
    <n v="11.098148789567515"/>
    <n v="11.707138175613625"/>
    <n v="12.355458976719889"/>
    <n v="13.043623538897863"/>
    <n v="13.77674606143732"/>
    <n v="14.565502501933818"/>
    <n v="15.419359503100734"/>
    <n v="16.336451329285051"/>
    <n v="17.317632349591353"/>
    <n v="18.373301748649823"/>
  </r>
  <r>
    <x v="43"/>
    <x v="1"/>
    <x v="7"/>
    <n v="6.1450119723999261"/>
    <n v="6.5390295309483601"/>
    <n v="6.9601015364427212"/>
    <n v="7.4123392467960585"/>
    <n v="7.9007189327228557"/>
    <n v="8.4268341273333363"/>
    <n v="8.9903179891771714"/>
    <n v="9.5995391327893493"/>
    <n v="10.264967601675542"/>
    <n v="10.98313181899298"/>
    <n v="11.76611283739798"/>
    <n v="12.617034931455535"/>
    <n v="13.5428889174588"/>
  </r>
  <r>
    <x v="43"/>
    <x v="2"/>
    <x v="8"/>
    <n v="39.634922356856023"/>
    <n v="41.616201340097092"/>
    <n v="43.84364717596948"/>
    <n v="46.189667361199909"/>
    <n v="48.667788891246246"/>
    <n v="51.316875417753295"/>
    <n v="54.28583468892208"/>
    <n v="57.543698649626748"/>
    <n v="61.010313041303732"/>
    <n v="64.725497804415511"/>
    <n v="68.825733756577876"/>
    <n v="73.366181192428712"/>
    <n v="78.390139714392006"/>
  </r>
  <r>
    <x v="43"/>
    <x v="2"/>
    <x v="9"/>
    <n v="45.274579954428951"/>
    <n v="48.541305542357961"/>
    <n v="52.146009791181044"/>
    <n v="56.023008292945619"/>
    <n v="60.214993485225818"/>
    <n v="64.775613228499012"/>
    <n v="69.732446563560018"/>
    <n v="75.261516901235325"/>
    <n v="81.291190691515538"/>
    <n v="87.907262655119652"/>
    <n v="95.21605942383006"/>
    <n v="103.30639545737282"/>
    <n v="112.28045618585705"/>
  </r>
  <r>
    <x v="43"/>
    <x v="2"/>
    <x v="10"/>
    <n v="27.957877632272641"/>
    <n v="29.800523205243209"/>
    <n v="31.837205000670298"/>
    <n v="34.037299251616929"/>
    <n v="36.416876538076814"/>
    <n v="39.007908763844831"/>
    <n v="41.812839033754813"/>
    <n v="44.866626201577212"/>
    <n v="48.213316697720224"/>
    <n v="51.848320484740398"/>
    <n v="55.821344763595967"/>
    <n v="60.169763541639718"/>
    <n v="64.962505600203187"/>
  </r>
  <r>
    <x v="43"/>
    <x v="2"/>
    <x v="11"/>
    <n v="11.440643004359668"/>
    <n v="12.158562466719793"/>
    <n v="12.924861019945658"/>
    <n v="13.746979174653374"/>
    <n v="14.633922719517029"/>
    <n v="15.588384766405566"/>
    <n v="16.609417267953415"/>
    <n v="17.71221459609362"/>
    <n v="18.915769551946777"/>
    <n v="20.213285571899316"/>
    <n v="21.626622404330774"/>
    <n v="23.161063682524098"/>
    <n v="24.828962171984845"/>
  </r>
  <r>
    <x v="43"/>
    <x v="3"/>
    <x v="12"/>
    <n v="31.210910362517353"/>
    <n v="33.232056306588277"/>
    <n v="35.483438597933826"/>
    <n v="37.852282631379154"/>
    <n v="40.335249288111413"/>
    <n v="42.989787307383978"/>
    <n v="45.972237504188229"/>
    <n v="49.301095893485609"/>
    <n v="52.860285433331342"/>
    <n v="56.71245301994955"/>
    <n v="61.016588330395081"/>
    <n v="65.893072938746741"/>
    <n v="71.335073974129983"/>
  </r>
  <r>
    <x v="43"/>
    <x v="3"/>
    <x v="13"/>
    <n v="32.192840985536698"/>
    <n v="34.109753061827519"/>
    <n v="36.223895199400786"/>
    <n v="38.49662776593437"/>
    <n v="40.942996898320878"/>
    <n v="43.595528478987816"/>
    <n v="46.452930090460136"/>
    <n v="49.550013158113451"/>
    <n v="52.930747596168075"/>
    <n v="56.584606620813737"/>
    <n v="60.560500179051601"/>
    <n v="64.892732075329633"/>
    <n v="69.648747141716015"/>
  </r>
  <r>
    <x v="43"/>
    <x v="3"/>
    <x v="14"/>
    <n v="24.122757576856984"/>
    <n v="25.343015236387572"/>
    <n v="26.726465918787778"/>
    <n v="28.204589809472598"/>
    <n v="29.795626258426481"/>
    <n v="31.50119180980133"/>
    <n v="33.337142457248326"/>
    <n v="35.340302438518286"/>
    <n v="37.490260337954425"/>
    <n v="39.828795339930203"/>
    <n v="42.344823360936388"/>
    <n v="45.071492104351577"/>
    <n v="48.069182921670723"/>
  </r>
  <r>
    <x v="43"/>
    <x v="3"/>
    <x v="15"/>
    <n v="36.78151402300626"/>
    <n v="39.431767949614674"/>
    <n v="42.317923271644084"/>
    <n v="45.443453873629707"/>
    <n v="48.859709189207138"/>
    <n v="52.602274580329585"/>
    <n v="56.678227502293616"/>
    <n v="61.192644858415562"/>
    <n v="66.149296615032398"/>
    <n v="71.568511535481377"/>
    <n v="77.5678484779516"/>
    <n v="84.146106755537403"/>
    <n v="91.409059634920339"/>
  </r>
  <r>
    <x v="44"/>
    <x v="0"/>
    <x v="0"/>
    <n v="418.83369422375546"/>
    <n v="440.11262867020503"/>
    <n v="463.17420226168377"/>
    <n v="488.10796970534312"/>
    <n v="514.86154670204041"/>
    <n v="544.13805439482701"/>
    <n v="575.46687758546091"/>
    <n v="609.81514196793"/>
    <n v="647.15032639074934"/>
    <n v="687.82263075286266"/>
    <n v="732.43121881430181"/>
    <n v="781.38128053998344"/>
    <n v="835.01237418281903"/>
  </r>
  <r>
    <x v="44"/>
    <x v="0"/>
    <x v="1"/>
    <n v="3836.7868044356551"/>
    <n v="4071.3993621041959"/>
    <n v="4330.3621316243534"/>
    <n v="4608.7919677968857"/>
    <n v="4908.8772886255765"/>
    <n v="5232.7006099920918"/>
    <n v="5581.6327336361646"/>
    <n v="5959.5525508930004"/>
    <n v="6370.3118438144238"/>
    <n v="6817.472120688396"/>
    <n v="7304.1210519017395"/>
    <n v="7833.0725275099967"/>
    <n v="8410.7080329909732"/>
  </r>
  <r>
    <x v="44"/>
    <x v="1"/>
    <x v="2"/>
    <n v="1479.3600119731786"/>
    <n v="1555.0579215041187"/>
    <n v="1640.2630765020951"/>
    <n v="1731.5744907487433"/>
    <n v="1829.191029585817"/>
    <n v="1933.9208328384818"/>
    <n v="2044.3347692571456"/>
    <n v="2162.3532005718557"/>
    <n v="2288.8740255406201"/>
    <n v="2424.695357021074"/>
    <n v="2570.5300662682175"/>
    <n v="2727.6814948983265"/>
    <n v="2894.9110915909077"/>
  </r>
  <r>
    <x v="44"/>
    <x v="1"/>
    <x v="3"/>
    <n v="878.30653594456328"/>
    <n v="939.27964248132889"/>
    <n v="1005.3990047124134"/>
    <n v="1076.7071536519381"/>
    <n v="1153.8084979112364"/>
    <n v="1237.4503992586581"/>
    <n v="1328.5494580101306"/>
    <n v="1427.7649934301974"/>
    <n v="1536.4886547016511"/>
    <n v="1655.7274963441794"/>
    <n v="1786.585647677239"/>
    <n v="1929.3941408818262"/>
    <n v="2086.9966345547518"/>
  </r>
  <r>
    <x v="44"/>
    <x v="1"/>
    <x v="4"/>
    <n v="735.80350826108213"/>
    <n v="791.13443439576997"/>
    <n v="851.38144741132385"/>
    <n v="916.58708391646803"/>
    <n v="987.24553429008586"/>
    <n v="1064.1264405240308"/>
    <n v="1148.1883037523496"/>
    <n v="1239.9372662713424"/>
    <n v="1340.841238054204"/>
    <n v="1452.0363110916389"/>
    <n v="1574.4886139032099"/>
    <n v="1708.6805198010302"/>
    <n v="1857.3900655687419"/>
  </r>
  <r>
    <x v="44"/>
    <x v="1"/>
    <x v="5"/>
    <n v="557.22107654129979"/>
    <n v="590.8781742412807"/>
    <n v="628.34973300691775"/>
    <n v="668.67051854203464"/>
    <n v="712.33212006743111"/>
    <n v="759.59872502174881"/>
    <n v="810.81740327755676"/>
    <n v="866.97688198345759"/>
    <n v="927.95627603361777"/>
    <n v="994.47382785993284"/>
    <n v="1066.9530052489981"/>
    <n v="1146.0858384558783"/>
    <n v="1233.3439440363454"/>
  </r>
  <r>
    <x v="44"/>
    <x v="1"/>
    <x v="6"/>
    <n v="367.52274948417687"/>
    <n v="384.70738738968367"/>
    <n v="403.11791704159737"/>
    <n v="422.68650978127232"/>
    <n v="443.62204837534375"/>
    <n v="465.98316663903876"/>
    <n v="489.77014998495679"/>
    <n v="515.34976633631163"/>
    <n v="543.02459364758488"/>
    <n v="572.70218327553812"/>
    <n v="604.7683307570677"/>
    <n v="639.29590802823657"/>
    <n v="676.64567089858974"/>
  </r>
  <r>
    <x v="44"/>
    <x v="1"/>
    <x v="7"/>
    <n v="237.40661645511031"/>
    <n v="250.45443076221932"/>
    <n v="265.02515521168982"/>
    <n v="280.67418086177207"/>
    <n v="297.53960509770258"/>
    <n v="315.75910010496096"/>
    <n v="335.43952693948688"/>
    <n v="356.98558426776657"/>
    <n v="380.27738222749679"/>
    <n v="405.65957584889543"/>
    <n v="433.22660686130814"/>
    <n v="463.31590598468125"/>
    <n v="496.43300052445505"/>
  </r>
  <r>
    <x v="44"/>
    <x v="2"/>
    <x v="8"/>
    <n v="1486.6774227701965"/>
    <n v="1568.0444634742539"/>
    <n v="1656.8174090196073"/>
    <n v="1751.1994286702552"/>
    <n v="1851.5805407646676"/>
    <n v="1958.2560060796991"/>
    <n v="2071.4496375062781"/>
    <n v="2190.6552447932045"/>
    <n v="2319.2667262382906"/>
    <n v="2457.3587085588447"/>
    <n v="2606.0132230237327"/>
    <n v="2764.4308564479434"/>
    <n v="2932.7305519561287"/>
  </r>
  <r>
    <x v="44"/>
    <x v="2"/>
    <x v="9"/>
    <n v="1475.8646942557737"/>
    <n v="1575.4110007074573"/>
    <n v="1686.5984493587273"/>
    <n v="1806.9165232889993"/>
    <n v="1937.7102356213011"/>
    <n v="2079.7409072526848"/>
    <n v="2234.2415111435553"/>
    <n v="2403.6973569734232"/>
    <n v="2588.5258647782316"/>
    <n v="2791.265515945925"/>
    <n v="3012.6531443648482"/>
    <n v="3255.2184462587838"/>
    <n v="3523.4456019741738"/>
  </r>
  <r>
    <x v="44"/>
    <x v="2"/>
    <x v="10"/>
    <n v="914.6912963668816"/>
    <n v="969.3008263128288"/>
    <n v="1028.7270128010568"/>
    <n v="1093.1613335059467"/>
    <n v="1162.7487351140796"/>
    <n v="1239.0684508561826"/>
    <n v="1321.3286665713767"/>
    <n v="1411.8051279241461"/>
    <n v="1510.6819802034779"/>
    <n v="1618.781257996123"/>
    <n v="1737.8340072976946"/>
    <n v="1868.8733828000877"/>
    <n v="2013.215665561683"/>
  </r>
  <r>
    <x v="44"/>
    <x v="2"/>
    <x v="11"/>
    <n v="378.38708526655921"/>
    <n v="398.75570027986089"/>
    <n v="421.39346270664595"/>
    <n v="445.62265203702765"/>
    <n v="471.69932382756951"/>
    <n v="499.77330019835438"/>
    <n v="530.0797960004162"/>
    <n v="563.20996317015727"/>
    <n v="598.98759898517437"/>
    <n v="637.88926894036479"/>
    <n v="680.05189602976577"/>
    <n v="725.93112254316202"/>
    <n v="776.3285876818079"/>
  </r>
  <r>
    <x v="44"/>
    <x v="3"/>
    <x v="12"/>
    <n v="1089.8791378681519"/>
    <n v="1159.748765960491"/>
    <n v="1239.3459106382397"/>
    <n v="1325.4051034047855"/>
    <n v="1418.4855427791008"/>
    <n v="1518.5743246636798"/>
    <n v="1625.0937542861809"/>
    <n v="1737.633530457653"/>
    <n v="1859.5809785727668"/>
    <n v="1992.5908138764205"/>
    <n v="2136.1853552532098"/>
    <n v="2289.9402394039416"/>
    <n v="2455.3456917505264"/>
  </r>
  <r>
    <x v="44"/>
    <x v="3"/>
    <x v="13"/>
    <n v="1129.9995608055685"/>
    <n v="1193.9158675210117"/>
    <n v="1262.8617304088016"/>
    <n v="1336.7612666877562"/>
    <n v="1415.806750306682"/>
    <n v="1500.9567644739177"/>
    <n v="1593.1906216099467"/>
    <n v="1693.053547251782"/>
    <n v="1801.5963987657199"/>
    <n v="1919.3380379911866"/>
    <n v="2046.9513480487576"/>
    <n v="2185.9270921344137"/>
    <n v="2337.8945937260028"/>
  </r>
  <r>
    <x v="44"/>
    <x v="3"/>
    <x v="14"/>
    <n v="801.73858566655201"/>
    <n v="840.21682847961904"/>
    <n v="881.66644647690077"/>
    <n v="925.83755700089898"/>
    <n v="973.30707759922302"/>
    <n v="1024.4738858671933"/>
    <n v="1079.2696911555752"/>
    <n v="1139.0186944686236"/>
    <n v="1203.6943742199257"/>
    <n v="1273.2791151943138"/>
    <n v="1349.0860358232871"/>
    <n v="1431.0428285855191"/>
    <n v="1520.1971055517245"/>
  </r>
  <r>
    <x v="44"/>
    <x v="3"/>
    <x v="15"/>
    <n v="1234.0032143191384"/>
    <n v="1317.6305288132792"/>
    <n v="1409.6622463620954"/>
    <n v="1508.896010408788"/>
    <n v="1616.1394646426108"/>
    <n v="1732.8336893821293"/>
    <n v="1859.545544169923"/>
    <n v="1999.6619206828732"/>
    <n v="2152.5904186467628"/>
    <n v="2320.0867843793376"/>
    <n v="2504.3295315907862"/>
    <n v="2707.5436479261048"/>
    <n v="2932.283016145539"/>
  </r>
  <r>
    <x v="44"/>
    <x v="5"/>
    <x v="60"/>
    <n v="44.783338672463962"/>
    <n v="46.270544693243437"/>
    <n v="47.830080742551637"/>
    <n v="49.470171812981732"/>
    <n v="51.210752843428246"/>
    <n v="53.047800668160264"/>
    <n v="54.965889161377021"/>
    <n v="57.000743243744679"/>
    <n v="59.196998536161495"/>
    <n v="61.520450543435977"/>
    <n v="64.014200515701603"/>
    <n v="66.672580778164942"/>
    <n v="69.511466715102998"/>
  </r>
  <r>
    <x v="44"/>
    <x v="5"/>
    <x v="61"/>
    <n v="2330.4434414931748"/>
    <n v="2487.00873764484"/>
    <n v="2659.9016148238147"/>
    <n v="2846.7708571761659"/>
    <n v="3048.9401932152796"/>
    <n v="3267.7396996930174"/>
    <n v="3503.3929065401653"/>
    <n v="3758.5855637755699"/>
    <n v="4036.5417742827631"/>
    <n v="4340.7228296851017"/>
    <n v="4672.1731081438566"/>
    <n v="5032.4996388210211"/>
    <n v="5425.613549906323"/>
  </r>
  <r>
    <x v="44"/>
    <x v="5"/>
    <x v="62"/>
    <n v="364.72069346868017"/>
    <n v="385.2777541831237"/>
    <n v="407.89938256795057"/>
    <n v="431.97310636792668"/>
    <n v="457.69610353813999"/>
    <n v="485.41517481941969"/>
    <n v="515.62372541262766"/>
    <n v="548.79337449423383"/>
    <n v="584.63906245095154"/>
    <n v="623.41719097923374"/>
    <n v="665.95352504200787"/>
    <n v="712.66968193846958"/>
    <n v="764.15437453345999"/>
  </r>
  <r>
    <x v="44"/>
    <x v="5"/>
    <x v="63"/>
    <n v="85.66205536496777"/>
    <n v="88.70803134664159"/>
    <n v="92.194527075455881"/>
    <n v="95.883779620718116"/>
    <n v="99.820959644026132"/>
    <n v="104.00212880319418"/>
    <n v="108.4712952176412"/>
    <n v="113.32109261843542"/>
    <n v="118.47826784455297"/>
    <n v="124.04813561411903"/>
    <n v="129.97789765319845"/>
    <n v="136.35264314061482"/>
    <n v="143.32252774911353"/>
  </r>
  <r>
    <x v="44"/>
    <x v="5"/>
    <x v="64"/>
    <n v="121.91567019069625"/>
    <n v="127.35029432687018"/>
    <n v="133.08751578515646"/>
    <n v="139.15863106485133"/>
    <n v="145.63057839849907"/>
    <n v="152.51126971321654"/>
    <n v="159.7780709917069"/>
    <n v="167.55231751008978"/>
    <n v="175.957869087978"/>
    <n v="184.9034519767763"/>
    <n v="194.55899595184215"/>
    <n v="204.93496785865395"/>
    <n v="216.09895928754972"/>
  </r>
  <r>
    <x v="44"/>
    <x v="5"/>
    <x v="65"/>
    <n v="72.731552776541164"/>
    <n v="74.922480540062139"/>
    <n v="77.286549704503216"/>
    <n v="79.864424744029108"/>
    <n v="82.617347360686963"/>
    <n v="85.674504961098037"/>
    <n v="88.889277973973407"/>
    <n v="92.44194854315154"/>
    <n v="96.285908975630207"/>
    <n v="100.441956451324"/>
    <n v="105.00050307520684"/>
    <n v="110.00567631896138"/>
    <n v="115.44732428974973"/>
  </r>
  <r>
    <x v="44"/>
    <x v="5"/>
    <x v="66"/>
    <n v="206.58501101383717"/>
    <n v="216.29688764274482"/>
    <n v="226.97250633408061"/>
    <n v="238.33788995371887"/>
    <n v="250.45258812489126"/>
    <n v="263.36277757714174"/>
    <n v="277.0303467705898"/>
    <n v="291.60139311339697"/>
    <n v="307.26059826998886"/>
    <n v="324.19102266455599"/>
    <n v="342.37338057389053"/>
    <n v="361.82961202205615"/>
    <n v="382.74678469021057"/>
  </r>
  <r>
    <x v="44"/>
    <x v="5"/>
    <x v="67"/>
    <n v="277.62740563568002"/>
    <n v="292.13285153985754"/>
    <n v="308.13291999469783"/>
    <n v="325.09711144822535"/>
    <n v="343.17205665195763"/>
    <n v="362.60964833081363"/>
    <n v="383.74763274398646"/>
    <n v="406.99829887718084"/>
    <n v="432.03497581826167"/>
    <n v="459.03480964407447"/>
    <n v="488.6151351823882"/>
    <n v="521.0909968564165"/>
    <n v="556.82341902455391"/>
  </r>
  <r>
    <x v="44"/>
    <x v="5"/>
    <x v="68"/>
    <n v="206.73816291229704"/>
    <n v="216.966473902855"/>
    <n v="228.19286984133362"/>
    <n v="240.16621909954139"/>
    <n v="252.95311316607427"/>
    <n v="266.72280739329352"/>
    <n v="281.45299061604936"/>
    <n v="297.30274221791842"/>
    <n v="314.50783659992447"/>
    <n v="332.98145808236654"/>
    <n v="352.95425433320162"/>
    <n v="374.55845719920899"/>
    <n v="398.14373825194434"/>
  </r>
  <r>
    <x v="44"/>
    <x v="5"/>
    <x v="69"/>
    <n v="507.07164686514733"/>
    <n v="538.23578468226538"/>
    <n v="572.62607758548336"/>
    <n v="609.64121433314199"/>
    <n v="649.53638469770112"/>
    <n v="692.80721801919628"/>
    <n v="739.46146984960149"/>
    <n v="790.05501659808658"/>
    <n v="845.30951459039397"/>
    <n v="905.1502860112721"/>
    <n v="970.31868757575751"/>
    <n v="1041.3611355681167"/>
    <n v="1119.3641122725312"/>
  </r>
  <r>
    <x v="44"/>
    <x v="5"/>
    <x v="70"/>
    <n v="37.34152026592529"/>
    <n v="38.342150271897374"/>
    <n v="39.412289431009498"/>
    <n v="40.536531880928486"/>
    <n v="41.708757686932771"/>
    <n v="42.945634408368761"/>
    <n v="44.286005943907178"/>
    <n v="45.715201869123646"/>
    <n v="47.249363748568442"/>
    <n v="48.883159788998078"/>
    <n v="50.612582668989816"/>
    <n v="52.478417548294154"/>
    <n v="54.494150453253738"/>
  </r>
  <r>
    <x v="45"/>
    <x v="0"/>
    <x v="0"/>
    <n v="4.5515326880409086"/>
    <n v="4.6667821367287026"/>
    <n v="4.7961869595483844"/>
    <n v="4.9319367846448792"/>
    <n v="5.0749856067837387"/>
    <n v="5.2247473228930623"/>
    <n v="5.3805949572890022"/>
    <n v="5.5438258916797833"/>
    <n v="5.7178148315167761"/>
    <n v="5.9050927303641192"/>
    <n v="6.1035521616984436"/>
    <n v="6.3122471081782541"/>
    <n v="6.5337486293739504"/>
  </r>
  <r>
    <x v="45"/>
    <x v="0"/>
    <x v="1"/>
    <n v="40.231805984423055"/>
    <n v="41.603762556514738"/>
    <n v="43.033893783003251"/>
    <n v="44.53823502833685"/>
    <n v="46.135767236644512"/>
    <n v="47.823053345267205"/>
    <n v="49.585294204088022"/>
    <n v="51.456917352064899"/>
    <n v="53.479183704644718"/>
    <n v="55.61535781307186"/>
    <n v="57.910648354003165"/>
    <n v="60.360333669986687"/>
    <n v="62.977718085729045"/>
  </r>
  <r>
    <x v="45"/>
    <x v="1"/>
    <x v="2"/>
    <n v="16.198018038169057"/>
    <n v="16.658592291324126"/>
    <n v="17.121321194582272"/>
    <n v="17.599252345435602"/>
    <n v="18.097880054867538"/>
    <n v="18.60873760802496"/>
    <n v="19.127312259541199"/>
    <n v="19.654424759507648"/>
    <n v="20.223405641069306"/>
    <n v="20.81219419978239"/>
    <n v="21.432649089909653"/>
    <n v="22.080605785008522"/>
    <n v="22.753031289190687"/>
  </r>
  <r>
    <x v="45"/>
    <x v="1"/>
    <x v="3"/>
    <n v="8.9461608644772994"/>
    <n v="9.3172015907125729"/>
    <n v="9.7061817909261041"/>
    <n v="10.117051152914941"/>
    <n v="10.554536161030562"/>
    <n v="11.018363214327731"/>
    <n v="11.505625587189906"/>
    <n v="12.024748963289479"/>
    <n v="12.585989061318747"/>
    <n v="13.181527766453938"/>
    <n v="13.822734842460727"/>
    <n v="14.509374820778836"/>
    <n v="15.245525646111677"/>
  </r>
  <r>
    <x v="45"/>
    <x v="1"/>
    <x v="4"/>
    <n v="8.3769102896250285"/>
    <n v="8.7660489273768629"/>
    <n v="9.1756642359058223"/>
    <n v="9.6097608082035055"/>
    <n v="10.073155084302336"/>
    <n v="10.565980351786889"/>
    <n v="11.08584368700725"/>
    <n v="11.641221792559563"/>
    <n v="12.242521299762005"/>
    <n v="12.882761785199806"/>
    <n v="13.5735770973788"/>
    <n v="14.315421237275315"/>
    <n v="15.113006125779087"/>
  </r>
  <r>
    <x v="45"/>
    <x v="1"/>
    <x v="5"/>
    <n v="5.5722756936543449"/>
    <n v="5.7477091312371487"/>
    <n v="5.9352164075804472"/>
    <n v="6.132785624797978"/>
    <n v="6.3450122773007598"/>
    <n v="6.5736071626434374"/>
    <n v="6.8162754827042695"/>
    <n v="7.0826503465031978"/>
    <n v="7.3690024488481791"/>
    <n v="7.6737350180941464"/>
    <n v="8.0056684766089159"/>
    <n v="8.3598056885009182"/>
    <n v="8.7422073997232843"/>
  </r>
  <r>
    <x v="45"/>
    <x v="1"/>
    <x v="6"/>
    <n v="3.6907944687366516"/>
    <n v="3.7377112640033512"/>
    <n v="3.8001891409975195"/>
    <n v="3.866434555163675"/>
    <n v="3.938106893659632"/>
    <n v="4.0143827322756724"/>
    <n v="4.0963100772055254"/>
    <n v="4.1873073298235424"/>
    <n v="4.2834578608395457"/>
    <n v="4.3884181947094705"/>
    <n v="4.4994346058844039"/>
    <n v="4.6187530073497376"/>
    <n v="4.751016533612515"/>
  </r>
  <r>
    <x v="45"/>
    <x v="1"/>
    <x v="7"/>
    <n v="1.9991793178015815"/>
    <n v="2.0432814885893742"/>
    <n v="2.091507972559469"/>
    <n v="2.1448873264660291"/>
    <n v="2.2020623722674153"/>
    <n v="2.2667295991015752"/>
    <n v="2.3345220677288707"/>
    <n v="2.4103900520612522"/>
    <n v="2.4926222243237133"/>
    <n v="2.5818135791962216"/>
    <n v="2.6801364034590991"/>
    <n v="2.7886202392516122"/>
    <n v="2.9066797206857466"/>
  </r>
  <r>
    <x v="45"/>
    <x v="2"/>
    <x v="8"/>
    <n v="15.48065336060014"/>
    <n v="15.969249813627208"/>
    <n v="16.406009156303245"/>
    <n v="16.85882210789174"/>
    <n v="17.334839837500461"/>
    <n v="17.825524812911581"/>
    <n v="18.313424692355724"/>
    <n v="18.805819378679914"/>
    <n v="19.351052403015842"/>
    <n v="19.904367895068638"/>
    <n v="20.50654793917316"/>
    <n v="21.133767424982757"/>
    <n v="21.760829291654161"/>
  </r>
  <r>
    <x v="45"/>
    <x v="2"/>
    <x v="9"/>
    <n v="15.396389579716194"/>
    <n v="15.958382954486183"/>
    <n v="16.60478261874924"/>
    <n v="17.289263774480069"/>
    <n v="18.021063925602398"/>
    <n v="18.798825081303026"/>
    <n v="19.629700176174225"/>
    <n v="20.532749545667976"/>
    <n v="21.492700131196226"/>
    <n v="22.530656507849265"/>
    <n v="23.63662748772142"/>
    <n v="24.825746607925144"/>
    <n v="26.127260956432206"/>
  </r>
  <r>
    <x v="45"/>
    <x v="2"/>
    <x v="10"/>
    <n v="9.9003283760940715"/>
    <n v="10.220170688607027"/>
    <n v="10.575241280335311"/>
    <n v="10.950692126143476"/>
    <n v="11.348302830103698"/>
    <n v="11.774403555622818"/>
    <n v="12.225422312661751"/>
    <n v="12.7075072529426"/>
    <n v="13.228391693501685"/>
    <n v="13.78123923693769"/>
    <n v="14.374192795558505"/>
    <n v="15.010928802815195"/>
    <n v="15.702211723526279"/>
  </r>
  <r>
    <x v="45"/>
    <x v="2"/>
    <x v="11"/>
    <n v="4.0059673560535556"/>
    <n v="4.1227412365230194"/>
    <n v="4.2440476871638397"/>
    <n v="4.371393804466444"/>
    <n v="4.5065462502216853"/>
    <n v="4.6490472183228375"/>
    <n v="4.7973419801853243"/>
    <n v="4.954667066454193"/>
    <n v="5.1248543084477465"/>
    <n v="5.3041869035803835"/>
    <n v="5.4968322932485139"/>
    <n v="5.702137942441845"/>
    <n v="5.921164743490352"/>
  </r>
  <r>
    <x v="45"/>
    <x v="3"/>
    <x v="12"/>
    <n v="12.527041432581541"/>
    <n v="13.041042625616761"/>
    <n v="13.515267472694461"/>
    <n v="14.010204707094715"/>
    <n v="14.538732732249279"/>
    <n v="15.092014717858504"/>
    <n v="15.661019302173756"/>
    <n v="16.267967634931367"/>
    <n v="16.932086249246098"/>
    <n v="17.613132514167638"/>
    <n v="18.354637383339821"/>
    <n v="19.150747124258565"/>
    <n v="19.992191441874056"/>
  </r>
  <r>
    <x v="45"/>
    <x v="3"/>
    <x v="13"/>
    <n v="11.149841159725863"/>
    <n v="11.433384679805197"/>
    <n v="11.751989444142364"/>
    <n v="12.088411973822041"/>
    <n v="12.444212940953063"/>
    <n v="12.825896493106184"/>
    <n v="13.229002377712517"/>
    <n v="13.659699410284169"/>
    <n v="14.125690962033854"/>
    <n v="14.618911221590745"/>
    <n v="15.14738754971269"/>
    <n v="15.714221087889957"/>
    <n v="16.329841678062071"/>
  </r>
  <r>
    <x v="45"/>
    <x v="3"/>
    <x v="14"/>
    <n v="8.711804577670657"/>
    <n v="8.8946240850139588"/>
    <n v="9.1026974651990464"/>
    <n v="9.3208703769083776"/>
    <n v="9.5508054052993678"/>
    <n v="9.7912376140924486"/>
    <n v="10.040845477406819"/>
    <n v="10.301919614359424"/>
    <n v="10.580571241843163"/>
    <n v="10.881246179869462"/>
    <n v="11.199766642829312"/>
    <n v="11.53415380111368"/>
    <n v="11.888886686304295"/>
  </r>
  <r>
    <x v="45"/>
    <x v="3"/>
    <x v="15"/>
    <n v="12.394651502485898"/>
    <n v="12.901493302807518"/>
    <n v="13.460126360515765"/>
    <n v="14.050684755156597"/>
    <n v="14.677001764926533"/>
    <n v="15.338651843103133"/>
    <n v="16.035022004083924"/>
    <n v="16.77115658416972"/>
    <n v="17.55865008303838"/>
    <n v="18.407160627808128"/>
    <n v="19.312408939819786"/>
    <n v="20.273458764902742"/>
    <n v="21.300546908862575"/>
  </r>
  <r>
    <x v="46"/>
    <x v="0"/>
    <x v="0"/>
    <n v="248.61919735877993"/>
    <n v="262.07436338652764"/>
    <n v="276.66192233114322"/>
    <n v="292.59249942141412"/>
    <n v="309.77232363067242"/>
    <n v="328.80043085644485"/>
    <n v="349.1752242654037"/>
    <n v="371.71718561278851"/>
    <n v="396.31562691920885"/>
    <n v="423.20230496949569"/>
    <n v="452.88668474526588"/>
    <n v="485.73746507002136"/>
    <n v="521.87419693541619"/>
  </r>
  <r>
    <x v="46"/>
    <x v="0"/>
    <x v="1"/>
    <n v="2081.824244134395"/>
    <n v="2224.9343742583123"/>
    <n v="2383.2396924926716"/>
    <n v="2554.1783577547517"/>
    <n v="2739.1678695846072"/>
    <n v="2938.9392688365724"/>
    <n v="3154.2176822747615"/>
    <n v="3386.8683781627815"/>
    <n v="3640.226147363554"/>
    <n v="3917.5205247156064"/>
    <n v="4219.2864233985911"/>
    <n v="4546.7621737509999"/>
    <n v="4903.739352970907"/>
  </r>
  <r>
    <x v="46"/>
    <x v="1"/>
    <x v="2"/>
    <n v="806.15363617161643"/>
    <n v="853.61329713762825"/>
    <n v="907.12652996703741"/>
    <n v="964.92600008631234"/>
    <n v="1027.1879510942276"/>
    <n v="1094.1055793117607"/>
    <n v="1164.1633735827718"/>
    <n v="1238.7254176973438"/>
    <n v="1318.6788900835991"/>
    <n v="1405.1643760571701"/>
    <n v="1497.8379266461211"/>
    <n v="1596.9840822657789"/>
    <n v="1701.0926614694908"/>
  </r>
  <r>
    <x v="46"/>
    <x v="1"/>
    <x v="3"/>
    <n v="469.57976951599397"/>
    <n v="505.77586523845622"/>
    <n v="544.96245434630487"/>
    <n v="587.36356269987812"/>
    <n v="633.2648781308136"/>
    <n v="683.1638122197121"/>
    <n v="737.75650447834107"/>
    <n v="797.13711351604854"/>
    <n v="862.48688160528525"/>
    <n v="934.54698734774047"/>
    <n v="1013.8540879820441"/>
    <n v="1100.5766885514931"/>
    <n v="1196.6434191864907"/>
  </r>
  <r>
    <x v="46"/>
    <x v="1"/>
    <x v="4"/>
    <n v="407.73163012338392"/>
    <n v="441.19039473865945"/>
    <n v="477.56964665418474"/>
    <n v="517.10497423588447"/>
    <n v="560.09031349364682"/>
    <n v="607.01197555512147"/>
    <n v="658.54148509135553"/>
    <n v="714.82501729070486"/>
    <n v="776.9858079654507"/>
    <n v="845.77087237355261"/>
    <n v="921.75527289565662"/>
    <n v="1005.1892600359628"/>
    <n v="1097.9345486877455"/>
  </r>
  <r>
    <x v="46"/>
    <x v="1"/>
    <x v="5"/>
    <n v="302.54450871570037"/>
    <n v="322.45504404430545"/>
    <n v="344.96691101997584"/>
    <n v="369.29762137469277"/>
    <n v="395.75243707934328"/>
    <n v="424.43146174078305"/>
    <n v="455.63009450512783"/>
    <n v="489.9449050818896"/>
    <n v="527.21050848646416"/>
    <n v="568.12313652462194"/>
    <n v="612.66172829872153"/>
    <n v="661.43999191424393"/>
    <n v="715.50254147906037"/>
  </r>
  <r>
    <x v="46"/>
    <x v="1"/>
    <x v="6"/>
    <n v="205.28686494290935"/>
    <n v="216.42201707453393"/>
    <n v="228.22040736798368"/>
    <n v="240.79483742295315"/>
    <n v="254.28161211415437"/>
    <n v="268.70263724928589"/>
    <n v="284.01594997341863"/>
    <n v="300.45653953580643"/>
    <n v="318.31591803980837"/>
    <n v="337.44181854498942"/>
    <n v="358.16460123631765"/>
    <n v="380.52902237750141"/>
    <n v="404.69386215205475"/>
  </r>
  <r>
    <x v="46"/>
    <x v="1"/>
    <x v="7"/>
    <n v="139.14703202357052"/>
    <n v="147.55211941125677"/>
    <n v="157.05566546832827"/>
    <n v="167.2838613564449"/>
    <n v="178.36300130309385"/>
    <n v="190.32423361635372"/>
    <n v="203.28549890915031"/>
    <n v="217.49657065377647"/>
    <n v="232.86376810215549"/>
    <n v="249.67563883702718"/>
    <n v="267.89949108499542"/>
    <n v="287.78059367604118"/>
    <n v="309.7465169314803"/>
  </r>
  <r>
    <x v="46"/>
    <x v="2"/>
    <x v="8"/>
    <n v="836.91875477302415"/>
    <n v="892.14617821426714"/>
    <n v="951.67453605981405"/>
    <n v="1015.1796011125655"/>
    <n v="1082.9835566300676"/>
    <n v="1154.6902963685916"/>
    <n v="1230.3360134738887"/>
    <n v="1308.6793371377075"/>
    <n v="1393.4667234695153"/>
    <n v="1485.0166381430877"/>
    <n v="1583.0517523130975"/>
    <n v="1685.9198752100465"/>
    <n v="1793.2471242538363"/>
  </r>
  <r>
    <x v="46"/>
    <x v="2"/>
    <x v="9"/>
    <n v="803.64069702456902"/>
    <n v="861.84810097709124"/>
    <n v="927.72202921480368"/>
    <n v="999.29572001979398"/>
    <n v="1077.4954642822797"/>
    <n v="1162.710757007608"/>
    <n v="1255.8744087816315"/>
    <n v="1358.7710118278787"/>
    <n v="1471.1144335817639"/>
    <n v="1595.0138109666923"/>
    <n v="1730.6145270627769"/>
    <n v="1879.8563680562354"/>
    <n v="2045.9491851160767"/>
  </r>
  <r>
    <x v="46"/>
    <x v="2"/>
    <x v="10"/>
    <n v="486.49005520342115"/>
    <n v="517.5314314538216"/>
    <n v="551.35166272729487"/>
    <n v="588.44032487208869"/>
    <n v="628.69146784099064"/>
    <n v="673.39981306618677"/>
    <n v="721.65179144549745"/>
    <n v="775.23080105249255"/>
    <n v="834.04165430404555"/>
    <n v="898.70390854049128"/>
    <n v="970.44700990934643"/>
    <n v="1050.2407059895068"/>
    <n v="1138.5479176955726"/>
  </r>
  <r>
    <x v="46"/>
    <x v="2"/>
    <x v="11"/>
    <n v="203.39393449216041"/>
    <n v="215.48302699966015"/>
    <n v="229.15338682190213"/>
    <n v="243.85521117171797"/>
    <n v="259.76970446194184"/>
    <n v="276.93883325063109"/>
    <n v="295.53069283914783"/>
    <n v="315.90441375749083"/>
    <n v="337.91896292743832"/>
    <n v="361.98847203483029"/>
    <n v="388.05981885863565"/>
    <n v="416.48268956523214"/>
    <n v="447.86932284083753"/>
  </r>
  <r>
    <x v="46"/>
    <x v="3"/>
    <x v="12"/>
    <n v="593.03657455700886"/>
    <n v="636.4739646748892"/>
    <n v="686.0669260742211"/>
    <n v="740.44269389105602"/>
    <n v="799.73701268036803"/>
    <n v="863.6791158022279"/>
    <n v="931.08314495760578"/>
    <n v="1001.0324687010534"/>
    <n v="1077.1396903725981"/>
    <n v="1161.266175089394"/>
    <n v="1251.6157823015869"/>
    <n v="1347.2270158867141"/>
    <n v="1448.7413281125127"/>
  </r>
  <r>
    <x v="46"/>
    <x v="3"/>
    <x v="13"/>
    <n v="631.14513215009197"/>
    <n v="671.13189950867468"/>
    <n v="714.30419516913457"/>
    <n v="760.70791439738741"/>
    <n v="810.40830335662122"/>
    <n v="863.92472177866534"/>
    <n v="922.30038526874159"/>
    <n v="985.49762215609337"/>
    <n v="1054.3191568655575"/>
    <n v="1129.0217844985596"/>
    <n v="1209.8041364346902"/>
    <n v="1298.1037905634205"/>
    <n v="1394.7878983961532"/>
  </r>
  <r>
    <x v="46"/>
    <x v="3"/>
    <x v="14"/>
    <n v="435.67311904691752"/>
    <n v="459.09166882089863"/>
    <n v="484.29224917573458"/>
    <n v="511.19803591084735"/>
    <n v="540.27220223774748"/>
    <n v="571.76834109281992"/>
    <n v="605.60836650849512"/>
    <n v="642.76155783453885"/>
    <n v="683.06230991099903"/>
    <n v="726.52051273928305"/>
    <n v="774.12583644733081"/>
    <n v="825.60916167832954"/>
    <n v="881.76065596278613"/>
  </r>
  <r>
    <x v="46"/>
    <x v="3"/>
    <x v="15"/>
    <n v="670.58861573915647"/>
    <n v="720.31120464037758"/>
    <n v="775.23824440472436"/>
    <n v="834.42221297687502"/>
    <n v="898.52267494054274"/>
    <n v="968.36752101930415"/>
    <n v="1044.4010098053227"/>
    <n v="1129.2939150838843"/>
    <n v="1222.0206171336083"/>
    <n v="1323.9143573578654"/>
    <n v="1436.6273529602486"/>
    <n v="1561.5596706925573"/>
    <n v="1700.3236674348707"/>
  </r>
  <r>
    <x v="47"/>
    <x v="0"/>
    <x v="0"/>
    <n v="34.750693960639289"/>
    <n v="36.617818032582072"/>
    <n v="38.599772018401666"/>
    <n v="40.701637142212235"/>
    <n v="42.93189451187753"/>
    <n v="45.312190489427167"/>
    <n v="47.87499343849619"/>
    <n v="50.610346178912806"/>
    <n v="53.577520117758432"/>
    <n v="56.802696440212095"/>
    <n v="60.296560510820569"/>
    <n v="64.046089028628401"/>
    <n v="68.140866566043826"/>
  </r>
  <r>
    <x v="47"/>
    <x v="0"/>
    <x v="1"/>
    <n v="329.96999950804087"/>
    <n v="348.65993615054163"/>
    <n v="369.2996105495489"/>
    <n v="391.27146922571444"/>
    <n v="414.76420902626245"/>
    <n v="440.10298432999252"/>
    <n v="467.74873197413143"/>
    <n v="498.183028315321"/>
    <n v="531.06154233319307"/>
    <n v="566.61449453902162"/>
    <n v="605.65696453118733"/>
    <n v="648.62359290984114"/>
    <n v="696.01350796741622"/>
  </r>
  <r>
    <x v="47"/>
    <x v="1"/>
    <x v="2"/>
    <n v="133.87050499960205"/>
    <n v="139.65806451308691"/>
    <n v="146.27608395394839"/>
    <n v="153.16415937793124"/>
    <n v="160.42248429011801"/>
    <n v="168.18993811384848"/>
    <n v="176.72697744290139"/>
    <n v="186.42778281161225"/>
    <n v="196.63312273950942"/>
    <n v="207.42803365826813"/>
    <n v="219.40142446106529"/>
    <n v="232.84055728163565"/>
    <n v="247.69697340441235"/>
  </r>
  <r>
    <x v="47"/>
    <x v="1"/>
    <x v="3"/>
    <n v="72.007228125008226"/>
    <n v="76.968983261732745"/>
    <n v="82.303136260151604"/>
    <n v="88.033905123583153"/>
    <n v="94.193858108149215"/>
    <n v="100.84590058256927"/>
    <n v="108.08018496381371"/>
    <n v="115.89573822473568"/>
    <n v="124.44942847257424"/>
    <n v="133.8296396929824"/>
    <n v="144.09249991055032"/>
    <n v="155.2397860315929"/>
    <n v="167.52112979997153"/>
  </r>
  <r>
    <x v="47"/>
    <x v="1"/>
    <x v="4"/>
    <n v="61.33995734474631"/>
    <n v="65.872073108774273"/>
    <n v="70.765149134623897"/>
    <n v="76.044857796296185"/>
    <n v="81.744524091911799"/>
    <n v="87.924379917925506"/>
    <n v="94.669489252339474"/>
    <n v="101.98662748076144"/>
    <n v="110.02153271860411"/>
    <n v="118.86204260511391"/>
    <n v="128.5688955592008"/>
    <n v="139.1553714089512"/>
    <n v="150.85707919863123"/>
  </r>
  <r>
    <x v="47"/>
    <x v="1"/>
    <x v="5"/>
    <n v="51.27079203480718"/>
    <n v="54.32688291111787"/>
    <n v="57.697472966610817"/>
    <n v="61.321072887687848"/>
    <n v="65.221694754184952"/>
    <n v="69.451201325702471"/>
    <n v="74.007592240786636"/>
    <n v="78.946386416055375"/>
    <n v="84.337707694211488"/>
    <n v="90.164863485210873"/>
    <n v="96.505866969732509"/>
    <n v="103.4154740150308"/>
    <n v="111.00126807515863"/>
  </r>
  <r>
    <x v="47"/>
    <x v="1"/>
    <x v="6"/>
    <n v="27.134667254237115"/>
    <n v="28.344962049794564"/>
    <n v="29.636782401423577"/>
    <n v="31.006324595145685"/>
    <n v="32.450653740854129"/>
    <n v="33.985041762890631"/>
    <n v="35.644112653706586"/>
    <n v="37.418073238175538"/>
    <n v="39.329450736470989"/>
    <n v="41.378565095337024"/>
    <n v="43.563275302172912"/>
    <n v="45.925890441395261"/>
    <n v="48.485266728826112"/>
  </r>
  <r>
    <x v="47"/>
    <x v="1"/>
    <x v="7"/>
    <n v="19.097543710279265"/>
    <n v="20.106788338617317"/>
    <n v="21.220757851192296"/>
    <n v="22.402786587282545"/>
    <n v="23.662888552921835"/>
    <n v="25.018713116483365"/>
    <n v="26.49536885907985"/>
    <n v="28.118766322893524"/>
    <n v="29.867820089581311"/>
    <n v="31.754046442321417"/>
    <n v="33.821562839286024"/>
    <n v="36.09260275986378"/>
    <n v="38.592657326460113"/>
  </r>
  <r>
    <x v="47"/>
    <x v="2"/>
    <x v="8"/>
    <n v="127.64675710857796"/>
    <n v="133.47001739265855"/>
    <n v="139.83490865441001"/>
    <n v="146.41679691767695"/>
    <n v="153.28242507492308"/>
    <n v="160.52790401599162"/>
    <n v="168.63125763385221"/>
    <n v="177.72050480030862"/>
    <n v="187.26385226061024"/>
    <n v="197.52530842679619"/>
    <n v="208.9376643479556"/>
    <n v="221.63526878739555"/>
    <n v="235.69065238821292"/>
  </r>
  <r>
    <x v="47"/>
    <x v="2"/>
    <x v="9"/>
    <n v="121.90079972294077"/>
    <n v="129.95202971219308"/>
    <n v="138.85157342912166"/>
    <n v="148.46620845026624"/>
    <n v="158.86631753808837"/>
    <n v="170.19168898064407"/>
    <n v="182.45334993943786"/>
    <n v="195.80421850007457"/>
    <n v="210.43695216995764"/>
    <n v="226.33202510061909"/>
    <n v="243.7069240559519"/>
    <n v="262.72540448702165"/>
    <n v="283.68908819737601"/>
  </r>
  <r>
    <x v="47"/>
    <x v="2"/>
    <x v="10"/>
    <n v="83.458557950734303"/>
    <n v="88.456044720067226"/>
    <n v="93.968250941811448"/>
    <n v="99.895434000665375"/>
    <n v="106.27703524155611"/>
    <n v="113.19791862863151"/>
    <n v="120.65524432366763"/>
    <n v="128.73994395480847"/>
    <n v="137.56685916336326"/>
    <n v="147.10933926070172"/>
    <n v="157.49522470194725"/>
    <n v="168.81453147724372"/>
    <n v="181.24360306900138"/>
  </r>
  <r>
    <x v="47"/>
    <x v="2"/>
    <x v="11"/>
    <n v="31.714578686427146"/>
    <n v="33.399662358204829"/>
    <n v="35.244649542607441"/>
    <n v="37.194666999318116"/>
    <n v="39.270325683572409"/>
    <n v="41.497663194152516"/>
    <n v="43.88387351566999"/>
    <n v="46.528707239042198"/>
    <n v="49.371398857020438"/>
    <n v="52.450518191116757"/>
    <n v="55.813711936153069"/>
    <n v="59.494477186808645"/>
    <n v="63.5310308788697"/>
  </r>
  <r>
    <x v="47"/>
    <x v="3"/>
    <x v="12"/>
    <n v="97.446640525395935"/>
    <n v="103.63270129461574"/>
    <n v="110.75019740766794"/>
    <n v="117.97752093349982"/>
    <n v="125.54604120051187"/>
    <n v="133.30071449844388"/>
    <n v="142.15860428978147"/>
    <n v="151.84084107017861"/>
    <n v="162.06330201085598"/>
    <n v="172.93272883329587"/>
    <n v="184.75038519982434"/>
    <n v="197.61332955886746"/>
    <n v="211.9575560293373"/>
  </r>
  <r>
    <x v="47"/>
    <x v="3"/>
    <x v="13"/>
    <n v="100.23994738405733"/>
    <n v="105.09958213278425"/>
    <n v="110.356910257284"/>
    <n v="116.08905007933849"/>
    <n v="122.2506292550372"/>
    <n v="129.07056983279111"/>
    <n v="136.34079171582431"/>
    <n v="144.37374265476268"/>
    <n v="153.11349308857473"/>
    <n v="162.63746200884265"/>
    <n v="173.12802317167458"/>
    <n v="184.70974541255089"/>
    <n v="197.40965726231786"/>
  </r>
  <r>
    <x v="47"/>
    <x v="3"/>
    <x v="14"/>
    <n v="63.034128449217128"/>
    <n v="66.159944210162735"/>
    <n v="69.458878355742641"/>
    <n v="72.962737959723725"/>
    <n v="76.709866952992257"/>
    <n v="80.70339480724094"/>
    <n v="84.927181219616131"/>
    <n v="89.448151995293486"/>
    <n v="94.34885094710144"/>
    <n v="99.578796191410632"/>
    <n v="105.23076633862651"/>
    <n v="111.31195634892998"/>
    <n v="117.86273443019333"/>
  </r>
  <r>
    <x v="47"/>
    <x v="3"/>
    <x v="15"/>
    <n v="103.99997711000981"/>
    <n v="110.38552654556098"/>
    <n v="117.333396547256"/>
    <n v="124.94379739536465"/>
    <n v="133.18956612959872"/>
    <n v="142.34049568094375"/>
    <n v="152.19714818740576"/>
    <n v="163.1306387739991"/>
    <n v="175.11341640441938"/>
    <n v="188.26820394568458"/>
    <n v="202.84435033188245"/>
    <n v="219.03465061812128"/>
    <n v="236.92442681161148"/>
  </r>
  <r>
    <x v="48"/>
    <x v="0"/>
    <x v="0"/>
    <n v="7.3576925259863737"/>
    <n v="7.5959430996727768"/>
    <n v="7.8492893873268512"/>
    <n v="8.1160771635815294"/>
    <n v="8.3949427060625972"/>
    <n v="8.689282993413876"/>
    <n v="9.007272233543322"/>
    <n v="9.3454644242977505"/>
    <n v="9.7086249921852552"/>
    <n v="10.095796782392521"/>
    <n v="10.505443848445193"/>
    <n v="10.946798448864442"/>
    <n v="11.423052982388604"/>
  </r>
  <r>
    <x v="48"/>
    <x v="0"/>
    <x v="1"/>
    <n v="78.30436283898139"/>
    <n v="81.11208824696881"/>
    <n v="84.345237688129032"/>
    <n v="87.767702457136593"/>
    <n v="91.426016937963539"/>
    <n v="95.312845809780313"/>
    <n v="99.46402298409788"/>
    <n v="103.97562819413767"/>
    <n v="108.76964285236772"/>
    <n v="113.95233883172651"/>
    <n v="119.47245380475326"/>
    <n v="125.40584469175039"/>
    <n v="131.89947476672492"/>
  </r>
  <r>
    <x v="48"/>
    <x v="1"/>
    <x v="2"/>
    <n v="28.694502895944503"/>
    <n v="29.389848337980027"/>
    <n v="30.256311559730072"/>
    <n v="31.159391073870012"/>
    <n v="32.12238481344761"/>
    <n v="33.128506912218057"/>
    <n v="34.21372344709512"/>
    <n v="35.415124082623635"/>
    <n v="36.660948309944771"/>
    <n v="37.994831823459577"/>
    <n v="39.378011457355115"/>
    <n v="40.865059074074466"/>
    <n v="42.519709457481838"/>
  </r>
  <r>
    <x v="48"/>
    <x v="1"/>
    <x v="3"/>
    <n v="18.166246747275057"/>
    <n v="19.031038085360873"/>
    <n v="19.982822023695007"/>
    <n v="20.99369246540121"/>
    <n v="22.070414177294175"/>
    <n v="23.213508354266121"/>
    <n v="24.423211039834058"/>
    <n v="25.70836629397937"/>
    <n v="27.088071215614196"/>
    <n v="28.578908657040909"/>
    <n v="30.176225462660206"/>
    <n v="31.880447379269917"/>
    <n v="33.709557102121622"/>
  </r>
  <r>
    <x v="48"/>
    <x v="1"/>
    <x v="4"/>
    <n v="15.282193297829362"/>
    <n v="16.016790445932298"/>
    <n v="16.850825278608816"/>
    <n v="17.740365584852992"/>
    <n v="18.696465741326094"/>
    <n v="19.719641873900972"/>
    <n v="20.819316417195981"/>
    <n v="22.017914285835655"/>
    <n v="23.301985073554931"/>
    <n v="24.696856667040699"/>
    <n v="26.194834125245571"/>
    <n v="27.815653113332125"/>
    <n v="29.595665380640771"/>
  </r>
  <r>
    <x v="48"/>
    <x v="1"/>
    <x v="5"/>
    <n v="11.389697248322641"/>
    <n v="11.813138892852637"/>
    <n v="12.299619373107419"/>
    <n v="12.814947564510845"/>
    <n v="13.366026496335099"/>
    <n v="13.951918483913287"/>
    <n v="14.577999877915726"/>
    <n v="15.258503913056035"/>
    <n v="15.982186353977104"/>
    <n v="16.764824544298399"/>
    <n v="17.599098425878964"/>
    <n v="18.496376027199798"/>
    <n v="19.478569838707521"/>
  </r>
  <r>
    <x v="48"/>
    <x v="1"/>
    <x v="6"/>
    <n v="6.9666736217732677"/>
    <n v="7.1431210571582238"/>
    <n v="7.3268681312589168"/>
    <n v="7.5177405751577195"/>
    <n v="7.7161601804832207"/>
    <n v="7.9248188572805365"/>
    <n v="8.147958282026778"/>
    <n v="8.3820780874441247"/>
    <n v="8.6354352422083345"/>
    <n v="8.9099962125303485"/>
    <n v="9.2049795733724622"/>
    <n v="9.5159516230847956"/>
    <n v="9.8540828698538281"/>
  </r>
  <r>
    <x v="48"/>
    <x v="1"/>
    <x v="7"/>
    <n v="5.1627415538229382"/>
    <n v="5.3140945273575326"/>
    <n v="5.4780807090556465"/>
    <n v="5.65764235692534"/>
    <n v="5.8495082351399317"/>
    <n v="6.0637343216151942"/>
    <n v="6.2890861535735318"/>
    <n v="6.5391059554965913"/>
    <n v="6.8096416492536562"/>
    <n v="7.1027177097490988"/>
    <n v="7.4247486086861478"/>
    <n v="7.7791559236537049"/>
    <n v="8.1649431003079584"/>
  </r>
  <r>
    <x v="48"/>
    <x v="2"/>
    <x v="8"/>
    <n v="28.461566851126165"/>
    <n v="28.99520774245709"/>
    <n v="29.795626496451639"/>
    <n v="30.658044305768684"/>
    <n v="31.613297919263076"/>
    <n v="32.624065411716899"/>
    <n v="33.697565913091893"/>
    <n v="34.889468219937726"/>
    <n v="36.109780656986274"/>
    <n v="37.428218003459577"/>
    <n v="38.766662783933668"/>
    <n v="40.200867493594998"/>
    <n v="41.791251389693016"/>
  </r>
  <r>
    <x v="48"/>
    <x v="2"/>
    <x v="9"/>
    <n v="30.375132236861397"/>
    <n v="31.864912318082954"/>
    <n v="33.440387715210576"/>
    <n v="35.104706251574392"/>
    <n v="36.863880396538846"/>
    <n v="38.735108023210223"/>
    <n v="40.744519811300606"/>
    <n v="42.881661194683701"/>
    <n v="45.19490133103983"/>
    <n v="47.703822820207776"/>
    <n v="50.414625923567712"/>
    <n v="53.313553170211783"/>
    <n v="56.472476363306086"/>
  </r>
  <r>
    <x v="48"/>
    <x v="2"/>
    <x v="10"/>
    <n v="18.541704902557893"/>
    <n v="19.275392168119797"/>
    <n v="20.07872278496238"/>
    <n v="20.917307284262726"/>
    <n v="21.80089758625531"/>
    <n v="22.741712520608484"/>
    <n v="23.740962272311254"/>
    <n v="24.849800818229486"/>
    <n v="26.030967161313029"/>
    <n v="27.301362954613399"/>
    <n v="28.681666868155485"/>
    <n v="30.184130749005405"/>
    <n v="31.822655964909206"/>
  </r>
  <r>
    <x v="48"/>
    <x v="2"/>
    <x v="11"/>
    <n v="8.2836513744223232"/>
    <n v="8.5725191179817468"/>
    <n v="8.8797900788312862"/>
    <n v="9.2037217791123194"/>
    <n v="9.5428837419688968"/>
    <n v="9.9012428476585832"/>
    <n v="10.288247220937453"/>
    <n v="10.700162385584507"/>
    <n v="11.142618695213848"/>
    <n v="11.614731835838288"/>
    <n v="12.114942077541585"/>
    <n v="12.654091727802628"/>
    <n v="13.236144031205223"/>
  </r>
  <r>
    <x v="48"/>
    <x v="3"/>
    <x v="12"/>
    <n v="20.218946530164772"/>
    <n v="20.919631427121942"/>
    <n v="21.812211789483285"/>
    <n v="22.774326840458642"/>
    <n v="23.827263067029037"/>
    <n v="24.922357710542201"/>
    <n v="26.093729700883443"/>
    <n v="27.340429242531769"/>
    <n v="28.631838121118804"/>
    <n v="30.066374594910585"/>
    <n v="31.515225487466239"/>
    <n v="33.027712789980768"/>
    <n v="34.693921962631237"/>
  </r>
  <r>
    <x v="48"/>
    <x v="3"/>
    <x v="13"/>
    <n v="22.500020517994788"/>
    <n v="23.244787871198355"/>
    <n v="24.063182427946256"/>
    <n v="24.912516639027423"/>
    <n v="25.803718067980757"/>
    <n v="26.750354402057784"/>
    <n v="27.752696728259782"/>
    <n v="28.869378777349453"/>
    <n v="30.054853573004493"/>
    <n v="31.327208433470432"/>
    <n v="32.708400968583994"/>
    <n v="34.210216764746725"/>
    <n v="35.845995354650917"/>
  </r>
  <r>
    <x v="48"/>
    <x v="3"/>
    <x v="14"/>
    <n v="17.51438120529625"/>
    <n v="17.946657649695808"/>
    <n v="18.435471789731842"/>
    <n v="18.943109688219863"/>
    <n v="19.475069226549497"/>
    <n v="20.042415154357222"/>
    <n v="20.660852928485838"/>
    <n v="21.344838497260444"/>
    <n v="22.071347736933053"/>
    <n v="22.843554906170798"/>
    <n v="23.687503828018183"/>
    <n v="24.610892292764053"/>
    <n v="25.622453670699201"/>
  </r>
  <r>
    <x v="48"/>
    <x v="3"/>
    <x v="15"/>
    <n v="25.428707111511958"/>
    <n v="26.596954398625485"/>
    <n v="27.883661068294504"/>
    <n v="29.253826453012188"/>
    <n v="30.714909282466838"/>
    <n v="32.287001536236971"/>
    <n v="33.964015860012132"/>
    <n v="35.766446101293745"/>
    <n v="37.720228413496621"/>
    <n v="39.810997679567215"/>
    <n v="42.066767369130027"/>
    <n v="44.503821293123266"/>
    <n v="47.160156761132178"/>
  </r>
  <r>
    <x v="49"/>
    <x v="0"/>
    <x v="0"/>
    <n v="10.171783060758552"/>
    <n v="10.507024357376029"/>
    <n v="10.880168679753465"/>
    <n v="11.269816582897588"/>
    <n v="11.679572387559624"/>
    <n v="12.116489391154049"/>
    <n v="12.590646257711285"/>
    <n v="13.111673991471498"/>
    <n v="13.666474855369215"/>
    <n v="14.25773575471904"/>
    <n v="14.902491482853289"/>
    <n v="15.606765818139761"/>
    <n v="16.377411078717731"/>
  </r>
  <r>
    <x v="49"/>
    <x v="0"/>
    <x v="1"/>
    <n v="111.74388712993769"/>
    <n v="116.84326996949416"/>
    <n v="122.207347105403"/>
    <n v="127.88881448195376"/>
    <n v="133.95100601093944"/>
    <n v="140.39478032206247"/>
    <n v="147.18742473399561"/>
    <n v="154.44064351861829"/>
    <n v="162.29139423260878"/>
    <n v="170.64571622205725"/>
    <n v="179.65650446898886"/>
    <n v="189.32820204051419"/>
    <n v="199.72154820883199"/>
  </r>
  <r>
    <x v="49"/>
    <x v="1"/>
    <x v="2"/>
    <n v="44.933306417254983"/>
    <n v="46.679288809792808"/>
    <n v="48.453610254254102"/>
    <n v="50.323070109903796"/>
    <n v="52.325066818580723"/>
    <n v="54.429984560119209"/>
    <n v="56.567215900547097"/>
    <n v="58.797292972984565"/>
    <n v="61.213782633499946"/>
    <n v="63.724867223931142"/>
    <n v="66.40862835064479"/>
    <n v="69.223569862502046"/>
    <n v="72.158987879203863"/>
  </r>
  <r>
    <x v="49"/>
    <x v="1"/>
    <x v="3"/>
    <n v="26.366900628758657"/>
    <n v="27.773359275704401"/>
    <n v="29.262444041723498"/>
    <n v="30.848400050966017"/>
    <n v="32.54843427206454"/>
    <n v="34.365051115060531"/>
    <n v="36.292577425303932"/>
    <n v="38.360748541662161"/>
    <n v="40.606414351660192"/>
    <n v="43.009687297610895"/>
    <n v="45.612261055961397"/>
    <n v="48.419315095623404"/>
    <n v="51.450518732023383"/>
  </r>
  <r>
    <x v="49"/>
    <x v="1"/>
    <x v="4"/>
    <n v="19.829285070836722"/>
    <n v="20.886137454352792"/>
    <n v="22.052698873071741"/>
    <n v="23.291007690781687"/>
    <n v="24.611567749346339"/>
    <n v="26.032842303977382"/>
    <n v="27.581087670217851"/>
    <n v="29.283439671673349"/>
    <n v="31.118137638782944"/>
    <n v="33.097350329153535"/>
    <n v="35.267247470166687"/>
    <n v="37.651257591031808"/>
    <n v="40.276247066031623"/>
  </r>
  <r>
    <x v="49"/>
    <x v="1"/>
    <x v="5"/>
    <n v="16.208650368056958"/>
    <n v="16.953703013531101"/>
    <n v="17.749476723485849"/>
    <n v="18.593890083426679"/>
    <n v="19.485371389719177"/>
    <n v="20.433272840490918"/>
    <n v="21.458630258930992"/>
    <n v="22.555848153014168"/>
    <n v="23.738784154067091"/>
    <n v="25.007963136686342"/>
    <n v="26.362424603393013"/>
    <n v="27.828101470986276"/>
    <n v="29.416849259309757"/>
  </r>
  <r>
    <x v="49"/>
    <x v="1"/>
    <x v="6"/>
    <n v="9.4148674112979585"/>
    <n v="9.6967303844816346"/>
    <n v="9.9908744326845991"/>
    <n v="10.297212039471786"/>
    <n v="10.616469165250583"/>
    <n v="10.952506847937588"/>
    <n v="11.311395871040158"/>
    <n v="11.68856609106663"/>
    <n v="12.095757965992814"/>
    <n v="12.536108894581965"/>
    <n v="13.008942423797221"/>
    <n v="13.508404351893972"/>
    <n v="14.050683199360298"/>
  </r>
  <r>
    <x v="49"/>
    <x v="1"/>
    <x v="7"/>
    <n v="5.1626602944909816"/>
    <n v="5.3610753890074339"/>
    <n v="5.5784114599366657"/>
    <n v="5.8050510903013688"/>
    <n v="6.0436690035377119"/>
    <n v="6.2976120456309088"/>
    <n v="6.5671638656668492"/>
    <n v="6.8664220796889044"/>
    <n v="7.1849923439750114"/>
    <n v="7.5274750948124174"/>
    <n v="7.8994920478790327"/>
    <n v="8.304319486616432"/>
    <n v="8.7456731516207888"/>
  </r>
  <r>
    <x v="49"/>
    <x v="2"/>
    <x v="8"/>
    <n v="37.295401057856722"/>
    <n v="38.921091034034376"/>
    <n v="40.419701028554769"/>
    <n v="42.001832011694091"/>
    <n v="43.68917351954974"/>
    <n v="45.461770422393883"/>
    <n v="47.252514042455147"/>
    <n v="49.042404800817621"/>
    <n v="51.041634679956644"/>
    <n v="53.059984057650979"/>
    <n v="55.256247664390628"/>
    <n v="57.54591566489151"/>
    <n v="59.86248119878698"/>
  </r>
  <r>
    <x v="49"/>
    <x v="2"/>
    <x v="9"/>
    <n v="43.23100150176473"/>
    <n v="45.294175598756709"/>
    <n v="47.637157855925452"/>
    <n v="50.135474575687439"/>
    <n v="52.820210785135608"/>
    <n v="55.692638593342409"/>
    <n v="58.779181622633509"/>
    <n v="62.142938671445918"/>
    <n v="65.745672241327654"/>
    <n v="69.658605823144455"/>
    <n v="73.859727564225551"/>
    <n v="78.404397975734739"/>
    <n v="83.394741287823109"/>
  </r>
  <r>
    <x v="49"/>
    <x v="2"/>
    <x v="10"/>
    <n v="28.806134277810898"/>
    <n v="30.06228895597016"/>
    <n v="31.43655977966166"/>
    <n v="32.876431483043056"/>
    <n v="34.397942617725477"/>
    <n v="36.021267406881321"/>
    <n v="37.7494488532273"/>
    <n v="39.664981859096585"/>
    <n v="41.710499056931937"/>
    <n v="43.914518318348158"/>
    <n v="46.312061477022638"/>
    <n v="48.925068805583543"/>
    <n v="51.778474309947484"/>
  </r>
  <r>
    <x v="49"/>
    <x v="2"/>
    <x v="11"/>
    <n v="12.583133353263888"/>
    <n v="13.072738738108931"/>
    <n v="13.594097121014574"/>
    <n v="14.144892994426748"/>
    <n v="14.723251476088254"/>
    <n v="15.335593290598919"/>
    <n v="15.996926473390946"/>
    <n v="16.701992178729647"/>
    <n v="17.460063109761769"/>
    <n v="18.270343777632696"/>
    <n v="19.130959246203325"/>
    <n v="20.05958541244415"/>
    <n v="21.063262490992141"/>
  </r>
  <r>
    <x v="49"/>
    <x v="3"/>
    <x v="12"/>
    <n v="29.109880812718401"/>
    <n v="30.715568089755138"/>
    <n v="32.2951341883483"/>
    <n v="33.974225872266857"/>
    <n v="35.79599617035106"/>
    <n v="37.707715248768721"/>
    <n v="39.640260852525117"/>
    <n v="41.681852443384884"/>
    <n v="43.900120431030615"/>
    <n v="46.192395975878128"/>
    <n v="48.649616191747867"/>
    <n v="51.268806052037831"/>
    <n v="53.971912227812737"/>
  </r>
  <r>
    <x v="49"/>
    <x v="3"/>
    <x v="13"/>
    <n v="31.947103866672862"/>
    <n v="33.134047194901463"/>
    <n v="34.44580093304473"/>
    <n v="35.835688210086801"/>
    <n v="37.310554185695459"/>
    <n v="38.89232355076475"/>
    <n v="40.570612114287329"/>
    <n v="42.36708489347695"/>
    <n v="44.309084181712478"/>
    <n v="46.375644792307334"/>
    <n v="48.595800095056681"/>
    <n v="50.984007995609964"/>
    <n v="53.579049961907032"/>
  </r>
  <r>
    <x v="49"/>
    <x v="3"/>
    <x v="14"/>
    <n v="24.809897757134568"/>
    <n v="25.524722136025026"/>
    <n v="26.325378897484619"/>
    <n v="27.159018569819697"/>
    <n v="28.033886341711071"/>
    <n v="28.966370335778091"/>
    <n v="29.979825014532341"/>
    <n v="31.096160523399281"/>
    <n v="32.283026358982319"/>
    <n v="33.545863999513003"/>
    <n v="34.923779288475231"/>
    <n v="36.429445693670729"/>
    <n v="38.077259478902704"/>
  </r>
  <r>
    <x v="49"/>
    <x v="3"/>
    <x v="15"/>
    <n v="36.048787754170412"/>
    <n v="37.975956906188564"/>
    <n v="40.021201766278807"/>
    <n v="42.189698412677991"/>
    <n v="44.490141700741468"/>
    <n v="46.944860577904969"/>
    <n v="49.587373010362114"/>
    <n v="52.407219649828662"/>
    <n v="55.465638116252599"/>
    <n v="58.789547209077838"/>
    <n v="62.389800376562356"/>
    <n v="66.252708117335416"/>
    <n v="70.470737618927231"/>
  </r>
  <r>
    <x v="50"/>
    <x v="0"/>
    <x v="0"/>
    <n v="6.4356004657078421"/>
    <n v="6.6320618407140941"/>
    <n v="6.8363361950913024"/>
    <n v="7.0508817089648259"/>
    <n v="7.2785883024765212"/>
    <n v="7.5187684606470286"/>
    <n v="7.7689568276766963"/>
    <n v="8.0344338615282656"/>
    <n v="8.3214734280006013"/>
    <n v="8.6241255599915636"/>
    <n v="8.949227423825187"/>
    <n v="9.2958051203209564"/>
    <n v="9.6656726002783859"/>
  </r>
  <r>
    <x v="50"/>
    <x v="0"/>
    <x v="1"/>
    <n v="66.295952310833329"/>
    <n v="68.290418699348052"/>
    <n v="70.45021350941191"/>
    <n v="72.813543035064285"/>
    <n v="75.338759058210442"/>
    <n v="78.155736500451013"/>
    <n v="81.120321146296703"/>
    <n v="84.407514681623269"/>
    <n v="87.964435547629606"/>
    <n v="91.817830891332434"/>
    <n v="96.051275651381644"/>
    <n v="100.70987119864041"/>
    <n v="105.78165168947135"/>
  </r>
  <r>
    <x v="50"/>
    <x v="1"/>
    <x v="2"/>
    <n v="26.891442393833742"/>
    <n v="27.284643898153725"/>
    <n v="27.68661127565727"/>
    <n v="28.200416454243168"/>
    <n v="28.767360350991204"/>
    <n v="29.498511223572571"/>
    <n v="30.233823150013876"/>
    <n v="31.092114923627754"/>
    <n v="32.049023401125439"/>
    <n v="33.109745686272547"/>
    <n v="34.315062289517613"/>
    <n v="35.690371150915979"/>
    <n v="37.190959990490796"/>
  </r>
  <r>
    <x v="50"/>
    <x v="1"/>
    <x v="3"/>
    <n v="14.762727282810447"/>
    <n v="15.367526397732572"/>
    <n v="16.03637967502587"/>
    <n v="16.739136865697791"/>
    <n v="17.481830701521364"/>
    <n v="18.275832018917111"/>
    <n v="19.137413242771093"/>
    <n v="20.082651040996062"/>
    <n v="21.093280649152753"/>
    <n v="22.174809340226581"/>
    <n v="23.35520724683159"/>
    <n v="24.646022550587453"/>
    <n v="26.060431501842547"/>
  </r>
  <r>
    <x v="50"/>
    <x v="1"/>
    <x v="4"/>
    <n v="11.313920864344375"/>
    <n v="11.849964804468057"/>
    <n v="12.436372949372597"/>
    <n v="13.052898836783344"/>
    <n v="13.706217927137967"/>
    <n v="14.404747807845624"/>
    <n v="15.150174096000404"/>
    <n v="15.976090262139261"/>
    <n v="16.860235948462911"/>
    <n v="17.814741618870585"/>
    <n v="18.854546025101989"/>
    <n v="19.98947091562972"/>
    <n v="21.230695260811849"/>
  </r>
  <r>
    <x v="50"/>
    <x v="1"/>
    <x v="5"/>
    <n v="9.728325239005768"/>
    <n v="10.107262327432034"/>
    <n v="10.525297016552603"/>
    <n v="10.966671268204173"/>
    <n v="11.434240874719075"/>
    <n v="11.927521988638686"/>
    <n v="12.445887989730979"/>
    <n v="12.99310732972461"/>
    <n v="13.577994485313814"/>
    <n v="14.207800511207441"/>
    <n v="14.878964177054046"/>
    <n v="15.59052519999142"/>
    <n v="16.350121633782667"/>
  </r>
  <r>
    <x v="50"/>
    <x v="1"/>
    <x v="6"/>
    <n v="5.9304511455134836"/>
    <n v="6.0660761215050165"/>
    <n v="6.2064633467663075"/>
    <n v="6.3537122158374348"/>
    <n v="6.5102469720221334"/>
    <n v="6.6752176081142283"/>
    <n v="6.8462176621279376"/>
    <n v="7.0277347690304675"/>
    <n v="7.2249902366909504"/>
    <n v="7.4324340742754256"/>
    <n v="7.6556951998571421"/>
    <n v="7.8935506015147734"/>
    <n v="8.1471752394931425"/>
  </r>
  <r>
    <x v="50"/>
    <x v="1"/>
    <x v="7"/>
    <n v="4.1046858510333495"/>
    <n v="4.2470069907707328"/>
    <n v="4.3954254411285731"/>
    <n v="4.5515891032631979"/>
    <n v="4.7174505342952253"/>
    <n v="4.8926743140098079"/>
    <n v="5.0757618333291283"/>
    <n v="5.2702502176333885"/>
    <n v="5.4803842548843482"/>
    <n v="5.702425220471417"/>
    <n v="5.9410281368444666"/>
    <n v="6.1957359003220285"/>
    <n v="6.4679406633287346"/>
  </r>
  <r>
    <x v="50"/>
    <x v="2"/>
    <x v="8"/>
    <n v="24.31170532690318"/>
    <n v="24.685920488809032"/>
    <n v="25.007587767486257"/>
    <n v="25.414165922871298"/>
    <n v="25.850967989158953"/>
    <n v="26.435851748896901"/>
    <n v="27.026136571484145"/>
    <n v="27.745034672562227"/>
    <n v="28.56134382823717"/>
    <n v="29.444990394137264"/>
    <n v="30.499452064350976"/>
    <n v="31.7395641725617"/>
    <n v="33.093199426998211"/>
  </r>
  <r>
    <x v="50"/>
    <x v="2"/>
    <x v="9"/>
    <n v="25.023340625580879"/>
    <n v="26.033184356335706"/>
    <n v="27.188010530941856"/>
    <n v="28.413547246903008"/>
    <n v="29.725721580375168"/>
    <n v="31.123213547957008"/>
    <n v="32.618767491429928"/>
    <n v="34.245096001344486"/>
    <n v="35.978124129558438"/>
    <n v="37.85430687626291"/>
    <n v="39.858382838049657"/>
    <n v="42.017222950412986"/>
    <n v="44.381970248378835"/>
  </r>
  <r>
    <x v="50"/>
    <x v="2"/>
    <x v="10"/>
    <n v="16.24581566704267"/>
    <n v="16.874575303754"/>
    <n v="17.568302015748976"/>
    <n v="18.300646251152418"/>
    <n v="19.076345505582619"/>
    <n v="19.89456102813547"/>
    <n v="20.754216705994946"/>
    <n v="21.661566455301156"/>
    <n v="22.631270716318642"/>
    <n v="23.675370068758362"/>
    <n v="24.78787639410745"/>
    <n v="25.967140335929873"/>
    <n v="27.225835211314187"/>
  </r>
  <r>
    <x v="50"/>
    <x v="2"/>
    <x v="11"/>
    <n v="7.1506911570144345"/>
    <n v="7.3288003911634005"/>
    <n v="7.5226493903261229"/>
    <n v="7.7360653231023848"/>
    <n v="7.9643122855702222"/>
    <n v="8.2208786361086599"/>
    <n v="8.4901572050643956"/>
    <n v="8.7902514139436718"/>
    <n v="9.1151703015159669"/>
    <n v="9.4672891121654743"/>
    <n v="9.8547917786987593"/>
    <n v="10.281748860056815"/>
    <n v="10.7463194030585"/>
  </r>
  <r>
    <x v="50"/>
    <x v="3"/>
    <x v="12"/>
    <n v="18.982264003763461"/>
    <n v="19.462362920831801"/>
    <n v="19.950768107283324"/>
    <n v="20.534479716738716"/>
    <n v="21.174826128544069"/>
    <n v="21.94811418665617"/>
    <n v="22.754903025181363"/>
    <n v="23.664472972778526"/>
    <n v="24.673018515178882"/>
    <n v="25.768058933314208"/>
    <n v="26.998363855062109"/>
    <n v="28.383574306412214"/>
    <n v="29.896305627286935"/>
  </r>
  <r>
    <x v="50"/>
    <x v="3"/>
    <x v="13"/>
    <n v="18.824027303238644"/>
    <n v="19.383423372687314"/>
    <n v="20.000282363422617"/>
    <n v="20.638539259232296"/>
    <n v="21.307013884321169"/>
    <n v="22.016589286594705"/>
    <n v="22.767060703654437"/>
    <n v="23.606101417511006"/>
    <n v="24.495574296923252"/>
    <n v="25.449696788883717"/>
    <n v="26.485642482534288"/>
    <n v="27.612121394037246"/>
    <n v="28.838980085251595"/>
  </r>
  <r>
    <x v="50"/>
    <x v="3"/>
    <x v="14"/>
    <n v="13.936919846453254"/>
    <n v="14.288045697721468"/>
    <n v="14.682421963413507"/>
    <n v="15.096122881809285"/>
    <n v="15.532061303809149"/>
    <n v="15.988435149950323"/>
    <n v="16.463318153610011"/>
    <n v="16.960673064568983"/>
    <n v="17.490815998567268"/>
    <n v="18.061476944001832"/>
    <n v="18.666195010138075"/>
    <n v="19.302064367253145"/>
    <n v="19.976935394151756"/>
  </r>
  <r>
    <x v="50"/>
    <x v="3"/>
    <x v="15"/>
    <n v="20.988341623085802"/>
    <n v="21.788648548821556"/>
    <n v="22.653077270383772"/>
    <n v="23.59528288624881"/>
    <n v="24.603446044012578"/>
    <n v="25.721366337896839"/>
    <n v="26.903996091527596"/>
    <n v="28.210701088293028"/>
    <n v="29.62650016496081"/>
    <n v="31.162723785124243"/>
    <n v="32.850301727472363"/>
    <n v="34.70791625125878"/>
    <n v="36.735103183059444"/>
  </r>
  <r>
    <x v="51"/>
    <x v="0"/>
    <x v="0"/>
    <n v="19.467838047229471"/>
    <n v="20.12519829405257"/>
    <n v="20.835794964686801"/>
    <n v="21.611475827425327"/>
    <n v="22.440551895990257"/>
    <n v="23.362252703656132"/>
    <n v="24.334448274696282"/>
    <n v="25.410143564916581"/>
    <n v="26.574488387349369"/>
    <n v="27.836470325121418"/>
    <n v="29.222425588822446"/>
    <n v="30.747348758702049"/>
    <n v="32.409012340480011"/>
  </r>
  <r>
    <x v="51"/>
    <x v="0"/>
    <x v="1"/>
    <n v="187.11717296660771"/>
    <n v="196.17168934869224"/>
    <n v="206.13671136939379"/>
    <n v="216.72641412629355"/>
    <n v="228.012036228901"/>
    <n v="240.0005248734856"/>
    <n v="252.69589849589352"/>
    <n v="266.19124954848036"/>
    <n v="280.68610988263947"/>
    <n v="296.35455233943458"/>
    <n v="313.1509549850681"/>
    <n v="331.08226326335409"/>
    <n v="350.33777234973059"/>
  </r>
  <r>
    <x v="51"/>
    <x v="1"/>
    <x v="2"/>
    <n v="73.923901609121117"/>
    <n v="76.833702017912174"/>
    <n v="80.10076823218867"/>
    <n v="83.562926174877106"/>
    <n v="87.232636443899622"/>
    <n v="91.10930679259161"/>
    <n v="95.065517908142709"/>
    <n v="99.175791200075537"/>
    <n v="103.52998641068626"/>
    <n v="108.25154005810123"/>
    <n v="113.27200687463031"/>
    <n v="118.48371262184818"/>
    <n v="123.92068618113501"/>
  </r>
  <r>
    <x v="51"/>
    <x v="1"/>
    <x v="3"/>
    <n v="47.250316334938596"/>
    <n v="49.884792998726461"/>
    <n v="52.714629322152135"/>
    <n v="55.738518293616998"/>
    <n v="58.956539244599405"/>
    <n v="62.401736087840419"/>
    <n v="66.143978184319977"/>
    <n v="70.173546341130219"/>
    <n v="74.540737034237551"/>
    <n v="79.255718235624059"/>
    <n v="84.324168518577707"/>
    <n v="89.83783772807304"/>
    <n v="95.846271172214742"/>
  </r>
  <r>
    <x v="51"/>
    <x v="1"/>
    <x v="4"/>
    <n v="32.617716853357869"/>
    <n v="34.609710034321743"/>
    <n v="36.806692713046736"/>
    <n v="39.164292909920867"/>
    <n v="41.700355922794394"/>
    <n v="44.42170686357251"/>
    <n v="47.334820959648127"/>
    <n v="50.463029862354439"/>
    <n v="53.850822376182641"/>
    <n v="57.539780333713566"/>
    <n v="61.530627753572439"/>
    <n v="65.834218382355473"/>
    <n v="70.497955996588871"/>
  </r>
  <r>
    <x v="51"/>
    <x v="1"/>
    <x v="5"/>
    <n v="23.819797199746567"/>
    <n v="25.041907359904002"/>
    <n v="26.333575003255181"/>
    <n v="27.707195438413549"/>
    <n v="29.177726516549832"/>
    <n v="30.746828437655832"/>
    <n v="32.40882944210032"/>
    <n v="34.189718129910766"/>
    <n v="36.121621189420729"/>
    <n v="38.18594389974669"/>
    <n v="40.418905187086771"/>
    <n v="42.824085379946467"/>
    <n v="45.417848295716439"/>
  </r>
  <r>
    <x v="51"/>
    <x v="1"/>
    <x v="6"/>
    <n v="18.585146538679794"/>
    <n v="19.114002459879206"/>
    <n v="19.734434193457709"/>
    <n v="20.389146395316015"/>
    <n v="21.088107920115842"/>
    <n v="21.82856732704639"/>
    <n v="22.617723521357178"/>
    <n v="23.476257040424862"/>
    <n v="24.384937818649746"/>
    <n v="25.366374067807129"/>
    <n v="26.407450339574869"/>
    <n v="27.523495963390733"/>
    <n v="28.744994067178958"/>
  </r>
  <r>
    <x v="51"/>
    <x v="1"/>
    <x v="7"/>
    <n v="10.388132477993219"/>
    <n v="10.812772772001226"/>
    <n v="11.282406869980191"/>
    <n v="11.775810741574336"/>
    <n v="12.297222076932158"/>
    <n v="12.854632068434981"/>
    <n v="13.459476755021489"/>
    <n v="14.123050539501143"/>
    <n v="14.832493440811927"/>
    <n v="15.591666069563331"/>
    <n v="16.420221900448443"/>
    <n v="17.326261946442251"/>
    <n v="18.319028977376508"/>
  </r>
  <r>
    <x v="51"/>
    <x v="2"/>
    <x v="8"/>
    <n v="69.568846242114688"/>
    <n v="72.234724908114202"/>
    <n v="75.367956344669921"/>
    <n v="78.704140270378133"/>
    <n v="82.198539422589334"/>
    <n v="85.849064050590158"/>
    <n v="89.621605465781101"/>
    <n v="93.45823399634827"/>
    <n v="97.485892401002985"/>
    <n v="101.93399130421133"/>
    <n v="106.5301947137464"/>
    <n v="111.29712593549351"/>
    <n v="116.26918127437926"/>
  </r>
  <r>
    <x v="51"/>
    <x v="2"/>
    <x v="9"/>
    <n v="69.715577370955742"/>
    <n v="73.725710766754034"/>
    <n v="77.986695055133566"/>
    <n v="82.539337864636138"/>
    <n v="87.432998514399529"/>
    <n v="92.678299830080505"/>
    <n v="98.26395043034951"/>
    <n v="104.27432156420895"/>
    <n v="110.81443119821886"/>
    <n v="117.83608536311745"/>
    <n v="125.45900205965017"/>
    <n v="133.7043141907977"/>
    <n v="142.63344980456938"/>
  </r>
  <r>
    <x v="51"/>
    <x v="2"/>
    <x v="10"/>
    <n v="48.541525522476682"/>
    <n v="50.836305767683939"/>
    <n v="53.297508544000536"/>
    <n v="55.91329336566703"/>
    <n v="58.731131915287008"/>
    <n v="61.774509123962197"/>
    <n v="65.030449759677808"/>
    <n v="68.5987065704347"/>
    <n v="72.455421331197542"/>
    <n v="76.595858442346227"/>
    <n v="81.118621968166806"/>
    <n v="85.987939394914662"/>
    <n v="91.279139231067134"/>
  </r>
  <r>
    <x v="51"/>
    <x v="2"/>
    <x v="11"/>
    <n v="18.759061878290058"/>
    <n v="19.500146200192638"/>
    <n v="20.32034639027658"/>
    <n v="21.181118453037595"/>
    <n v="22.089918272615407"/>
    <n v="23.060904572508893"/>
    <n v="24.114341114781368"/>
    <n v="25.270130982405064"/>
    <n v="26.504853339569475"/>
    <n v="27.825087554880987"/>
    <n v="29.265561832327162"/>
    <n v="30.840232500850263"/>
    <n v="32.565014380194803"/>
  </r>
  <r>
    <x v="51"/>
    <x v="3"/>
    <x v="12"/>
    <n v="53.446667016709682"/>
    <n v="56.522629284336176"/>
    <n v="59.918232839463371"/>
    <n v="63.50832193925757"/>
    <n v="67.321655687970775"/>
    <n v="71.295795266302093"/>
    <n v="75.395660905560817"/>
    <n v="79.588269159429444"/>
    <n v="84.064344442940609"/>
    <n v="88.854064625040053"/>
    <n v="93.910482217781066"/>
    <n v="99.168968264322132"/>
    <n v="104.55363003360634"/>
  </r>
  <r>
    <x v="51"/>
    <x v="3"/>
    <x v="13"/>
    <n v="51.841176612358964"/>
    <n v="54.127068912918467"/>
    <n v="56.535205268866555"/>
    <n v="59.068989565892558"/>
    <n v="61.736562972785698"/>
    <n v="64.564626164360774"/>
    <n v="67.594245317602727"/>
    <n v="70.804995009701884"/>
    <n v="74.273932891631731"/>
    <n v="78.029332434717162"/>
    <n v="82.077010352705202"/>
    <n v="86.390141694599379"/>
    <n v="91.081116422855942"/>
  </r>
  <r>
    <x v="51"/>
    <x v="3"/>
    <x v="14"/>
    <n v="39.460738731329641"/>
    <n v="40.61663765341325"/>
    <n v="41.86903984169804"/>
    <n v="43.240426235437418"/>
    <n v="44.705786980293091"/>
    <n v="46.341969879612478"/>
    <n v="48.063103842272369"/>
    <n v="49.972676697718185"/>
    <n v="52.038944604256194"/>
    <n v="54.277367573646615"/>
    <n v="56.736951563014415"/>
    <n v="59.4438275323919"/>
    <n v="62.390363236835178"/>
  </r>
  <r>
    <x v="51"/>
    <x v="3"/>
    <x v="15"/>
    <n v="61.83642865343888"/>
    <n v="65.030551792076935"/>
    <n v="68.650028384052618"/>
    <n v="72.52015221313134"/>
    <n v="76.688582483841699"/>
    <n v="81.160386266866396"/>
    <n v="85.977336705153903"/>
    <n v="91.235452246547453"/>
    <n v="96.883376331160321"/>
    <n v="103.03025803115216"/>
    <n v="109.64893644038985"/>
    <n v="116.82667453074274"/>
    <n v="124.72167499691314"/>
  </r>
  <r>
    <x v="52"/>
    <x v="0"/>
    <x v="0"/>
    <n v="22.791664651813562"/>
    <n v="23.852330901270538"/>
    <n v="25.012612762341941"/>
    <n v="26.231545592787583"/>
    <n v="27.522398943487001"/>
    <n v="28.901897699929645"/>
    <n v="30.373205641496945"/>
    <n v="32.0034451217658"/>
    <n v="33.747636723178502"/>
    <n v="35.62978103366865"/>
    <n v="37.679418145544787"/>
    <n v="39.915767511710797"/>
    <n v="42.360696925393881"/>
  </r>
  <r>
    <x v="52"/>
    <x v="0"/>
    <x v="1"/>
    <n v="254.83574098386646"/>
    <n v="268.28052063858701"/>
    <n v="283.12030723235591"/>
    <n v="298.86556585543775"/>
    <n v="315.64965770847061"/>
    <n v="333.70775063088399"/>
    <n v="353.37442710248951"/>
    <n v="374.99485375541502"/>
    <n v="398.28733909508315"/>
    <n v="423.40502861040585"/>
    <n v="450.93571703684341"/>
    <n v="481.17522934470571"/>
    <n v="514.46272209916003"/>
  </r>
  <r>
    <x v="52"/>
    <x v="1"/>
    <x v="2"/>
    <n v="99.061989925249293"/>
    <n v="103.27140851359005"/>
    <n v="107.88649917278372"/>
    <n v="112.66329515245218"/>
    <n v="117.60506381462588"/>
    <n v="122.88078079255183"/>
    <n v="128.76569052228584"/>
    <n v="135.30750826273828"/>
    <n v="142.26018448135238"/>
    <n v="149.57327453576357"/>
    <n v="157.70914204094686"/>
    <n v="166.83389900167811"/>
    <n v="176.9434372065308"/>
  </r>
  <r>
    <x v="52"/>
    <x v="1"/>
    <x v="3"/>
    <n v="55.170588317981135"/>
    <n v="58.490624577014053"/>
    <n v="62.244631853224028"/>
    <n v="66.284180396873595"/>
    <n v="70.659126464638078"/>
    <n v="75.381591219777164"/>
    <n v="80.498060972663694"/>
    <n v="86.107186062517698"/>
    <n v="92.171558795108567"/>
    <n v="98.805095392948687"/>
    <n v="105.99448988279467"/>
    <n v="113.8364221237903"/>
    <n v="122.49960204965512"/>
  </r>
  <r>
    <x v="52"/>
    <x v="1"/>
    <x v="4"/>
    <n v="43.656808249188508"/>
    <n v="46.590843821972634"/>
    <n v="49.82022968476636"/>
    <n v="53.277857818718829"/>
    <n v="57.000878609890165"/>
    <n v="61.036092227010926"/>
    <n v="65.404831765605365"/>
    <n v="70.267221250929325"/>
    <n v="75.549172043185322"/>
    <n v="81.324189166649703"/>
    <n v="87.683359953035165"/>
    <n v="94.699903304840745"/>
    <n v="102.457869517692"/>
  </r>
  <r>
    <x v="52"/>
    <x v="1"/>
    <x v="5"/>
    <n v="37.533292901227959"/>
    <n v="39.628671790351447"/>
    <n v="41.886194330579642"/>
    <n v="44.300160991889392"/>
    <n v="46.911620144322612"/>
    <n v="49.743741896981867"/>
    <n v="52.791018149189952"/>
    <n v="56.139192405763097"/>
    <n v="59.775553461260472"/>
    <n v="63.702642371716095"/>
    <n v="68.008923725235107"/>
    <n v="72.672958591137572"/>
    <n v="77.766376258215047"/>
  </r>
  <r>
    <x v="52"/>
    <x v="1"/>
    <x v="6"/>
    <n v="25.928202068672043"/>
    <n v="27.006040272346922"/>
    <n v="28.19371214882435"/>
    <n v="29.449820616799027"/>
    <n v="30.782533481680602"/>
    <n v="32.191107474515348"/>
    <n v="33.67440388306018"/>
    <n v="35.243161599321631"/>
    <n v="36.921911875096434"/>
    <n v="38.731177638588917"/>
    <n v="40.662208498314826"/>
    <n v="42.713269879849385"/>
    <n v="44.906162565401488"/>
  </r>
  <r>
    <x v="52"/>
    <x v="1"/>
    <x v="7"/>
    <n v="16.276524173361086"/>
    <n v="17.145262564582453"/>
    <n v="18.101652804519723"/>
    <n v="19.121796471492321"/>
    <n v="20.212834136800303"/>
    <n v="21.376334719976498"/>
    <n v="22.613627451181433"/>
    <n v="23.93402929591084"/>
    <n v="25.356595162258479"/>
    <n v="26.898430538407524"/>
    <n v="28.55701108206161"/>
    <n v="30.334543955120328"/>
    <n v="32.249971427059421"/>
  </r>
  <r>
    <x v="52"/>
    <x v="2"/>
    <x v="8"/>
    <n v="95.515232429359259"/>
    <n v="99.161441062390679"/>
    <n v="103.45216380953059"/>
    <n v="107.85926761044789"/>
    <n v="112.45748296484652"/>
    <n v="117.36405405661364"/>
    <n v="122.72255919886868"/>
    <n v="128.82785228390259"/>
    <n v="135.21868173227557"/>
    <n v="142.02266164771845"/>
    <n v="149.68993045171698"/>
    <n v="158.29139629292354"/>
    <n v="167.91698778794245"/>
  </r>
  <r>
    <x v="52"/>
    <x v="2"/>
    <x v="9"/>
    <n v="97.175398072256499"/>
    <n v="103.43175010911051"/>
    <n v="110.1914023337127"/>
    <n v="117.46289816679273"/>
    <n v="125.25780067796454"/>
    <n v="133.65790480433046"/>
    <n v="142.82636534078321"/>
    <n v="152.75957838853961"/>
    <n v="163.58419178786363"/>
    <n v="175.34263353159199"/>
    <n v="188.06845917214807"/>
    <n v="201.98794995566698"/>
    <n v="217.23949214308954"/>
  </r>
  <r>
    <x v="52"/>
    <x v="2"/>
    <x v="10"/>
    <n v="56.554801301506984"/>
    <n v="59.699157929839949"/>
    <n v="63.086374449466362"/>
    <n v="66.707706149966072"/>
    <n v="70.624809258972888"/>
    <n v="74.872371026725403"/>
    <n v="79.44188322030729"/>
    <n v="84.462163514271211"/>
    <n v="89.913791970260164"/>
    <n v="95.800307394063637"/>
    <n v="102.25446275605348"/>
    <n v="109.24365188827335"/>
    <n v="116.8751983779928"/>
  </r>
  <r>
    <x v="52"/>
    <x v="2"/>
    <x v="11"/>
    <n v="28.381973832557286"/>
    <n v="29.84050243851642"/>
    <n v="31.402979401988187"/>
    <n v="33.067239521018685"/>
    <n v="34.831963750173699"/>
    <n v="36.71531844314412"/>
    <n v="38.756824984027261"/>
    <n v="40.948704690467423"/>
    <n v="43.318310327862314"/>
    <n v="45.869207070700362"/>
    <n v="48.602282802469709"/>
    <n v="51.567998719552627"/>
    <n v="54.79174071552908"/>
  </r>
  <r>
    <x v="52"/>
    <x v="3"/>
    <x v="12"/>
    <n v="71.265130987618136"/>
    <n v="74.857254892342496"/>
    <n v="79.008408503421549"/>
    <n v="83.303520203136202"/>
    <n v="87.783412091570767"/>
    <n v="92.548094878943061"/>
    <n v="97.880686694920257"/>
    <n v="103.97273628361432"/>
    <n v="110.36980741024109"/>
    <n v="117.2739340680979"/>
    <n v="125.02896054272929"/>
    <n v="133.82070606588672"/>
    <n v="143.67837227478401"/>
  </r>
  <r>
    <x v="52"/>
    <x v="3"/>
    <x v="13"/>
    <n v="71.551024343535744"/>
    <n v="75.054784874637363"/>
    <n v="78.815659376470151"/>
    <n v="82.817370835644397"/>
    <n v="87.131385183932053"/>
    <n v="91.794040502971058"/>
    <n v="96.787726436083773"/>
    <n v="102.26249245526044"/>
    <n v="108.18507685379181"/>
    <n v="114.55054965020078"/>
    <n v="121.50848989024341"/>
    <n v="129.0081445851749"/>
    <n v="137.16511375478163"/>
  </r>
  <r>
    <x v="52"/>
    <x v="3"/>
    <x v="14"/>
    <n v="55.871240177345172"/>
    <n v="58.362964090660768"/>
    <n v="61.022523523321382"/>
    <n v="63.842083826522"/>
    <n v="66.815599430136146"/>
    <n v="69.974512557970485"/>
    <n v="73.39011026947837"/>
    <n v="77.042224529939261"/>
    <n v="80.977234060777462"/>
    <n v="85.19579299635221"/>
    <n v="89.693488499275404"/>
    <n v="94.557427211993826"/>
    <n v="99.826426481486223"/>
  </r>
  <r>
    <x v="52"/>
    <x v="3"/>
    <x v="15"/>
    <n v="78.940010127180983"/>
    <n v="83.857847682216899"/>
    <n v="89.286328591484732"/>
    <n v="95.134136582922736"/>
    <n v="101.44165994631867"/>
    <n v="108.29300039092902"/>
    <n v="115.68910934350406"/>
    <n v="123.72084560836683"/>
    <n v="132.5028574934513"/>
    <n v="142.01453292942361"/>
    <n v="152.38419625014009"/>
    <n v="163.70471899336107"/>
    <n v="176.15350651350209"/>
  </r>
  <r>
    <x v="53"/>
    <x v="0"/>
    <x v="0"/>
    <n v="17.235342582813182"/>
    <n v="18.020654773667651"/>
    <n v="18.848890240504144"/>
    <n v="19.721362587229716"/>
    <n v="20.640974034351657"/>
    <n v="21.616847888641573"/>
    <n v="22.662968016168993"/>
    <n v="23.772779393168864"/>
    <n v="24.972419402279364"/>
    <n v="26.271769114435045"/>
    <n v="27.67320289659266"/>
    <n v="29.168101763905742"/>
    <n v="30.794801000174676"/>
  </r>
  <r>
    <x v="53"/>
    <x v="0"/>
    <x v="1"/>
    <n v="189.50282032948385"/>
    <n v="198.94581912918736"/>
    <n v="209.34397960082947"/>
    <n v="220.44485651231167"/>
    <n v="232.3121391317226"/>
    <n v="245.10595950465196"/>
    <n v="258.79002259988039"/>
    <n v="273.52996282474953"/>
    <n v="289.53541719764513"/>
    <n v="306.70968896793153"/>
    <n v="325.28105143660895"/>
    <n v="345.39035543530326"/>
    <n v="367.34893725176966"/>
  </r>
  <r>
    <x v="53"/>
    <x v="1"/>
    <x v="2"/>
    <n v="69.532942697325126"/>
    <n v="72.493573957604326"/>
    <n v="75.747626150007278"/>
    <n v="79.20449535411106"/>
    <n v="82.842144561889342"/>
    <n v="86.732519894025074"/>
    <n v="90.797756264648029"/>
    <n v="95.002861220359762"/>
    <n v="99.585802928551885"/>
    <n v="104.42705652966177"/>
    <n v="109.54181733661619"/>
    <n v="114.97606546097489"/>
    <n v="120.84024045999075"/>
  </r>
  <r>
    <x v="53"/>
    <x v="1"/>
    <x v="3"/>
    <n v="41.802976717897941"/>
    <n v="44.176642836356514"/>
    <n v="46.735438793525866"/>
    <n v="49.473508284336809"/>
    <n v="52.437180359327201"/>
    <n v="55.652966697389999"/>
    <n v="59.115388783684907"/>
    <n v="62.921131160867226"/>
    <n v="67.056876624046851"/>
    <n v="71.526369081168966"/>
    <n v="76.429841404938884"/>
    <n v="81.744372768700927"/>
    <n v="87.551644716882194"/>
  </r>
  <r>
    <x v="53"/>
    <x v="1"/>
    <x v="4"/>
    <n v="36.689443620166763"/>
    <n v="38.970474094705111"/>
    <n v="41.488247630102471"/>
    <n v="44.200246637931158"/>
    <n v="47.125164982839635"/>
    <n v="50.301994775346799"/>
    <n v="53.731086214962914"/>
    <n v="57.454546137209185"/>
    <n v="61.525508787865036"/>
    <n v="65.934277111677076"/>
    <n v="70.740306437218052"/>
    <n v="75.986565691607908"/>
    <n v="81.755241167612496"/>
  </r>
  <r>
    <x v="53"/>
    <x v="1"/>
    <x v="5"/>
    <n v="30.716287190821667"/>
    <n v="32.24982712846797"/>
    <n v="33.942355542712967"/>
    <n v="35.733855383246926"/>
    <n v="37.639423239111856"/>
    <n v="39.686128362987603"/>
    <n v="41.912566797012126"/>
    <n v="44.358169854842579"/>
    <n v="46.98778824937402"/>
    <n v="49.81793726352862"/>
    <n v="52.916087549364789"/>
    <n v="56.314719466526086"/>
    <n v="60.051026952165188"/>
  </r>
  <r>
    <x v="53"/>
    <x v="1"/>
    <x v="6"/>
    <n v="16.683603608577766"/>
    <n v="17.219121262946715"/>
    <n v="17.840768432636239"/>
    <n v="18.497642950539706"/>
    <n v="19.199141289305036"/>
    <n v="19.943208901199725"/>
    <n v="20.736849945129663"/>
    <n v="21.599524530835144"/>
    <n v="22.514242274440811"/>
    <n v="23.502397867012412"/>
    <n v="24.552583481450533"/>
    <n v="25.679673035953055"/>
    <n v="26.91288275272553"/>
  </r>
  <r>
    <x v="53"/>
    <x v="1"/>
    <x v="7"/>
    <n v="11.312909077507776"/>
    <n v="11.856834622774386"/>
    <n v="12.438433292348769"/>
    <n v="13.056470489375744"/>
    <n v="13.710058733601226"/>
    <n v="14.405988762344284"/>
    <n v="15.159342610611722"/>
    <n v="15.966509313804529"/>
    <n v="16.837617735645825"/>
    <n v="17.773420229317711"/>
    <n v="18.773618123613144"/>
    <n v="19.857060775446143"/>
    <n v="21.032702202568146"/>
  </r>
  <r>
    <x v="53"/>
    <x v="2"/>
    <x v="8"/>
    <n v="69.840248787957876"/>
    <n v="72.547141494089828"/>
    <n v="75.586883719811738"/>
    <n v="78.813291440406886"/>
    <n v="82.184466467657529"/>
    <n v="85.817501466695262"/>
    <n v="89.694449543622682"/>
    <n v="93.769496711527466"/>
    <n v="98.22675394747759"/>
    <n v="102.90598691882951"/>
    <n v="107.87319665980442"/>
    <n v="113.29195647703483"/>
    <n v="119.29532200351105"/>
  </r>
  <r>
    <x v="53"/>
    <x v="2"/>
    <x v="9"/>
    <n v="72.551443183151051"/>
    <n v="76.714737553302811"/>
    <n v="81.204369756406905"/>
    <n v="86.010725226793966"/>
    <n v="91.21489260768638"/>
    <n v="96.863672147200489"/>
    <n v="102.94829117847235"/>
    <n v="109.63787178363873"/>
    <n v="116.91024435322646"/>
    <n v="124.77293370685125"/>
    <n v="133.40179995323555"/>
    <n v="142.75814520599843"/>
    <n v="152.98586139414465"/>
  </r>
  <r>
    <x v="53"/>
    <x v="2"/>
    <x v="10"/>
    <n v="45.672610536629143"/>
    <n v="48.146645907159673"/>
    <n v="50.870629334451635"/>
    <n v="53.777966400560999"/>
    <n v="56.889155151050105"/>
    <n v="60.209073597368359"/>
    <n v="63.741938998961579"/>
    <n v="67.514496375359187"/>
    <n v="71.581040247613402"/>
    <n v="75.99052472347185"/>
    <n v="80.736594169488214"/>
    <n v="85.826250235397339"/>
    <n v="91.31386417103603"/>
  </r>
  <r>
    <x v="53"/>
    <x v="2"/>
    <x v="11"/>
    <n v="18.673860404558969"/>
    <n v="19.55794894830267"/>
    <n v="20.530987030663344"/>
    <n v="21.564236031779526"/>
    <n v="22.664598939680253"/>
    <n v="23.832560182029383"/>
    <n v="25.068310894992749"/>
    <n v="26.380877347393035"/>
    <n v="27.789798051607011"/>
    <n v="29.312012733213908"/>
    <n v="30.942663550673455"/>
    <n v="32.682105280778366"/>
    <n v="34.54869068325263"/>
  </r>
  <r>
    <x v="53"/>
    <x v="3"/>
    <x v="12"/>
    <n v="56.546558532753807"/>
    <n v="59.355166310368105"/>
    <n v="62.332736712449957"/>
    <n v="65.510120776297498"/>
    <n v="68.879132715122012"/>
    <n v="72.599762481208245"/>
    <n v="76.619125019883228"/>
    <n v="80.979966439168038"/>
    <n v="85.827330855405478"/>
    <n v="90.898876527897016"/>
    <n v="96.464789771070798"/>
    <n v="102.59766420345045"/>
    <n v="109.43619429234798"/>
  </r>
  <r>
    <x v="53"/>
    <x v="3"/>
    <x v="13"/>
    <n v="49.089082615875959"/>
    <n v="51.416593070505179"/>
    <n v="53.978266107552059"/>
    <n v="56.698592157859544"/>
    <n v="59.595753461927103"/>
    <n v="62.671059770753963"/>
    <n v="65.92504995143652"/>
    <n v="69.381497810719395"/>
    <n v="73.091830655680184"/>
    <n v="77.100654317177103"/>
    <n v="81.395251467330255"/>
    <n v="85.976613293988223"/>
    <n v="90.893078465149912"/>
  </r>
  <r>
    <x v="53"/>
    <x v="3"/>
    <x v="14"/>
    <n v="41.2627081033256"/>
    <n v="42.744554239950176"/>
    <n v="44.4507536110779"/>
    <n v="46.256911003765559"/>
    <n v="48.187568058137153"/>
    <n v="50.238878782317343"/>
    <n v="52.429750623795307"/>
    <n v="54.810852028603307"/>
    <n v="57.341086188538121"/>
    <n v="60.076501586766419"/>
    <n v="62.990105504922958"/>
    <n v="66.12192123072218"/>
    <n v="69.549472373548184"/>
  </r>
  <r>
    <x v="53"/>
    <x v="3"/>
    <x v="15"/>
    <n v="59.839813660341676"/>
    <n v="63.450160282031533"/>
    <n v="67.431113410253715"/>
    <n v="71.700595161618807"/>
    <n v="76.290658930888"/>
    <n v="81.213106359013992"/>
    <n v="86.479065020934314"/>
    <n v="92.130425939427681"/>
    <n v="98.247588900300698"/>
    <n v="104.90542565052603"/>
    <n v="112.10410758987757"/>
    <n v="119.86225847104812"/>
    <n v="128.26499312089825"/>
  </r>
  <r>
    <x v="54"/>
    <x v="0"/>
    <x v="0"/>
    <n v="44.300160070879876"/>
    <n v="46.816157935986901"/>
    <n v="49.587778796816046"/>
    <n v="52.55198779070151"/>
    <n v="55.730221807062755"/>
    <n v="59.128822982146865"/>
    <n v="62.753541060782581"/>
    <n v="66.632354805760158"/>
    <n v="70.820703468196484"/>
    <n v="75.369284483036608"/>
    <n v="80.274429918633089"/>
    <n v="85.545705320843851"/>
    <n v="91.239975212199369"/>
  </r>
  <r>
    <x v="54"/>
    <x v="0"/>
    <x v="1"/>
    <n v="462.77148679426745"/>
    <n v="491.41962674627842"/>
    <n v="523.03829878866736"/>
    <n v="557.08922654244043"/>
    <n v="593.80616289063835"/>
    <n v="633.67839503704943"/>
    <n v="676.70792878881889"/>
    <n v="723.42266179232638"/>
    <n v="774.48881112219749"/>
    <n v="829.78100152823549"/>
    <n v="890.04425765712438"/>
    <n v="955.81543024727284"/>
    <n v="1028.1241370603318"/>
  </r>
  <r>
    <x v="54"/>
    <x v="1"/>
    <x v="2"/>
    <n v="167.44197988832497"/>
    <n v="176.25378969194634"/>
    <n v="186.43687713762353"/>
    <n v="197.33764101169942"/>
    <n v="208.89090131878072"/>
    <n v="221.26860138544993"/>
    <n v="234.38853294294358"/>
    <n v="248.14910648695002"/>
    <n v="263.08361843762873"/>
    <n v="278.8896890094552"/>
    <n v="295.55166417519206"/>
    <n v="313.62735662561192"/>
    <n v="333.29471669177758"/>
  </r>
  <r>
    <x v="54"/>
    <x v="1"/>
    <x v="3"/>
    <n v="115.7138473393632"/>
    <n v="123.64951476262981"/>
    <n v="132.27033349407316"/>
    <n v="141.58010868580931"/>
    <n v="151.73169946538297"/>
    <n v="162.82697814420584"/>
    <n v="174.87819117351927"/>
    <n v="188.19972547572854"/>
    <n v="202.79026927296928"/>
    <n v="218.69919344297733"/>
    <n v="236.27224755496863"/>
    <n v="255.48889405231205"/>
    <n v="276.6535251770249"/>
  </r>
  <r>
    <x v="54"/>
    <x v="1"/>
    <x v="4"/>
    <n v="92.862946533897698"/>
    <n v="100.0464807616268"/>
    <n v="107.8253532743138"/>
    <n v="116.24435392455464"/>
    <n v="125.36052224665632"/>
    <n v="135.27286917648556"/>
    <n v="146.11985717475318"/>
    <n v="157.92086213231551"/>
    <n v="170.91064270584252"/>
    <n v="185.23699375014749"/>
    <n v="201.00732271483287"/>
    <n v="218.25615698424508"/>
    <n v="237.36711214878866"/>
  </r>
  <r>
    <x v="54"/>
    <x v="1"/>
    <x v="5"/>
    <n v="63.762140083116101"/>
    <n v="67.757969241983247"/>
    <n v="72.081431231768704"/>
    <n v="76.728671844793638"/>
    <n v="81.776630833440578"/>
    <n v="87.272998976061146"/>
    <n v="93.216292175814601"/>
    <n v="99.766014966960753"/>
    <n v="106.91071329796935"/>
    <n v="114.66577837050293"/>
    <n v="123.20152890822096"/>
    <n v="132.49342282962874"/>
    <n v="142.68579310376137"/>
  </r>
  <r>
    <x v="54"/>
    <x v="1"/>
    <x v="6"/>
    <n v="44.381586918538098"/>
    <n v="46.399095555936505"/>
    <n v="48.561197279262373"/>
    <n v="50.856325131215229"/>
    <n v="53.326937183681267"/>
    <n v="55.99341537172991"/>
    <n v="58.84294934833423"/>
    <n v="61.964815509049501"/>
    <n v="65.336014222278635"/>
    <n v="68.950942842157588"/>
    <n v="72.897057577207107"/>
    <n v="77.14045197643749"/>
    <n v="81.747115028059582"/>
  </r>
  <r>
    <x v="54"/>
    <x v="1"/>
    <x v="7"/>
    <n v="22.909146101907247"/>
    <n v="24.128934668142673"/>
    <n v="25.450885168441822"/>
    <n v="26.894113735069716"/>
    <n v="28.449693649759311"/>
    <n v="30.172354965263903"/>
    <n v="32.015647034236615"/>
    <n v="34.054492027082276"/>
    <n v="36.278256653705377"/>
    <n v="38.707688596031517"/>
    <n v="41.388866645335796"/>
    <n v="44.354853099881403"/>
    <n v="47.61585012311896"/>
  </r>
  <r>
    <x v="54"/>
    <x v="2"/>
    <x v="8"/>
    <n v="169.31794870850052"/>
    <n v="177.38241395633514"/>
    <n v="186.5124632657753"/>
    <n v="196.29254622584932"/>
    <n v="206.74743124927829"/>
    <n v="218.17521464171102"/>
    <n v="230.37633714481024"/>
    <n v="243.63575889540562"/>
    <n v="258.1363369073307"/>
    <n v="273.36027171098988"/>
    <n v="289.80081782343927"/>
    <n v="307.89812461290785"/>
    <n v="327.91501868407988"/>
  </r>
  <r>
    <x v="54"/>
    <x v="2"/>
    <x v="9"/>
    <n v="183.52499749497122"/>
    <n v="196.76413663470899"/>
    <n v="211.43210991256822"/>
    <n v="227.31504816396742"/>
    <n v="244.55044883868447"/>
    <n v="263.2162098419376"/>
    <n v="283.39062455758659"/>
    <n v="305.25534989846125"/>
    <n v="329.12672195783153"/>
    <n v="355.31548478237181"/>
    <n v="383.89181525257248"/>
    <n v="414.99067078185107"/>
    <n v="448.98164620556031"/>
  </r>
  <r>
    <x v="54"/>
    <x v="2"/>
    <x v="10"/>
    <n v="112.40002639425332"/>
    <n v="119.91008676604704"/>
    <n v="127.96945356394347"/>
    <n v="136.61240012997195"/>
    <n v="145.88587200310366"/>
    <n v="155.88341424907478"/>
    <n v="166.73993772691728"/>
    <n v="178.44869377828186"/>
    <n v="191.24599292592671"/>
    <n v="205.26103446696746"/>
    <n v="220.57250664294315"/>
    <n v="237.17524949729889"/>
    <n v="255.44277391227371"/>
  </r>
  <r>
    <x v="54"/>
    <x v="2"/>
    <x v="11"/>
    <n v="41.828674267422272"/>
    <n v="44.179147325174178"/>
    <n v="46.712050843196387"/>
    <n v="49.421219813353268"/>
    <n v="52.352632606634714"/>
    <n v="55.532379286472839"/>
    <n v="58.954570420287368"/>
    <n v="62.715214025937833"/>
    <n v="66.800462799305038"/>
    <n v="71.213495050942896"/>
    <n v="76.053547856802496"/>
    <n v="81.297090676058772"/>
    <n v="87.024673470617401"/>
  </r>
  <r>
    <x v="54"/>
    <x v="3"/>
    <x v="12"/>
    <n v="127.6789741381188"/>
    <n v="134.82914900121284"/>
    <n v="143.42128178241614"/>
    <n v="152.74179234576957"/>
    <n v="162.90372528218342"/>
    <n v="174.14588891125663"/>
    <n v="186.06659429891045"/>
    <n v="199.11659572386543"/>
    <n v="213.39713902784115"/>
    <n v="228.67593361721367"/>
    <n v="245.38859991267589"/>
    <n v="263.67142723940265"/>
    <n v="283.87250353245372"/>
  </r>
  <r>
    <x v="54"/>
    <x v="3"/>
    <x v="13"/>
    <n v="131.79871098106392"/>
    <n v="139.73380383680492"/>
    <n v="148.20201208940821"/>
    <n v="157.23193386137982"/>
    <n v="166.86589722883943"/>
    <n v="177.19832830006939"/>
    <n v="188.36817187142302"/>
    <n v="200.35071322478385"/>
    <n v="213.39451567094255"/>
    <n v="227.62227054178666"/>
    <n v="243.09735371444935"/>
    <n v="259.7888594417268"/>
    <n v="278.08108402181449"/>
  </r>
  <r>
    <x v="54"/>
    <x v="3"/>
    <x v="14"/>
    <n v="94.0238322171205"/>
    <n v="99.054185358421918"/>
    <n v="104.38078297068758"/>
    <n v="110.05457417840708"/>
    <n v="116.13710558394895"/>
    <n v="122.63750029972377"/>
    <n v="129.53570397673198"/>
    <n v="136.93803050690667"/>
    <n v="144.97625499999751"/>
    <n v="153.57966330966761"/>
    <n v="162.89739412711097"/>
    <n v="172.94827071798269"/>
    <n v="183.80288383153251"/>
  </r>
  <r>
    <x v="54"/>
    <x v="3"/>
    <x v="15"/>
    <n v="153.57012952884409"/>
    <n v="164.61864648582568"/>
    <n v="176.62200074297138"/>
    <n v="189.6129139475855"/>
    <n v="203.62965660272931"/>
    <n v="218.82550050814646"/>
    <n v="235.4909997025361"/>
    <n v="253.64967714253063"/>
    <n v="273.54160489161274"/>
    <n v="295.27241854260416"/>
    <n v="318.93533982152138"/>
    <n v="344.95257816900443"/>
    <n v="373.60764088673039"/>
  </r>
  <r>
    <x v="55"/>
    <x v="0"/>
    <x v="0"/>
    <n v="3.1521888111064507"/>
    <n v="3.2042939116260301"/>
    <n v="3.2654499260700112"/>
    <n v="3.3287491034837791"/>
    <n v="3.3950928757163275"/>
    <n v="3.4663236064727259"/>
    <n v="3.5450266121958491"/>
    <n v="3.6334891216398084"/>
    <n v="3.7275432657065606"/>
    <n v="3.8275735594257347"/>
    <n v="3.9377820918002051"/>
    <n v="4.0591865906679327"/>
    <n v="4.1929399123523554"/>
  </r>
  <r>
    <x v="55"/>
    <x v="0"/>
    <x v="1"/>
    <n v="34.189331454818841"/>
    <n v="35.137856360271343"/>
    <n v="36.146839504939486"/>
    <n v="37.207782777444706"/>
    <n v="38.313664811216441"/>
    <n v="39.479310801896034"/>
    <n v="40.74097933171133"/>
    <n v="42.081712747483841"/>
    <n v="43.521820482861884"/>
    <n v="45.055586229572341"/>
    <n v="46.674800577189615"/>
    <n v="48.419230957626219"/>
    <n v="50.30121054090138"/>
  </r>
  <r>
    <x v="55"/>
    <x v="1"/>
    <x v="2"/>
    <n v="12.657786936737214"/>
    <n v="12.921712335099944"/>
    <n v="13.170837604282717"/>
    <n v="13.433843607907534"/>
    <n v="13.697156024388725"/>
    <n v="13.968366244319419"/>
    <n v="14.28484583625448"/>
    <n v="14.605776154032505"/>
    <n v="14.955260473652586"/>
    <n v="15.319748239208032"/>
    <n v="15.68173354621922"/>
    <n v="16.076215768297487"/>
    <n v="16.499687561203551"/>
  </r>
  <r>
    <x v="55"/>
    <x v="1"/>
    <x v="3"/>
    <n v="8.5397740700586624"/>
    <n v="8.8440934569027139"/>
    <n v="9.180553111611232"/>
    <n v="9.535089632860192"/>
    <n v="9.9100008264152262"/>
    <n v="10.304659604591901"/>
    <n v="10.718322158688851"/>
    <n v="11.154037809242455"/>
    <n v="11.619147619683702"/>
    <n v="12.119560089405065"/>
    <n v="12.651883815450919"/>
    <n v="13.214979779604024"/>
    <n v="13.815009470413328"/>
  </r>
  <r>
    <x v="55"/>
    <x v="1"/>
    <x v="4"/>
    <n v="6.1026960137055219"/>
    <n v="6.3355162035799353"/>
    <n v="6.5905669833269176"/>
    <n v="6.8564676725403135"/>
    <n v="7.1363684402341967"/>
    <n v="7.4342096710572649"/>
    <n v="7.7503114232634447"/>
    <n v="8.101296104859685"/>
    <n v="8.4748714965109162"/>
    <n v="8.8764453505196226"/>
    <n v="9.312623871800616"/>
    <n v="9.7872411357981637"/>
    <n v="10.304645018419695"/>
  </r>
  <r>
    <x v="55"/>
    <x v="1"/>
    <x v="5"/>
    <n v="4.6753098668401618"/>
    <n v="4.7960584000977677"/>
    <n v="4.9321833912882713"/>
    <n v="5.0736460803709944"/>
    <n v="5.221936462403983"/>
    <n v="5.3800438058906082"/>
    <n v="5.5522163582433519"/>
    <n v="5.7423853857375464"/>
    <n v="5.9444162127113325"/>
    <n v="6.1592027343192521"/>
    <n v="6.393808927701448"/>
    <n v="6.6503778726862217"/>
    <n v="6.931341740745248"/>
  </r>
  <r>
    <x v="55"/>
    <x v="1"/>
    <x v="6"/>
    <n v="3.5198915052413957"/>
    <n v="3.5585098870975953"/>
    <n v="3.6062201663019504"/>
    <n v="3.6573132836729165"/>
    <n v="3.7120794341370162"/>
    <n v="3.7722625067628148"/>
    <n v="3.8362787675499597"/>
    <n v="3.9057086053338108"/>
    <n v="3.9824773751083189"/>
    <n v="4.0639498435484365"/>
    <n v="4.1521025191185776"/>
    <n v="4.2474447698658162"/>
    <n v="4.3524297620235091"/>
  </r>
  <r>
    <x v="55"/>
    <x v="1"/>
    <x v="7"/>
    <n v="1.8460618733423333"/>
    <n v="1.8862599891194174"/>
    <n v="1.9319281741984127"/>
    <n v="1.9801716035765367"/>
    <n v="2.0312164993536266"/>
    <n v="2.0860925757467559"/>
    <n v="2.1440313999070888"/>
    <n v="2.2059978099176485"/>
    <n v="2.2731905709015874"/>
    <n v="2.3442535319976736"/>
    <n v="2.4204299886990324"/>
    <n v="2.5021582220424405"/>
    <n v="2.5910369004484064"/>
  </r>
  <r>
    <x v="55"/>
    <x v="2"/>
    <x v="8"/>
    <n v="12.320308124175924"/>
    <n v="12.531077367470697"/>
    <n v="12.759572716799845"/>
    <n v="13.000920744705105"/>
    <n v="13.238359689832464"/>
    <n v="13.484759083586116"/>
    <n v="13.777773826067261"/>
    <n v="14.081333896006992"/>
    <n v="14.404673951882792"/>
    <n v="14.756290056895246"/>
    <n v="15.100756262123767"/>
    <n v="15.476994376110795"/>
    <n v="15.888504257034654"/>
  </r>
  <r>
    <x v="55"/>
    <x v="2"/>
    <x v="9"/>
    <n v="13.329917443006016"/>
    <n v="13.823879726635433"/>
    <n v="14.339930936153383"/>
    <n v="14.883593548103965"/>
    <n v="15.461436474545977"/>
    <n v="16.072589395070548"/>
    <n v="16.712351813755919"/>
    <n v="17.392559597479462"/>
    <n v="18.127491896247143"/>
    <n v="18.905150467216899"/>
    <n v="19.741252994948702"/>
    <n v="20.634672876928693"/>
    <n v="21.590430257416305"/>
  </r>
  <r>
    <x v="55"/>
    <x v="2"/>
    <x v="10"/>
    <n v="8.0797362343545096"/>
    <n v="8.2887266517583029"/>
    <n v="8.5243073793802218"/>
    <n v="8.7691314424247402"/>
    <n v="9.0257751634522521"/>
    <n v="9.2994066529854962"/>
    <n v="9.5973709521525432"/>
    <n v="9.9264662929284366"/>
    <n v="10.276091633006041"/>
    <n v="10.647794589423304"/>
    <n v="11.053789614905515"/>
    <n v="11.497785624118833"/>
    <n v="11.983991895042072"/>
  </r>
  <r>
    <x v="55"/>
    <x v="2"/>
    <x v="11"/>
    <n v="3.6115584643888434"/>
    <n v="3.6984665260329401"/>
    <n v="3.78847839867605"/>
    <n v="3.8828861456946768"/>
    <n v="3.9831863591020795"/>
    <n v="4.0888792767266002"/>
    <n v="4.198509351931456"/>
    <n v="4.3148420827087541"/>
    <n v="4.4411062674324677"/>
    <n v="4.5739246754626244"/>
    <n v="4.7167837970118347"/>
    <n v="4.8689646711358359"/>
    <n v="5.0312240437607052"/>
  </r>
  <r>
    <x v="55"/>
    <x v="3"/>
    <x v="12"/>
    <n v="9.6204593313185143"/>
    <n v="9.9392954394009081"/>
    <n v="10.274745760790378"/>
    <n v="10.627896179209856"/>
    <n v="10.977745023200704"/>
    <n v="11.334750961472238"/>
    <n v="11.740025238755003"/>
    <n v="12.147930786717019"/>
    <n v="12.582301136309773"/>
    <n v="13.049139097211217"/>
    <n v="13.508512389925755"/>
    <n v="14.010287912608973"/>
    <n v="14.551776215879912"/>
  </r>
  <r>
    <x v="55"/>
    <x v="3"/>
    <x v="13"/>
    <n v="9.9134938709526761"/>
    <n v="10.156492066094691"/>
    <n v="10.408226971530015"/>
    <n v="10.67225970808553"/>
    <n v="10.952719768588546"/>
    <n v="11.248254391782575"/>
    <n v="11.55487912492077"/>
    <n v="11.880219441838793"/>
    <n v="12.233189725867364"/>
    <n v="12.604523303650408"/>
    <n v="13.003851921776601"/>
    <n v="13.429229900668682"/>
    <n v="13.882778323057481"/>
  </r>
  <r>
    <x v="55"/>
    <x v="3"/>
    <x v="14"/>
    <n v="7.4398155547416831"/>
    <n v="7.532824537655352"/>
    <n v="7.6462488828095765"/>
    <n v="7.7636663694385932"/>
    <n v="7.8871260785989863"/>
    <n v="8.0208301933304629"/>
    <n v="8.1706331411509527"/>
    <n v="8.3416091760358082"/>
    <n v="8.5239321719300847"/>
    <n v="8.7183387676321438"/>
    <n v="8.9342485735453288"/>
    <n v="9.1737077103673617"/>
    <n v="9.439034005285043"/>
  </r>
  <r>
    <x v="55"/>
    <x v="3"/>
    <x v="15"/>
    <n v="10.367751508912415"/>
    <n v="10.713538228746422"/>
    <n v="11.083067815879527"/>
    <n v="11.472709624194508"/>
    <n v="11.891166816544532"/>
    <n v="12.341798861783486"/>
    <n v="12.820468439080454"/>
    <n v="13.345442464532027"/>
    <n v="13.909940714461223"/>
    <n v="14.511158620504313"/>
    <n v="15.165969783742131"/>
    <n v="15.865192024649135"/>
    <n v="16.620561909031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12796F-0458-48C3-A8D1-0683A6F7F55D}" name="PivotTable1" cacheId="0"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N1255" firstHeaderRow="0" firstDataRow="1" firstDataCol="1"/>
  <pivotFields count="16">
    <pivotField axis="axisRow" showAll="0" defaultSubtotal="0">
      <items count="56">
        <item x="0"/>
        <item x="1"/>
        <item x="11"/>
        <item x="24"/>
        <item x="41"/>
        <item x="44"/>
        <item x="2"/>
        <item x="3"/>
        <item x="4"/>
        <item x="5"/>
        <item x="6"/>
        <item x="7"/>
        <item x="8"/>
        <item x="9"/>
        <item x="10"/>
        <item x="12"/>
        <item x="13"/>
        <item x="14"/>
        <item x="15"/>
        <item x="16"/>
        <item x="17"/>
        <item x="18"/>
        <item x="19"/>
        <item x="20"/>
        <item x="21"/>
        <item x="22"/>
        <item x="23"/>
        <item x="25"/>
        <item x="26"/>
        <item x="27"/>
        <item x="28"/>
        <item x="29"/>
        <item x="30"/>
        <item x="31"/>
        <item x="32"/>
        <item x="33"/>
        <item x="34"/>
        <item x="35"/>
        <item x="36"/>
        <item x="37"/>
        <item x="38"/>
        <item x="39"/>
        <item x="40"/>
        <item x="42"/>
        <item x="43"/>
        <item x="45"/>
        <item x="46"/>
        <item x="47"/>
        <item x="48"/>
        <item x="49"/>
        <item x="50"/>
        <item x="51"/>
        <item x="52"/>
        <item x="53"/>
        <item x="54"/>
        <item x="55"/>
      </items>
    </pivotField>
    <pivotField axis="axisRow" showAll="0" defaultSubtotal="0">
      <items count="6">
        <item x="0"/>
        <item x="1"/>
        <item x="2"/>
        <item x="3"/>
        <item x="4"/>
        <item x="5"/>
      </items>
    </pivotField>
    <pivotField axis="axisRow" showAll="0" defaultSubtotal="0">
      <items count="71">
        <item x="0"/>
        <item x="1"/>
        <item x="4"/>
        <item x="6"/>
        <item x="3"/>
        <item x="5"/>
        <item x="2"/>
        <item x="7"/>
        <item x="9"/>
        <item x="10"/>
        <item x="8"/>
        <item x="11"/>
        <item x="12"/>
        <item x="14"/>
        <item x="13"/>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3">
    <field x="0"/>
    <field x="1"/>
    <field x="2"/>
  </rowFields>
  <rowItems count="1237">
    <i>
      <x/>
    </i>
    <i r="1">
      <x/>
    </i>
    <i r="2">
      <x/>
    </i>
    <i r="2">
      <x v="1"/>
    </i>
    <i r="1">
      <x v="1"/>
    </i>
    <i r="2">
      <x v="2"/>
    </i>
    <i r="2">
      <x v="3"/>
    </i>
    <i r="2">
      <x v="4"/>
    </i>
    <i r="2">
      <x v="5"/>
    </i>
    <i r="2">
      <x v="6"/>
    </i>
    <i r="2">
      <x v="7"/>
    </i>
    <i r="1">
      <x v="2"/>
    </i>
    <i r="2">
      <x v="8"/>
    </i>
    <i r="2">
      <x v="9"/>
    </i>
    <i r="2">
      <x v="10"/>
    </i>
    <i r="2">
      <x v="11"/>
    </i>
    <i r="1">
      <x v="3"/>
    </i>
    <i r="2">
      <x v="12"/>
    </i>
    <i r="2">
      <x v="13"/>
    </i>
    <i r="2">
      <x v="14"/>
    </i>
    <i r="2">
      <x v="15"/>
    </i>
    <i r="1">
      <x v="4"/>
    </i>
    <i r="2">
      <x v="16"/>
    </i>
    <i r="2">
      <x v="17"/>
    </i>
    <i r="2">
      <x v="18"/>
    </i>
    <i r="2">
      <x v="19"/>
    </i>
    <i r="2">
      <x v="20"/>
    </i>
    <i>
      <x v="1"/>
    </i>
    <i r="1">
      <x/>
    </i>
    <i r="2">
      <x/>
    </i>
    <i r="2">
      <x v="1"/>
    </i>
    <i r="1">
      <x v="1"/>
    </i>
    <i r="2">
      <x v="2"/>
    </i>
    <i r="2">
      <x v="3"/>
    </i>
    <i r="2">
      <x v="4"/>
    </i>
    <i r="2">
      <x v="5"/>
    </i>
    <i r="2">
      <x v="6"/>
    </i>
    <i r="2">
      <x v="7"/>
    </i>
    <i r="1">
      <x v="2"/>
    </i>
    <i r="2">
      <x v="8"/>
    </i>
    <i r="2">
      <x v="9"/>
    </i>
    <i r="2">
      <x v="10"/>
    </i>
    <i r="2">
      <x v="11"/>
    </i>
    <i r="1">
      <x v="3"/>
    </i>
    <i r="2">
      <x v="12"/>
    </i>
    <i r="2">
      <x v="13"/>
    </i>
    <i r="2">
      <x v="14"/>
    </i>
    <i r="2">
      <x v="15"/>
    </i>
    <i r="1">
      <x v="5"/>
    </i>
    <i r="2">
      <x v="21"/>
    </i>
    <i r="2">
      <x v="22"/>
    </i>
    <i r="2">
      <x v="23"/>
    </i>
    <i r="2">
      <x v="24"/>
    </i>
    <i r="2">
      <x v="25"/>
    </i>
    <i r="2">
      <x v="26"/>
    </i>
    <i r="2">
      <x v="27"/>
    </i>
    <i r="2">
      <x v="28"/>
    </i>
    <i r="2">
      <x v="29"/>
    </i>
    <i>
      <x v="2"/>
    </i>
    <i r="1">
      <x/>
    </i>
    <i r="2">
      <x/>
    </i>
    <i r="2">
      <x v="1"/>
    </i>
    <i r="1">
      <x v="1"/>
    </i>
    <i r="2">
      <x v="2"/>
    </i>
    <i r="2">
      <x v="3"/>
    </i>
    <i r="2">
      <x v="4"/>
    </i>
    <i r="2">
      <x v="5"/>
    </i>
    <i r="2">
      <x v="6"/>
    </i>
    <i r="2">
      <x v="7"/>
    </i>
    <i r="1">
      <x v="2"/>
    </i>
    <i r="2">
      <x v="8"/>
    </i>
    <i r="2">
      <x v="9"/>
    </i>
    <i r="2">
      <x v="10"/>
    </i>
    <i r="2">
      <x v="11"/>
    </i>
    <i r="1">
      <x v="3"/>
    </i>
    <i r="2">
      <x v="12"/>
    </i>
    <i r="2">
      <x v="13"/>
    </i>
    <i r="2">
      <x v="14"/>
    </i>
    <i r="2">
      <x v="15"/>
    </i>
    <i r="1">
      <x v="5"/>
    </i>
    <i r="2">
      <x v="30"/>
    </i>
    <i r="2">
      <x v="31"/>
    </i>
    <i r="2">
      <x v="32"/>
    </i>
    <i r="2">
      <x v="33"/>
    </i>
    <i r="2">
      <x v="34"/>
    </i>
    <i r="2">
      <x v="35"/>
    </i>
    <i r="2">
      <x v="36"/>
    </i>
    <i r="2">
      <x v="37"/>
    </i>
    <i r="2">
      <x v="38"/>
    </i>
    <i r="2">
      <x v="39"/>
    </i>
    <i r="2">
      <x v="40"/>
    </i>
    <i r="2">
      <x v="41"/>
    </i>
    <i>
      <x v="3"/>
    </i>
    <i r="1">
      <x/>
    </i>
    <i r="2">
      <x/>
    </i>
    <i r="2">
      <x v="1"/>
    </i>
    <i r="1">
      <x v="1"/>
    </i>
    <i r="2">
      <x v="2"/>
    </i>
    <i r="2">
      <x v="3"/>
    </i>
    <i r="2">
      <x v="4"/>
    </i>
    <i r="2">
      <x v="5"/>
    </i>
    <i r="2">
      <x v="6"/>
    </i>
    <i r="2">
      <x v="7"/>
    </i>
    <i r="1">
      <x v="2"/>
    </i>
    <i r="2">
      <x v="8"/>
    </i>
    <i r="2">
      <x v="9"/>
    </i>
    <i r="2">
      <x v="10"/>
    </i>
    <i r="2">
      <x v="11"/>
    </i>
    <i r="1">
      <x v="3"/>
    </i>
    <i r="2">
      <x v="12"/>
    </i>
    <i r="2">
      <x v="13"/>
    </i>
    <i r="2">
      <x v="14"/>
    </i>
    <i r="2">
      <x v="15"/>
    </i>
    <i r="1">
      <x v="5"/>
    </i>
    <i r="2">
      <x v="42"/>
    </i>
    <i r="2">
      <x v="43"/>
    </i>
    <i r="2">
      <x v="44"/>
    </i>
    <i r="2">
      <x v="45"/>
    </i>
    <i r="2">
      <x v="46"/>
    </i>
    <i r="2">
      <x v="47"/>
    </i>
    <i r="2">
      <x v="48"/>
    </i>
    <i r="2">
      <x v="49"/>
    </i>
    <i r="2">
      <x v="50"/>
    </i>
    <i r="2">
      <x v="51"/>
    </i>
    <i r="2">
      <x v="52"/>
    </i>
    <i r="2">
      <x v="53"/>
    </i>
    <i r="2">
      <x v="54"/>
    </i>
    <i r="2">
      <x v="55"/>
    </i>
    <i r="2">
      <x v="56"/>
    </i>
    <i r="2">
      <x v="57"/>
    </i>
    <i>
      <x v="4"/>
    </i>
    <i r="1">
      <x/>
    </i>
    <i r="2">
      <x/>
    </i>
    <i r="2">
      <x v="1"/>
    </i>
    <i r="1">
      <x v="1"/>
    </i>
    <i r="2">
      <x v="2"/>
    </i>
    <i r="2">
      <x v="3"/>
    </i>
    <i r="2">
      <x v="4"/>
    </i>
    <i r="2">
      <x v="5"/>
    </i>
    <i r="2">
      <x v="6"/>
    </i>
    <i r="2">
      <x v="7"/>
    </i>
    <i r="1">
      <x v="2"/>
    </i>
    <i r="2">
      <x v="8"/>
    </i>
    <i r="2">
      <x v="9"/>
    </i>
    <i r="2">
      <x v="10"/>
    </i>
    <i r="2">
      <x v="11"/>
    </i>
    <i r="1">
      <x v="3"/>
    </i>
    <i r="2">
      <x v="12"/>
    </i>
    <i r="2">
      <x v="13"/>
    </i>
    <i r="2">
      <x v="14"/>
    </i>
    <i r="2">
      <x v="15"/>
    </i>
    <i r="1">
      <x v="5"/>
    </i>
    <i r="2">
      <x v="58"/>
    </i>
    <i r="2">
      <x v="59"/>
    </i>
    <i>
      <x v="5"/>
    </i>
    <i r="1">
      <x/>
    </i>
    <i r="2">
      <x/>
    </i>
    <i r="2">
      <x v="1"/>
    </i>
    <i r="1">
      <x v="1"/>
    </i>
    <i r="2">
      <x v="2"/>
    </i>
    <i r="2">
      <x v="3"/>
    </i>
    <i r="2">
      <x v="4"/>
    </i>
    <i r="2">
      <x v="5"/>
    </i>
    <i r="2">
      <x v="6"/>
    </i>
    <i r="2">
      <x v="7"/>
    </i>
    <i r="1">
      <x v="2"/>
    </i>
    <i r="2">
      <x v="8"/>
    </i>
    <i r="2">
      <x v="9"/>
    </i>
    <i r="2">
      <x v="10"/>
    </i>
    <i r="2">
      <x v="11"/>
    </i>
    <i r="1">
      <x v="3"/>
    </i>
    <i r="2">
      <x v="12"/>
    </i>
    <i r="2">
      <x v="13"/>
    </i>
    <i r="2">
      <x v="14"/>
    </i>
    <i r="2">
      <x v="15"/>
    </i>
    <i r="1">
      <x v="5"/>
    </i>
    <i r="2">
      <x v="60"/>
    </i>
    <i r="2">
      <x v="61"/>
    </i>
    <i r="2">
      <x v="62"/>
    </i>
    <i r="2">
      <x v="63"/>
    </i>
    <i r="2">
      <x v="64"/>
    </i>
    <i r="2">
      <x v="65"/>
    </i>
    <i r="2">
      <x v="66"/>
    </i>
    <i r="2">
      <x v="67"/>
    </i>
    <i r="2">
      <x v="68"/>
    </i>
    <i r="2">
      <x v="69"/>
    </i>
    <i r="2">
      <x v="70"/>
    </i>
    <i>
      <x v="6"/>
    </i>
    <i r="1">
      <x/>
    </i>
    <i r="2">
      <x/>
    </i>
    <i r="2">
      <x v="1"/>
    </i>
    <i r="1">
      <x v="1"/>
    </i>
    <i r="2">
      <x v="2"/>
    </i>
    <i r="2">
      <x v="3"/>
    </i>
    <i r="2">
      <x v="4"/>
    </i>
    <i r="2">
      <x v="5"/>
    </i>
    <i r="2">
      <x v="6"/>
    </i>
    <i r="2">
      <x v="7"/>
    </i>
    <i r="1">
      <x v="2"/>
    </i>
    <i r="2">
      <x v="8"/>
    </i>
    <i r="2">
      <x v="9"/>
    </i>
    <i r="2">
      <x v="10"/>
    </i>
    <i r="2">
      <x v="11"/>
    </i>
    <i r="1">
      <x v="3"/>
    </i>
    <i r="2">
      <x v="12"/>
    </i>
    <i r="2">
      <x v="13"/>
    </i>
    <i r="2">
      <x v="14"/>
    </i>
    <i r="2">
      <x v="15"/>
    </i>
    <i>
      <x v="7"/>
    </i>
    <i r="1">
      <x/>
    </i>
    <i r="2">
      <x/>
    </i>
    <i r="2">
      <x v="1"/>
    </i>
    <i r="1">
      <x v="1"/>
    </i>
    <i r="2">
      <x v="2"/>
    </i>
    <i r="2">
      <x v="3"/>
    </i>
    <i r="2">
      <x v="4"/>
    </i>
    <i r="2">
      <x v="5"/>
    </i>
    <i r="2">
      <x v="6"/>
    </i>
    <i r="2">
      <x v="7"/>
    </i>
    <i r="1">
      <x v="2"/>
    </i>
    <i r="2">
      <x v="8"/>
    </i>
    <i r="2">
      <x v="9"/>
    </i>
    <i r="2">
      <x v="10"/>
    </i>
    <i r="2">
      <x v="11"/>
    </i>
    <i r="1">
      <x v="3"/>
    </i>
    <i r="2">
      <x v="12"/>
    </i>
    <i r="2">
      <x v="13"/>
    </i>
    <i r="2">
      <x v="14"/>
    </i>
    <i r="2">
      <x v="15"/>
    </i>
    <i>
      <x v="8"/>
    </i>
    <i r="1">
      <x/>
    </i>
    <i r="2">
      <x/>
    </i>
    <i r="2">
      <x v="1"/>
    </i>
    <i r="1">
      <x v="1"/>
    </i>
    <i r="2">
      <x v="2"/>
    </i>
    <i r="2">
      <x v="3"/>
    </i>
    <i r="2">
      <x v="4"/>
    </i>
    <i r="2">
      <x v="5"/>
    </i>
    <i r="2">
      <x v="6"/>
    </i>
    <i r="2">
      <x v="7"/>
    </i>
    <i r="1">
      <x v="2"/>
    </i>
    <i r="2">
      <x v="8"/>
    </i>
    <i r="2">
      <x v="9"/>
    </i>
    <i r="2">
      <x v="10"/>
    </i>
    <i r="2">
      <x v="11"/>
    </i>
    <i r="1">
      <x v="3"/>
    </i>
    <i r="2">
      <x v="12"/>
    </i>
    <i r="2">
      <x v="13"/>
    </i>
    <i r="2">
      <x v="14"/>
    </i>
    <i r="2">
      <x v="15"/>
    </i>
    <i>
      <x v="9"/>
    </i>
    <i r="1">
      <x/>
    </i>
    <i r="2">
      <x/>
    </i>
    <i r="2">
      <x v="1"/>
    </i>
    <i r="1">
      <x v="1"/>
    </i>
    <i r="2">
      <x v="2"/>
    </i>
    <i r="2">
      <x v="3"/>
    </i>
    <i r="2">
      <x v="4"/>
    </i>
    <i r="2">
      <x v="5"/>
    </i>
    <i r="2">
      <x v="6"/>
    </i>
    <i r="2">
      <x v="7"/>
    </i>
    <i r="1">
      <x v="2"/>
    </i>
    <i r="2">
      <x v="8"/>
    </i>
    <i r="2">
      <x v="9"/>
    </i>
    <i r="2">
      <x v="10"/>
    </i>
    <i r="2">
      <x v="11"/>
    </i>
    <i r="1">
      <x v="3"/>
    </i>
    <i r="2">
      <x v="12"/>
    </i>
    <i r="2">
      <x v="13"/>
    </i>
    <i r="2">
      <x v="14"/>
    </i>
    <i r="2">
      <x v="15"/>
    </i>
    <i>
      <x v="10"/>
    </i>
    <i r="1">
      <x/>
    </i>
    <i r="2">
      <x/>
    </i>
    <i r="2">
      <x v="1"/>
    </i>
    <i r="1">
      <x v="1"/>
    </i>
    <i r="2">
      <x v="2"/>
    </i>
    <i r="2">
      <x v="3"/>
    </i>
    <i r="2">
      <x v="4"/>
    </i>
    <i r="2">
      <x v="5"/>
    </i>
    <i r="2">
      <x v="6"/>
    </i>
    <i r="2">
      <x v="7"/>
    </i>
    <i r="1">
      <x v="2"/>
    </i>
    <i r="2">
      <x v="8"/>
    </i>
    <i r="2">
      <x v="9"/>
    </i>
    <i r="2">
      <x v="10"/>
    </i>
    <i r="2">
      <x v="11"/>
    </i>
    <i r="1">
      <x v="3"/>
    </i>
    <i r="2">
      <x v="12"/>
    </i>
    <i r="2">
      <x v="13"/>
    </i>
    <i r="2">
      <x v="14"/>
    </i>
    <i r="2">
      <x v="15"/>
    </i>
    <i>
      <x v="11"/>
    </i>
    <i r="1">
      <x/>
    </i>
    <i r="2">
      <x/>
    </i>
    <i r="2">
      <x v="1"/>
    </i>
    <i r="1">
      <x v="1"/>
    </i>
    <i r="2">
      <x v="2"/>
    </i>
    <i r="2">
      <x v="3"/>
    </i>
    <i r="2">
      <x v="4"/>
    </i>
    <i r="2">
      <x v="5"/>
    </i>
    <i r="2">
      <x v="6"/>
    </i>
    <i r="2">
      <x v="7"/>
    </i>
    <i r="1">
      <x v="2"/>
    </i>
    <i r="2">
      <x v="8"/>
    </i>
    <i r="2">
      <x v="9"/>
    </i>
    <i r="2">
      <x v="10"/>
    </i>
    <i r="2">
      <x v="11"/>
    </i>
    <i r="1">
      <x v="3"/>
    </i>
    <i r="2">
      <x v="12"/>
    </i>
    <i r="2">
      <x v="13"/>
    </i>
    <i r="2">
      <x v="14"/>
    </i>
    <i r="2">
      <x v="15"/>
    </i>
    <i>
      <x v="12"/>
    </i>
    <i r="1">
      <x/>
    </i>
    <i r="2">
      <x/>
    </i>
    <i r="2">
      <x v="1"/>
    </i>
    <i r="1">
      <x v="1"/>
    </i>
    <i r="2">
      <x v="2"/>
    </i>
    <i r="2">
      <x v="3"/>
    </i>
    <i r="2">
      <x v="4"/>
    </i>
    <i r="2">
      <x v="5"/>
    </i>
    <i r="2">
      <x v="6"/>
    </i>
    <i r="2">
      <x v="7"/>
    </i>
    <i r="1">
      <x v="2"/>
    </i>
    <i r="2">
      <x v="8"/>
    </i>
    <i r="2">
      <x v="9"/>
    </i>
    <i r="2">
      <x v="10"/>
    </i>
    <i r="2">
      <x v="11"/>
    </i>
    <i r="1">
      <x v="3"/>
    </i>
    <i r="2">
      <x v="12"/>
    </i>
    <i r="2">
      <x v="13"/>
    </i>
    <i r="2">
      <x v="14"/>
    </i>
    <i r="2">
      <x v="15"/>
    </i>
    <i>
      <x v="13"/>
    </i>
    <i r="1">
      <x/>
    </i>
    <i r="2">
      <x/>
    </i>
    <i r="2">
      <x v="1"/>
    </i>
    <i r="1">
      <x v="1"/>
    </i>
    <i r="2">
      <x v="2"/>
    </i>
    <i r="2">
      <x v="3"/>
    </i>
    <i r="2">
      <x v="4"/>
    </i>
    <i r="2">
      <x v="5"/>
    </i>
    <i r="2">
      <x v="6"/>
    </i>
    <i r="2">
      <x v="7"/>
    </i>
    <i r="1">
      <x v="2"/>
    </i>
    <i r="2">
      <x v="8"/>
    </i>
    <i r="2">
      <x v="9"/>
    </i>
    <i r="2">
      <x v="10"/>
    </i>
    <i r="2">
      <x v="11"/>
    </i>
    <i r="1">
      <x v="3"/>
    </i>
    <i r="2">
      <x v="12"/>
    </i>
    <i r="2">
      <x v="13"/>
    </i>
    <i r="2">
      <x v="14"/>
    </i>
    <i r="2">
      <x v="15"/>
    </i>
    <i>
      <x v="14"/>
    </i>
    <i r="1">
      <x/>
    </i>
    <i r="2">
      <x/>
    </i>
    <i r="2">
      <x v="1"/>
    </i>
    <i r="1">
      <x v="1"/>
    </i>
    <i r="2">
      <x v="2"/>
    </i>
    <i r="2">
      <x v="3"/>
    </i>
    <i r="2">
      <x v="4"/>
    </i>
    <i r="2">
      <x v="5"/>
    </i>
    <i r="2">
      <x v="6"/>
    </i>
    <i r="2">
      <x v="7"/>
    </i>
    <i r="1">
      <x v="2"/>
    </i>
    <i r="2">
      <x v="8"/>
    </i>
    <i r="2">
      <x v="9"/>
    </i>
    <i r="2">
      <x v="10"/>
    </i>
    <i r="2">
      <x v="11"/>
    </i>
    <i r="1">
      <x v="3"/>
    </i>
    <i r="2">
      <x v="12"/>
    </i>
    <i r="2">
      <x v="13"/>
    </i>
    <i r="2">
      <x v="14"/>
    </i>
    <i r="2">
      <x v="15"/>
    </i>
    <i>
      <x v="15"/>
    </i>
    <i r="1">
      <x/>
    </i>
    <i r="2">
      <x/>
    </i>
    <i r="2">
      <x v="1"/>
    </i>
    <i r="1">
      <x v="1"/>
    </i>
    <i r="2">
      <x v="2"/>
    </i>
    <i r="2">
      <x v="3"/>
    </i>
    <i r="2">
      <x v="4"/>
    </i>
    <i r="2">
      <x v="5"/>
    </i>
    <i r="2">
      <x v="6"/>
    </i>
    <i r="2">
      <x v="7"/>
    </i>
    <i r="1">
      <x v="2"/>
    </i>
    <i r="2">
      <x v="8"/>
    </i>
    <i r="2">
      <x v="9"/>
    </i>
    <i r="2">
      <x v="10"/>
    </i>
    <i r="2">
      <x v="11"/>
    </i>
    <i r="1">
      <x v="3"/>
    </i>
    <i r="2">
      <x v="12"/>
    </i>
    <i r="2">
      <x v="13"/>
    </i>
    <i r="2">
      <x v="14"/>
    </i>
    <i r="2">
      <x v="15"/>
    </i>
    <i>
      <x v="16"/>
    </i>
    <i r="1">
      <x/>
    </i>
    <i r="2">
      <x/>
    </i>
    <i r="2">
      <x v="1"/>
    </i>
    <i r="1">
      <x v="1"/>
    </i>
    <i r="2">
      <x v="2"/>
    </i>
    <i r="2">
      <x v="3"/>
    </i>
    <i r="2">
      <x v="4"/>
    </i>
    <i r="2">
      <x v="5"/>
    </i>
    <i r="2">
      <x v="6"/>
    </i>
    <i r="2">
      <x v="7"/>
    </i>
    <i r="1">
      <x v="2"/>
    </i>
    <i r="2">
      <x v="8"/>
    </i>
    <i r="2">
      <x v="9"/>
    </i>
    <i r="2">
      <x v="10"/>
    </i>
    <i r="2">
      <x v="11"/>
    </i>
    <i r="1">
      <x v="3"/>
    </i>
    <i r="2">
      <x v="12"/>
    </i>
    <i r="2">
      <x v="13"/>
    </i>
    <i r="2">
      <x v="14"/>
    </i>
    <i r="2">
      <x v="15"/>
    </i>
    <i>
      <x v="17"/>
    </i>
    <i r="1">
      <x/>
    </i>
    <i r="2">
      <x/>
    </i>
    <i r="2">
      <x v="1"/>
    </i>
    <i r="1">
      <x v="1"/>
    </i>
    <i r="2">
      <x v="2"/>
    </i>
    <i r="2">
      <x v="3"/>
    </i>
    <i r="2">
      <x v="4"/>
    </i>
    <i r="2">
      <x v="5"/>
    </i>
    <i r="2">
      <x v="6"/>
    </i>
    <i r="2">
      <x v="7"/>
    </i>
    <i r="1">
      <x v="2"/>
    </i>
    <i r="2">
      <x v="8"/>
    </i>
    <i r="2">
      <x v="9"/>
    </i>
    <i r="2">
      <x v="10"/>
    </i>
    <i r="2">
      <x v="11"/>
    </i>
    <i r="1">
      <x v="3"/>
    </i>
    <i r="2">
      <x v="12"/>
    </i>
    <i r="2">
      <x v="13"/>
    </i>
    <i r="2">
      <x v="14"/>
    </i>
    <i r="2">
      <x v="15"/>
    </i>
    <i>
      <x v="18"/>
    </i>
    <i r="1">
      <x/>
    </i>
    <i r="2">
      <x/>
    </i>
    <i r="2">
      <x v="1"/>
    </i>
    <i r="1">
      <x v="1"/>
    </i>
    <i r="2">
      <x v="2"/>
    </i>
    <i r="2">
      <x v="3"/>
    </i>
    <i r="2">
      <x v="4"/>
    </i>
    <i r="2">
      <x v="5"/>
    </i>
    <i r="2">
      <x v="6"/>
    </i>
    <i r="2">
      <x v="7"/>
    </i>
    <i r="1">
      <x v="2"/>
    </i>
    <i r="2">
      <x v="8"/>
    </i>
    <i r="2">
      <x v="9"/>
    </i>
    <i r="2">
      <x v="10"/>
    </i>
    <i r="2">
      <x v="11"/>
    </i>
    <i r="1">
      <x v="3"/>
    </i>
    <i r="2">
      <x v="12"/>
    </i>
    <i r="2">
      <x v="13"/>
    </i>
    <i r="2">
      <x v="14"/>
    </i>
    <i r="2">
      <x v="15"/>
    </i>
    <i>
      <x v="19"/>
    </i>
    <i r="1">
      <x/>
    </i>
    <i r="2">
      <x/>
    </i>
    <i r="2">
      <x v="1"/>
    </i>
    <i r="1">
      <x v="1"/>
    </i>
    <i r="2">
      <x v="2"/>
    </i>
    <i r="2">
      <x v="3"/>
    </i>
    <i r="2">
      <x v="4"/>
    </i>
    <i r="2">
      <x v="5"/>
    </i>
    <i r="2">
      <x v="6"/>
    </i>
    <i r="2">
      <x v="7"/>
    </i>
    <i r="1">
      <x v="2"/>
    </i>
    <i r="2">
      <x v="8"/>
    </i>
    <i r="2">
      <x v="9"/>
    </i>
    <i r="2">
      <x v="10"/>
    </i>
    <i r="2">
      <x v="11"/>
    </i>
    <i r="1">
      <x v="3"/>
    </i>
    <i r="2">
      <x v="12"/>
    </i>
    <i r="2">
      <x v="13"/>
    </i>
    <i r="2">
      <x v="14"/>
    </i>
    <i r="2">
      <x v="15"/>
    </i>
    <i>
      <x v="20"/>
    </i>
    <i r="1">
      <x/>
    </i>
    <i r="2">
      <x/>
    </i>
    <i r="2">
      <x v="1"/>
    </i>
    <i r="1">
      <x v="1"/>
    </i>
    <i r="2">
      <x v="2"/>
    </i>
    <i r="2">
      <x v="3"/>
    </i>
    <i r="2">
      <x v="4"/>
    </i>
    <i r="2">
      <x v="5"/>
    </i>
    <i r="2">
      <x v="6"/>
    </i>
    <i r="2">
      <x v="7"/>
    </i>
    <i r="1">
      <x v="2"/>
    </i>
    <i r="2">
      <x v="8"/>
    </i>
    <i r="2">
      <x v="9"/>
    </i>
    <i r="2">
      <x v="10"/>
    </i>
    <i r="2">
      <x v="11"/>
    </i>
    <i r="1">
      <x v="3"/>
    </i>
    <i r="2">
      <x v="12"/>
    </i>
    <i r="2">
      <x v="13"/>
    </i>
    <i r="2">
      <x v="14"/>
    </i>
    <i r="2">
      <x v="15"/>
    </i>
    <i>
      <x v="21"/>
    </i>
    <i r="1">
      <x/>
    </i>
    <i r="2">
      <x/>
    </i>
    <i r="2">
      <x v="1"/>
    </i>
    <i r="1">
      <x v="1"/>
    </i>
    <i r="2">
      <x v="2"/>
    </i>
    <i r="2">
      <x v="3"/>
    </i>
    <i r="2">
      <x v="4"/>
    </i>
    <i r="2">
      <x v="5"/>
    </i>
    <i r="2">
      <x v="6"/>
    </i>
    <i r="2">
      <x v="7"/>
    </i>
    <i r="1">
      <x v="2"/>
    </i>
    <i r="2">
      <x v="8"/>
    </i>
    <i r="2">
      <x v="9"/>
    </i>
    <i r="2">
      <x v="10"/>
    </i>
    <i r="2">
      <x v="11"/>
    </i>
    <i r="1">
      <x v="3"/>
    </i>
    <i r="2">
      <x v="12"/>
    </i>
    <i r="2">
      <x v="13"/>
    </i>
    <i r="2">
      <x v="14"/>
    </i>
    <i r="2">
      <x v="15"/>
    </i>
    <i>
      <x v="22"/>
    </i>
    <i r="1">
      <x/>
    </i>
    <i r="2">
      <x/>
    </i>
    <i r="2">
      <x v="1"/>
    </i>
    <i r="1">
      <x v="1"/>
    </i>
    <i r="2">
      <x v="2"/>
    </i>
    <i r="2">
      <x v="3"/>
    </i>
    <i r="2">
      <x v="4"/>
    </i>
    <i r="2">
      <x v="5"/>
    </i>
    <i r="2">
      <x v="6"/>
    </i>
    <i r="2">
      <x v="7"/>
    </i>
    <i r="1">
      <x v="2"/>
    </i>
    <i r="2">
      <x v="8"/>
    </i>
    <i r="2">
      <x v="9"/>
    </i>
    <i r="2">
      <x v="10"/>
    </i>
    <i r="2">
      <x v="11"/>
    </i>
    <i r="1">
      <x v="3"/>
    </i>
    <i r="2">
      <x v="12"/>
    </i>
    <i r="2">
      <x v="13"/>
    </i>
    <i r="2">
      <x v="14"/>
    </i>
    <i r="2">
      <x v="15"/>
    </i>
    <i>
      <x v="23"/>
    </i>
    <i r="1">
      <x/>
    </i>
    <i r="2">
      <x/>
    </i>
    <i r="2">
      <x v="1"/>
    </i>
    <i r="1">
      <x v="1"/>
    </i>
    <i r="2">
      <x v="2"/>
    </i>
    <i r="2">
      <x v="3"/>
    </i>
    <i r="2">
      <x v="4"/>
    </i>
    <i r="2">
      <x v="5"/>
    </i>
    <i r="2">
      <x v="6"/>
    </i>
    <i r="2">
      <x v="7"/>
    </i>
    <i r="1">
      <x v="2"/>
    </i>
    <i r="2">
      <x v="8"/>
    </i>
    <i r="2">
      <x v="9"/>
    </i>
    <i r="2">
      <x v="10"/>
    </i>
    <i r="2">
      <x v="11"/>
    </i>
    <i r="1">
      <x v="3"/>
    </i>
    <i r="2">
      <x v="12"/>
    </i>
    <i r="2">
      <x v="13"/>
    </i>
    <i r="2">
      <x v="14"/>
    </i>
    <i r="2">
      <x v="15"/>
    </i>
    <i>
      <x v="24"/>
    </i>
    <i r="1">
      <x/>
    </i>
    <i r="2">
      <x/>
    </i>
    <i r="2">
      <x v="1"/>
    </i>
    <i r="1">
      <x v="1"/>
    </i>
    <i r="2">
      <x v="2"/>
    </i>
    <i r="2">
      <x v="3"/>
    </i>
    <i r="2">
      <x v="4"/>
    </i>
    <i r="2">
      <x v="5"/>
    </i>
    <i r="2">
      <x v="6"/>
    </i>
    <i r="2">
      <x v="7"/>
    </i>
    <i r="1">
      <x v="2"/>
    </i>
    <i r="2">
      <x v="8"/>
    </i>
    <i r="2">
      <x v="9"/>
    </i>
    <i r="2">
      <x v="10"/>
    </i>
    <i r="2">
      <x v="11"/>
    </i>
    <i r="1">
      <x v="3"/>
    </i>
    <i r="2">
      <x v="12"/>
    </i>
    <i r="2">
      <x v="13"/>
    </i>
    <i r="2">
      <x v="14"/>
    </i>
    <i r="2">
      <x v="15"/>
    </i>
    <i>
      <x v="25"/>
    </i>
    <i r="1">
      <x/>
    </i>
    <i r="2">
      <x/>
    </i>
    <i r="2">
      <x v="1"/>
    </i>
    <i r="1">
      <x v="1"/>
    </i>
    <i r="2">
      <x v="2"/>
    </i>
    <i r="2">
      <x v="3"/>
    </i>
    <i r="2">
      <x v="4"/>
    </i>
    <i r="2">
      <x v="5"/>
    </i>
    <i r="2">
      <x v="6"/>
    </i>
    <i r="2">
      <x v="7"/>
    </i>
    <i r="1">
      <x v="2"/>
    </i>
    <i r="2">
      <x v="8"/>
    </i>
    <i r="2">
      <x v="9"/>
    </i>
    <i r="2">
      <x v="10"/>
    </i>
    <i r="2">
      <x v="11"/>
    </i>
    <i r="1">
      <x v="3"/>
    </i>
    <i r="2">
      <x v="12"/>
    </i>
    <i r="2">
      <x v="13"/>
    </i>
    <i r="2">
      <x v="14"/>
    </i>
    <i r="2">
      <x v="15"/>
    </i>
    <i>
      <x v="26"/>
    </i>
    <i r="1">
      <x/>
    </i>
    <i r="2">
      <x/>
    </i>
    <i r="2">
      <x v="1"/>
    </i>
    <i r="1">
      <x v="1"/>
    </i>
    <i r="2">
      <x v="2"/>
    </i>
    <i r="2">
      <x v="3"/>
    </i>
    <i r="2">
      <x v="4"/>
    </i>
    <i r="2">
      <x v="5"/>
    </i>
    <i r="2">
      <x v="6"/>
    </i>
    <i r="2">
      <x v="7"/>
    </i>
    <i r="1">
      <x v="2"/>
    </i>
    <i r="2">
      <x v="8"/>
    </i>
    <i r="2">
      <x v="9"/>
    </i>
    <i r="2">
      <x v="10"/>
    </i>
    <i r="2">
      <x v="11"/>
    </i>
    <i r="1">
      <x v="3"/>
    </i>
    <i r="2">
      <x v="12"/>
    </i>
    <i r="2">
      <x v="13"/>
    </i>
    <i r="2">
      <x v="14"/>
    </i>
    <i r="2">
      <x v="15"/>
    </i>
    <i>
      <x v="27"/>
    </i>
    <i r="1">
      <x/>
    </i>
    <i r="2">
      <x/>
    </i>
    <i r="2">
      <x v="1"/>
    </i>
    <i r="1">
      <x v="1"/>
    </i>
    <i r="2">
      <x v="2"/>
    </i>
    <i r="2">
      <x v="3"/>
    </i>
    <i r="2">
      <x v="4"/>
    </i>
    <i r="2">
      <x v="5"/>
    </i>
    <i r="2">
      <x v="6"/>
    </i>
    <i r="2">
      <x v="7"/>
    </i>
    <i r="1">
      <x v="2"/>
    </i>
    <i r="2">
      <x v="8"/>
    </i>
    <i r="2">
      <x v="9"/>
    </i>
    <i r="2">
      <x v="10"/>
    </i>
    <i r="2">
      <x v="11"/>
    </i>
    <i r="1">
      <x v="3"/>
    </i>
    <i r="2">
      <x v="12"/>
    </i>
    <i r="2">
      <x v="13"/>
    </i>
    <i r="2">
      <x v="14"/>
    </i>
    <i r="2">
      <x v="15"/>
    </i>
    <i>
      <x v="28"/>
    </i>
    <i r="1">
      <x/>
    </i>
    <i r="2">
      <x/>
    </i>
    <i r="2">
      <x v="1"/>
    </i>
    <i r="1">
      <x v="1"/>
    </i>
    <i r="2">
      <x v="2"/>
    </i>
    <i r="2">
      <x v="3"/>
    </i>
    <i r="2">
      <x v="4"/>
    </i>
    <i r="2">
      <x v="5"/>
    </i>
    <i r="2">
      <x v="6"/>
    </i>
    <i r="2">
      <x v="7"/>
    </i>
    <i r="1">
      <x v="2"/>
    </i>
    <i r="2">
      <x v="8"/>
    </i>
    <i r="2">
      <x v="9"/>
    </i>
    <i r="2">
      <x v="10"/>
    </i>
    <i r="2">
      <x v="11"/>
    </i>
    <i r="1">
      <x v="3"/>
    </i>
    <i r="2">
      <x v="12"/>
    </i>
    <i r="2">
      <x v="13"/>
    </i>
    <i r="2">
      <x v="14"/>
    </i>
    <i r="2">
      <x v="15"/>
    </i>
    <i>
      <x v="29"/>
    </i>
    <i r="1">
      <x/>
    </i>
    <i r="2">
      <x/>
    </i>
    <i r="2">
      <x v="1"/>
    </i>
    <i r="1">
      <x v="1"/>
    </i>
    <i r="2">
      <x v="2"/>
    </i>
    <i r="2">
      <x v="3"/>
    </i>
    <i r="2">
      <x v="4"/>
    </i>
    <i r="2">
      <x v="5"/>
    </i>
    <i r="2">
      <x v="6"/>
    </i>
    <i r="2">
      <x v="7"/>
    </i>
    <i r="1">
      <x v="2"/>
    </i>
    <i r="2">
      <x v="8"/>
    </i>
    <i r="2">
      <x v="9"/>
    </i>
    <i r="2">
      <x v="10"/>
    </i>
    <i r="2">
      <x v="11"/>
    </i>
    <i r="1">
      <x v="3"/>
    </i>
    <i r="2">
      <x v="12"/>
    </i>
    <i r="2">
      <x v="13"/>
    </i>
    <i r="2">
      <x v="14"/>
    </i>
    <i r="2">
      <x v="15"/>
    </i>
    <i>
      <x v="30"/>
    </i>
    <i r="1">
      <x/>
    </i>
    <i r="2">
      <x/>
    </i>
    <i r="2">
      <x v="1"/>
    </i>
    <i r="1">
      <x v="1"/>
    </i>
    <i r="2">
      <x v="2"/>
    </i>
    <i r="2">
      <x v="3"/>
    </i>
    <i r="2">
      <x v="4"/>
    </i>
    <i r="2">
      <x v="5"/>
    </i>
    <i r="2">
      <x v="6"/>
    </i>
    <i r="2">
      <x v="7"/>
    </i>
    <i r="1">
      <x v="2"/>
    </i>
    <i r="2">
      <x v="8"/>
    </i>
    <i r="2">
      <x v="9"/>
    </i>
    <i r="2">
      <x v="10"/>
    </i>
    <i r="2">
      <x v="11"/>
    </i>
    <i r="1">
      <x v="3"/>
    </i>
    <i r="2">
      <x v="12"/>
    </i>
    <i r="2">
      <x v="13"/>
    </i>
    <i r="2">
      <x v="14"/>
    </i>
    <i r="2">
      <x v="15"/>
    </i>
    <i>
      <x v="31"/>
    </i>
    <i r="1">
      <x/>
    </i>
    <i r="2">
      <x/>
    </i>
    <i r="2">
      <x v="1"/>
    </i>
    <i r="1">
      <x v="1"/>
    </i>
    <i r="2">
      <x v="2"/>
    </i>
    <i r="2">
      <x v="3"/>
    </i>
    <i r="2">
      <x v="4"/>
    </i>
    <i r="2">
      <x v="5"/>
    </i>
    <i r="2">
      <x v="6"/>
    </i>
    <i r="2">
      <x v="7"/>
    </i>
    <i r="1">
      <x v="2"/>
    </i>
    <i r="2">
      <x v="8"/>
    </i>
    <i r="2">
      <x v="9"/>
    </i>
    <i r="2">
      <x v="10"/>
    </i>
    <i r="2">
      <x v="11"/>
    </i>
    <i r="1">
      <x v="3"/>
    </i>
    <i r="2">
      <x v="12"/>
    </i>
    <i r="2">
      <x v="13"/>
    </i>
    <i r="2">
      <x v="14"/>
    </i>
    <i r="2">
      <x v="15"/>
    </i>
    <i>
      <x v="32"/>
    </i>
    <i r="1">
      <x/>
    </i>
    <i r="2">
      <x/>
    </i>
    <i r="2">
      <x v="1"/>
    </i>
    <i r="1">
      <x v="1"/>
    </i>
    <i r="2">
      <x v="2"/>
    </i>
    <i r="2">
      <x v="3"/>
    </i>
    <i r="2">
      <x v="4"/>
    </i>
    <i r="2">
      <x v="5"/>
    </i>
    <i r="2">
      <x v="6"/>
    </i>
    <i r="2">
      <x v="7"/>
    </i>
    <i r="1">
      <x v="2"/>
    </i>
    <i r="2">
      <x v="8"/>
    </i>
    <i r="2">
      <x v="9"/>
    </i>
    <i r="2">
      <x v="10"/>
    </i>
    <i r="2">
      <x v="11"/>
    </i>
    <i r="1">
      <x v="3"/>
    </i>
    <i r="2">
      <x v="12"/>
    </i>
    <i r="2">
      <x v="13"/>
    </i>
    <i r="2">
      <x v="14"/>
    </i>
    <i r="2">
      <x v="15"/>
    </i>
    <i>
      <x v="33"/>
    </i>
    <i r="1">
      <x/>
    </i>
    <i r="2">
      <x/>
    </i>
    <i r="2">
      <x v="1"/>
    </i>
    <i r="1">
      <x v="1"/>
    </i>
    <i r="2">
      <x v="2"/>
    </i>
    <i r="2">
      <x v="3"/>
    </i>
    <i r="2">
      <x v="4"/>
    </i>
    <i r="2">
      <x v="5"/>
    </i>
    <i r="2">
      <x v="6"/>
    </i>
    <i r="2">
      <x v="7"/>
    </i>
    <i r="1">
      <x v="2"/>
    </i>
    <i r="2">
      <x v="8"/>
    </i>
    <i r="2">
      <x v="9"/>
    </i>
    <i r="2">
      <x v="10"/>
    </i>
    <i r="2">
      <x v="11"/>
    </i>
    <i r="1">
      <x v="3"/>
    </i>
    <i r="2">
      <x v="12"/>
    </i>
    <i r="2">
      <x v="13"/>
    </i>
    <i r="2">
      <x v="14"/>
    </i>
    <i r="2">
      <x v="15"/>
    </i>
    <i>
      <x v="34"/>
    </i>
    <i r="1">
      <x/>
    </i>
    <i r="2">
      <x/>
    </i>
    <i r="2">
      <x v="1"/>
    </i>
    <i r="1">
      <x v="1"/>
    </i>
    <i r="2">
      <x v="2"/>
    </i>
    <i r="2">
      <x v="3"/>
    </i>
    <i r="2">
      <x v="4"/>
    </i>
    <i r="2">
      <x v="5"/>
    </i>
    <i r="2">
      <x v="6"/>
    </i>
    <i r="2">
      <x v="7"/>
    </i>
    <i r="1">
      <x v="2"/>
    </i>
    <i r="2">
      <x v="8"/>
    </i>
    <i r="2">
      <x v="9"/>
    </i>
    <i r="2">
      <x v="10"/>
    </i>
    <i r="2">
      <x v="11"/>
    </i>
    <i r="1">
      <x v="3"/>
    </i>
    <i r="2">
      <x v="12"/>
    </i>
    <i r="2">
      <x v="13"/>
    </i>
    <i r="2">
      <x v="14"/>
    </i>
    <i r="2">
      <x v="15"/>
    </i>
    <i>
      <x v="35"/>
    </i>
    <i r="1">
      <x/>
    </i>
    <i r="2">
      <x/>
    </i>
    <i r="2">
      <x v="1"/>
    </i>
    <i r="1">
      <x v="1"/>
    </i>
    <i r="2">
      <x v="2"/>
    </i>
    <i r="2">
      <x v="3"/>
    </i>
    <i r="2">
      <x v="4"/>
    </i>
    <i r="2">
      <x v="5"/>
    </i>
    <i r="2">
      <x v="6"/>
    </i>
    <i r="2">
      <x v="7"/>
    </i>
    <i r="1">
      <x v="2"/>
    </i>
    <i r="2">
      <x v="8"/>
    </i>
    <i r="2">
      <x v="9"/>
    </i>
    <i r="2">
      <x v="10"/>
    </i>
    <i r="2">
      <x v="11"/>
    </i>
    <i r="1">
      <x v="3"/>
    </i>
    <i r="2">
      <x v="12"/>
    </i>
    <i r="2">
      <x v="13"/>
    </i>
    <i r="2">
      <x v="14"/>
    </i>
    <i r="2">
      <x v="15"/>
    </i>
    <i>
      <x v="36"/>
    </i>
    <i r="1">
      <x/>
    </i>
    <i r="2">
      <x/>
    </i>
    <i r="2">
      <x v="1"/>
    </i>
    <i r="1">
      <x v="1"/>
    </i>
    <i r="2">
      <x v="2"/>
    </i>
    <i r="2">
      <x v="3"/>
    </i>
    <i r="2">
      <x v="4"/>
    </i>
    <i r="2">
      <x v="5"/>
    </i>
    <i r="2">
      <x v="6"/>
    </i>
    <i r="2">
      <x v="7"/>
    </i>
    <i r="1">
      <x v="2"/>
    </i>
    <i r="2">
      <x v="8"/>
    </i>
    <i r="2">
      <x v="9"/>
    </i>
    <i r="2">
      <x v="10"/>
    </i>
    <i r="2">
      <x v="11"/>
    </i>
    <i r="1">
      <x v="3"/>
    </i>
    <i r="2">
      <x v="12"/>
    </i>
    <i r="2">
      <x v="13"/>
    </i>
    <i r="2">
      <x v="14"/>
    </i>
    <i r="2">
      <x v="15"/>
    </i>
    <i>
      <x v="37"/>
    </i>
    <i r="1">
      <x/>
    </i>
    <i r="2">
      <x/>
    </i>
    <i r="2">
      <x v="1"/>
    </i>
    <i r="1">
      <x v="1"/>
    </i>
    <i r="2">
      <x v="2"/>
    </i>
    <i r="2">
      <x v="3"/>
    </i>
    <i r="2">
      <x v="4"/>
    </i>
    <i r="2">
      <x v="5"/>
    </i>
    <i r="2">
      <x v="6"/>
    </i>
    <i r="2">
      <x v="7"/>
    </i>
    <i r="1">
      <x v="2"/>
    </i>
    <i r="2">
      <x v="8"/>
    </i>
    <i r="2">
      <x v="9"/>
    </i>
    <i r="2">
      <x v="10"/>
    </i>
    <i r="2">
      <x v="11"/>
    </i>
    <i r="1">
      <x v="3"/>
    </i>
    <i r="2">
      <x v="12"/>
    </i>
    <i r="2">
      <x v="13"/>
    </i>
    <i r="2">
      <x v="14"/>
    </i>
    <i r="2">
      <x v="15"/>
    </i>
    <i>
      <x v="38"/>
    </i>
    <i r="1">
      <x/>
    </i>
    <i r="2">
      <x/>
    </i>
    <i r="2">
      <x v="1"/>
    </i>
    <i r="1">
      <x v="1"/>
    </i>
    <i r="2">
      <x v="2"/>
    </i>
    <i r="2">
      <x v="3"/>
    </i>
    <i r="2">
      <x v="4"/>
    </i>
    <i r="2">
      <x v="5"/>
    </i>
    <i r="2">
      <x v="6"/>
    </i>
    <i r="2">
      <x v="7"/>
    </i>
    <i r="1">
      <x v="2"/>
    </i>
    <i r="2">
      <x v="8"/>
    </i>
    <i r="2">
      <x v="9"/>
    </i>
    <i r="2">
      <x v="10"/>
    </i>
    <i r="2">
      <x v="11"/>
    </i>
    <i r="1">
      <x v="3"/>
    </i>
    <i r="2">
      <x v="12"/>
    </i>
    <i r="2">
      <x v="13"/>
    </i>
    <i r="2">
      <x v="14"/>
    </i>
    <i r="2">
      <x v="15"/>
    </i>
    <i>
      <x v="39"/>
    </i>
    <i r="1">
      <x/>
    </i>
    <i r="2">
      <x/>
    </i>
    <i r="2">
      <x v="1"/>
    </i>
    <i r="1">
      <x v="1"/>
    </i>
    <i r="2">
      <x v="2"/>
    </i>
    <i r="2">
      <x v="3"/>
    </i>
    <i r="2">
      <x v="4"/>
    </i>
    <i r="2">
      <x v="5"/>
    </i>
    <i r="2">
      <x v="6"/>
    </i>
    <i r="2">
      <x v="7"/>
    </i>
    <i r="1">
      <x v="2"/>
    </i>
    <i r="2">
      <x v="8"/>
    </i>
    <i r="2">
      <x v="9"/>
    </i>
    <i r="2">
      <x v="10"/>
    </i>
    <i r="2">
      <x v="11"/>
    </i>
    <i r="1">
      <x v="3"/>
    </i>
    <i r="2">
      <x v="12"/>
    </i>
    <i r="2">
      <x v="13"/>
    </i>
    <i r="2">
      <x v="14"/>
    </i>
    <i r="2">
      <x v="15"/>
    </i>
    <i>
      <x v="40"/>
    </i>
    <i r="1">
      <x/>
    </i>
    <i r="2">
      <x/>
    </i>
    <i r="2">
      <x v="1"/>
    </i>
    <i r="1">
      <x v="1"/>
    </i>
    <i r="2">
      <x v="2"/>
    </i>
    <i r="2">
      <x v="3"/>
    </i>
    <i r="2">
      <x v="4"/>
    </i>
    <i r="2">
      <x v="5"/>
    </i>
    <i r="2">
      <x v="6"/>
    </i>
    <i r="2">
      <x v="7"/>
    </i>
    <i r="1">
      <x v="2"/>
    </i>
    <i r="2">
      <x v="8"/>
    </i>
    <i r="2">
      <x v="9"/>
    </i>
    <i r="2">
      <x v="10"/>
    </i>
    <i r="2">
      <x v="11"/>
    </i>
    <i r="1">
      <x v="3"/>
    </i>
    <i r="2">
      <x v="12"/>
    </i>
    <i r="2">
      <x v="13"/>
    </i>
    <i r="2">
      <x v="14"/>
    </i>
    <i r="2">
      <x v="15"/>
    </i>
    <i>
      <x v="41"/>
    </i>
    <i r="1">
      <x/>
    </i>
    <i r="2">
      <x/>
    </i>
    <i r="2">
      <x v="1"/>
    </i>
    <i r="1">
      <x v="1"/>
    </i>
    <i r="2">
      <x v="2"/>
    </i>
    <i r="2">
      <x v="3"/>
    </i>
    <i r="2">
      <x v="4"/>
    </i>
    <i r="2">
      <x v="5"/>
    </i>
    <i r="2">
      <x v="6"/>
    </i>
    <i r="2">
      <x v="7"/>
    </i>
    <i r="1">
      <x v="2"/>
    </i>
    <i r="2">
      <x v="8"/>
    </i>
    <i r="2">
      <x v="9"/>
    </i>
    <i r="2">
      <x v="10"/>
    </i>
    <i r="2">
      <x v="11"/>
    </i>
    <i r="1">
      <x v="3"/>
    </i>
    <i r="2">
      <x v="12"/>
    </i>
    <i r="2">
      <x v="13"/>
    </i>
    <i r="2">
      <x v="14"/>
    </i>
    <i r="2">
      <x v="15"/>
    </i>
    <i>
      <x v="42"/>
    </i>
    <i r="1">
      <x/>
    </i>
    <i r="2">
      <x/>
    </i>
    <i r="2">
      <x v="1"/>
    </i>
    <i r="1">
      <x v="1"/>
    </i>
    <i r="2">
      <x v="2"/>
    </i>
    <i r="2">
      <x v="3"/>
    </i>
    <i r="2">
      <x v="4"/>
    </i>
    <i r="2">
      <x v="5"/>
    </i>
    <i r="2">
      <x v="6"/>
    </i>
    <i r="2">
      <x v="7"/>
    </i>
    <i r="1">
      <x v="2"/>
    </i>
    <i r="2">
      <x v="8"/>
    </i>
    <i r="2">
      <x v="9"/>
    </i>
    <i r="2">
      <x v="10"/>
    </i>
    <i r="2">
      <x v="11"/>
    </i>
    <i r="1">
      <x v="3"/>
    </i>
    <i r="2">
      <x v="12"/>
    </i>
    <i r="2">
      <x v="13"/>
    </i>
    <i r="2">
      <x v="14"/>
    </i>
    <i r="2">
      <x v="15"/>
    </i>
    <i>
      <x v="43"/>
    </i>
    <i r="1">
      <x/>
    </i>
    <i r="2">
      <x/>
    </i>
    <i r="2">
      <x v="1"/>
    </i>
    <i r="1">
      <x v="1"/>
    </i>
    <i r="2">
      <x v="2"/>
    </i>
    <i r="2">
      <x v="3"/>
    </i>
    <i r="2">
      <x v="4"/>
    </i>
    <i r="2">
      <x v="5"/>
    </i>
    <i r="2">
      <x v="6"/>
    </i>
    <i r="2">
      <x v="7"/>
    </i>
    <i r="1">
      <x v="2"/>
    </i>
    <i r="2">
      <x v="8"/>
    </i>
    <i r="2">
      <x v="9"/>
    </i>
    <i r="2">
      <x v="10"/>
    </i>
    <i r="2">
      <x v="11"/>
    </i>
    <i r="1">
      <x v="3"/>
    </i>
    <i r="2">
      <x v="12"/>
    </i>
    <i r="2">
      <x v="13"/>
    </i>
    <i r="2">
      <x v="14"/>
    </i>
    <i r="2">
      <x v="15"/>
    </i>
    <i>
      <x v="44"/>
    </i>
    <i r="1">
      <x/>
    </i>
    <i r="2">
      <x/>
    </i>
    <i r="2">
      <x v="1"/>
    </i>
    <i r="1">
      <x v="1"/>
    </i>
    <i r="2">
      <x v="2"/>
    </i>
    <i r="2">
      <x v="3"/>
    </i>
    <i r="2">
      <x v="4"/>
    </i>
    <i r="2">
      <x v="5"/>
    </i>
    <i r="2">
      <x v="6"/>
    </i>
    <i r="2">
      <x v="7"/>
    </i>
    <i r="1">
      <x v="2"/>
    </i>
    <i r="2">
      <x v="8"/>
    </i>
    <i r="2">
      <x v="9"/>
    </i>
    <i r="2">
      <x v="10"/>
    </i>
    <i r="2">
      <x v="11"/>
    </i>
    <i r="1">
      <x v="3"/>
    </i>
    <i r="2">
      <x v="12"/>
    </i>
    <i r="2">
      <x v="13"/>
    </i>
    <i r="2">
      <x v="14"/>
    </i>
    <i r="2">
      <x v="15"/>
    </i>
    <i>
      <x v="45"/>
    </i>
    <i r="1">
      <x/>
    </i>
    <i r="2">
      <x/>
    </i>
    <i r="2">
      <x v="1"/>
    </i>
    <i r="1">
      <x v="1"/>
    </i>
    <i r="2">
      <x v="2"/>
    </i>
    <i r="2">
      <x v="3"/>
    </i>
    <i r="2">
      <x v="4"/>
    </i>
    <i r="2">
      <x v="5"/>
    </i>
    <i r="2">
      <x v="6"/>
    </i>
    <i r="2">
      <x v="7"/>
    </i>
    <i r="1">
      <x v="2"/>
    </i>
    <i r="2">
      <x v="8"/>
    </i>
    <i r="2">
      <x v="9"/>
    </i>
    <i r="2">
      <x v="10"/>
    </i>
    <i r="2">
      <x v="11"/>
    </i>
    <i r="1">
      <x v="3"/>
    </i>
    <i r="2">
      <x v="12"/>
    </i>
    <i r="2">
      <x v="13"/>
    </i>
    <i r="2">
      <x v="14"/>
    </i>
    <i r="2">
      <x v="15"/>
    </i>
    <i>
      <x v="46"/>
    </i>
    <i r="1">
      <x/>
    </i>
    <i r="2">
      <x/>
    </i>
    <i r="2">
      <x v="1"/>
    </i>
    <i r="1">
      <x v="1"/>
    </i>
    <i r="2">
      <x v="2"/>
    </i>
    <i r="2">
      <x v="3"/>
    </i>
    <i r="2">
      <x v="4"/>
    </i>
    <i r="2">
      <x v="5"/>
    </i>
    <i r="2">
      <x v="6"/>
    </i>
    <i r="2">
      <x v="7"/>
    </i>
    <i r="1">
      <x v="2"/>
    </i>
    <i r="2">
      <x v="8"/>
    </i>
    <i r="2">
      <x v="9"/>
    </i>
    <i r="2">
      <x v="10"/>
    </i>
    <i r="2">
      <x v="11"/>
    </i>
    <i r="1">
      <x v="3"/>
    </i>
    <i r="2">
      <x v="12"/>
    </i>
    <i r="2">
      <x v="13"/>
    </i>
    <i r="2">
      <x v="14"/>
    </i>
    <i r="2">
      <x v="15"/>
    </i>
    <i>
      <x v="47"/>
    </i>
    <i r="1">
      <x/>
    </i>
    <i r="2">
      <x/>
    </i>
    <i r="2">
      <x v="1"/>
    </i>
    <i r="1">
      <x v="1"/>
    </i>
    <i r="2">
      <x v="2"/>
    </i>
    <i r="2">
      <x v="3"/>
    </i>
    <i r="2">
      <x v="4"/>
    </i>
    <i r="2">
      <x v="5"/>
    </i>
    <i r="2">
      <x v="6"/>
    </i>
    <i r="2">
      <x v="7"/>
    </i>
    <i r="1">
      <x v="2"/>
    </i>
    <i r="2">
      <x v="8"/>
    </i>
    <i r="2">
      <x v="9"/>
    </i>
    <i r="2">
      <x v="10"/>
    </i>
    <i r="2">
      <x v="11"/>
    </i>
    <i r="1">
      <x v="3"/>
    </i>
    <i r="2">
      <x v="12"/>
    </i>
    <i r="2">
      <x v="13"/>
    </i>
    <i r="2">
      <x v="14"/>
    </i>
    <i r="2">
      <x v="15"/>
    </i>
    <i>
      <x v="48"/>
    </i>
    <i r="1">
      <x/>
    </i>
    <i r="2">
      <x/>
    </i>
    <i r="2">
      <x v="1"/>
    </i>
    <i r="1">
      <x v="1"/>
    </i>
    <i r="2">
      <x v="2"/>
    </i>
    <i r="2">
      <x v="3"/>
    </i>
    <i r="2">
      <x v="4"/>
    </i>
    <i r="2">
      <x v="5"/>
    </i>
    <i r="2">
      <x v="6"/>
    </i>
    <i r="2">
      <x v="7"/>
    </i>
    <i r="1">
      <x v="2"/>
    </i>
    <i r="2">
      <x v="8"/>
    </i>
    <i r="2">
      <x v="9"/>
    </i>
    <i r="2">
      <x v="10"/>
    </i>
    <i r="2">
      <x v="11"/>
    </i>
    <i r="1">
      <x v="3"/>
    </i>
    <i r="2">
      <x v="12"/>
    </i>
    <i r="2">
      <x v="13"/>
    </i>
    <i r="2">
      <x v="14"/>
    </i>
    <i r="2">
      <x v="15"/>
    </i>
    <i>
      <x v="49"/>
    </i>
    <i r="1">
      <x/>
    </i>
    <i r="2">
      <x/>
    </i>
    <i r="2">
      <x v="1"/>
    </i>
    <i r="1">
      <x v="1"/>
    </i>
    <i r="2">
      <x v="2"/>
    </i>
    <i r="2">
      <x v="3"/>
    </i>
    <i r="2">
      <x v="4"/>
    </i>
    <i r="2">
      <x v="5"/>
    </i>
    <i r="2">
      <x v="6"/>
    </i>
    <i r="2">
      <x v="7"/>
    </i>
    <i r="1">
      <x v="2"/>
    </i>
    <i r="2">
      <x v="8"/>
    </i>
    <i r="2">
      <x v="9"/>
    </i>
    <i r="2">
      <x v="10"/>
    </i>
    <i r="2">
      <x v="11"/>
    </i>
    <i r="1">
      <x v="3"/>
    </i>
    <i r="2">
      <x v="12"/>
    </i>
    <i r="2">
      <x v="13"/>
    </i>
    <i r="2">
      <x v="14"/>
    </i>
    <i r="2">
      <x v="15"/>
    </i>
    <i>
      <x v="50"/>
    </i>
    <i r="1">
      <x/>
    </i>
    <i r="2">
      <x/>
    </i>
    <i r="2">
      <x v="1"/>
    </i>
    <i r="1">
      <x v="1"/>
    </i>
    <i r="2">
      <x v="2"/>
    </i>
    <i r="2">
      <x v="3"/>
    </i>
    <i r="2">
      <x v="4"/>
    </i>
    <i r="2">
      <x v="5"/>
    </i>
    <i r="2">
      <x v="6"/>
    </i>
    <i r="2">
      <x v="7"/>
    </i>
    <i r="1">
      <x v="2"/>
    </i>
    <i r="2">
      <x v="8"/>
    </i>
    <i r="2">
      <x v="9"/>
    </i>
    <i r="2">
      <x v="10"/>
    </i>
    <i r="2">
      <x v="11"/>
    </i>
    <i r="1">
      <x v="3"/>
    </i>
    <i r="2">
      <x v="12"/>
    </i>
    <i r="2">
      <x v="13"/>
    </i>
    <i r="2">
      <x v="14"/>
    </i>
    <i r="2">
      <x v="15"/>
    </i>
    <i>
      <x v="51"/>
    </i>
    <i r="1">
      <x/>
    </i>
    <i r="2">
      <x/>
    </i>
    <i r="2">
      <x v="1"/>
    </i>
    <i r="1">
      <x v="1"/>
    </i>
    <i r="2">
      <x v="2"/>
    </i>
    <i r="2">
      <x v="3"/>
    </i>
    <i r="2">
      <x v="4"/>
    </i>
    <i r="2">
      <x v="5"/>
    </i>
    <i r="2">
      <x v="6"/>
    </i>
    <i r="2">
      <x v="7"/>
    </i>
    <i r="1">
      <x v="2"/>
    </i>
    <i r="2">
      <x v="8"/>
    </i>
    <i r="2">
      <x v="9"/>
    </i>
    <i r="2">
      <x v="10"/>
    </i>
    <i r="2">
      <x v="11"/>
    </i>
    <i r="1">
      <x v="3"/>
    </i>
    <i r="2">
      <x v="12"/>
    </i>
    <i r="2">
      <x v="13"/>
    </i>
    <i r="2">
      <x v="14"/>
    </i>
    <i r="2">
      <x v="15"/>
    </i>
    <i>
      <x v="52"/>
    </i>
    <i r="1">
      <x/>
    </i>
    <i r="2">
      <x/>
    </i>
    <i r="2">
      <x v="1"/>
    </i>
    <i r="1">
      <x v="1"/>
    </i>
    <i r="2">
      <x v="2"/>
    </i>
    <i r="2">
      <x v="3"/>
    </i>
    <i r="2">
      <x v="4"/>
    </i>
    <i r="2">
      <x v="5"/>
    </i>
    <i r="2">
      <x v="6"/>
    </i>
    <i r="2">
      <x v="7"/>
    </i>
    <i r="1">
      <x v="2"/>
    </i>
    <i r="2">
      <x v="8"/>
    </i>
    <i r="2">
      <x v="9"/>
    </i>
    <i r="2">
      <x v="10"/>
    </i>
    <i r="2">
      <x v="11"/>
    </i>
    <i r="1">
      <x v="3"/>
    </i>
    <i r="2">
      <x v="12"/>
    </i>
    <i r="2">
      <x v="13"/>
    </i>
    <i r="2">
      <x v="14"/>
    </i>
    <i r="2">
      <x v="15"/>
    </i>
    <i>
      <x v="53"/>
    </i>
    <i r="1">
      <x/>
    </i>
    <i r="2">
      <x/>
    </i>
    <i r="2">
      <x v="1"/>
    </i>
    <i r="1">
      <x v="1"/>
    </i>
    <i r="2">
      <x v="2"/>
    </i>
    <i r="2">
      <x v="3"/>
    </i>
    <i r="2">
      <x v="4"/>
    </i>
    <i r="2">
      <x v="5"/>
    </i>
    <i r="2">
      <x v="6"/>
    </i>
    <i r="2">
      <x v="7"/>
    </i>
    <i r="1">
      <x v="2"/>
    </i>
    <i r="2">
      <x v="8"/>
    </i>
    <i r="2">
      <x v="9"/>
    </i>
    <i r="2">
      <x v="10"/>
    </i>
    <i r="2">
      <x v="11"/>
    </i>
    <i r="1">
      <x v="3"/>
    </i>
    <i r="2">
      <x v="12"/>
    </i>
    <i r="2">
      <x v="13"/>
    </i>
    <i r="2">
      <x v="14"/>
    </i>
    <i r="2">
      <x v="15"/>
    </i>
    <i>
      <x v="54"/>
    </i>
    <i r="1">
      <x/>
    </i>
    <i r="2">
      <x/>
    </i>
    <i r="2">
      <x v="1"/>
    </i>
    <i r="1">
      <x v="1"/>
    </i>
    <i r="2">
      <x v="2"/>
    </i>
    <i r="2">
      <x v="3"/>
    </i>
    <i r="2">
      <x v="4"/>
    </i>
    <i r="2">
      <x v="5"/>
    </i>
    <i r="2">
      <x v="6"/>
    </i>
    <i r="2">
      <x v="7"/>
    </i>
    <i r="1">
      <x v="2"/>
    </i>
    <i r="2">
      <x v="8"/>
    </i>
    <i r="2">
      <x v="9"/>
    </i>
    <i r="2">
      <x v="10"/>
    </i>
    <i r="2">
      <x v="11"/>
    </i>
    <i r="1">
      <x v="3"/>
    </i>
    <i r="2">
      <x v="12"/>
    </i>
    <i r="2">
      <x v="13"/>
    </i>
    <i r="2">
      <x v="14"/>
    </i>
    <i r="2">
      <x v="15"/>
    </i>
    <i>
      <x v="55"/>
    </i>
    <i r="1">
      <x/>
    </i>
    <i r="2">
      <x/>
    </i>
    <i r="2">
      <x v="1"/>
    </i>
    <i r="1">
      <x v="1"/>
    </i>
    <i r="2">
      <x v="2"/>
    </i>
    <i r="2">
      <x v="3"/>
    </i>
    <i r="2">
      <x v="4"/>
    </i>
    <i r="2">
      <x v="5"/>
    </i>
    <i r="2">
      <x v="6"/>
    </i>
    <i r="2">
      <x v="7"/>
    </i>
    <i r="1">
      <x v="2"/>
    </i>
    <i r="2">
      <x v="8"/>
    </i>
    <i r="2">
      <x v="9"/>
    </i>
    <i r="2">
      <x v="10"/>
    </i>
    <i r="2">
      <x v="11"/>
    </i>
    <i r="1">
      <x v="3"/>
    </i>
    <i r="2">
      <x v="12"/>
    </i>
    <i r="2">
      <x v="13"/>
    </i>
    <i r="2">
      <x v="14"/>
    </i>
    <i r="2">
      <x v="15"/>
    </i>
  </rowItems>
  <colFields count="1">
    <field x="-2"/>
  </colFields>
  <colItems count="13">
    <i>
      <x/>
    </i>
    <i i="1">
      <x v="1"/>
    </i>
    <i i="2">
      <x v="2"/>
    </i>
    <i i="3">
      <x v="3"/>
    </i>
    <i i="4">
      <x v="4"/>
    </i>
    <i i="5">
      <x v="5"/>
    </i>
    <i i="6">
      <x v="6"/>
    </i>
    <i i="7">
      <x v="7"/>
    </i>
    <i i="8">
      <x v="8"/>
    </i>
    <i i="9">
      <x v="9"/>
    </i>
    <i i="10">
      <x v="10"/>
    </i>
    <i i="11">
      <x v="11"/>
    </i>
    <i i="12">
      <x v="12"/>
    </i>
  </colItems>
  <dataFields count="13">
    <dataField name=" 2021" fld="3" baseField="0" baseItem="0"/>
    <dataField name=" 2022" fld="4" baseField="0" baseItem="0"/>
    <dataField name=" 2023" fld="5" baseField="0" baseItem="0"/>
    <dataField name=" 2024" fld="6" baseField="0" baseItem="0"/>
    <dataField name=" 2025" fld="7" baseField="0" baseItem="0"/>
    <dataField name=" 2026" fld="8" baseField="0" baseItem="0"/>
    <dataField name=" 2027" fld="9" baseField="0" baseItem="0"/>
    <dataField name=" 2028" fld="10" baseField="0" baseItem="0"/>
    <dataField name=" 2029" fld="11" baseField="0" baseItem="0"/>
    <dataField name=" 2030" fld="12" baseField="0" baseItem="0"/>
    <dataField name=" 2031" fld="13" baseField="0" baseItem="0"/>
    <dataField name=" 2032" fld="14" baseField="0" baseItem="0"/>
    <dataField name=" 2033" fld="15" baseField="0" baseItem="0" numFmtId="4"/>
  </dataFields>
  <formats count="6">
    <format dxfId="118">
      <pivotArea dataOnly="0" labelOnly="1" outline="0" fieldPosition="0">
        <references count="1">
          <reference field="4294967294" count="12">
            <x v="0"/>
            <x v="1"/>
            <x v="2"/>
            <x v="3"/>
            <x v="4"/>
            <x v="5"/>
            <x v="6"/>
            <x v="7"/>
            <x v="8"/>
            <x v="9"/>
            <x v="10"/>
            <x v="11"/>
          </reference>
        </references>
      </pivotArea>
    </format>
    <format dxfId="117">
      <pivotArea dataOnly="0" labelOnly="1" outline="0" fieldPosition="0">
        <references count="1">
          <reference field="4294967294" count="12">
            <x v="0"/>
            <x v="1"/>
            <x v="2"/>
            <x v="3"/>
            <x v="4"/>
            <x v="5"/>
            <x v="6"/>
            <x v="7"/>
            <x v="8"/>
            <x v="9"/>
            <x v="10"/>
            <x v="11"/>
          </reference>
        </references>
      </pivotArea>
    </format>
    <format dxfId="116">
      <pivotArea outline="0" collapsedLevelsAreSubtotals="1" fieldPosition="0"/>
    </format>
    <format dxfId="115">
      <pivotArea outline="0" collapsedLevelsAreSubtotals="1" fieldPosition="0"/>
    </format>
    <format dxfId="114">
      <pivotArea dataOnly="0" labelOnly="1" outline="0" fieldPosition="0">
        <references count="1">
          <reference field="4294967294" count="1">
            <x v="12"/>
          </reference>
        </references>
      </pivotArea>
    </format>
    <format dxfId="113">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374083-434C-446D-B0B3-6FC50ACE4A96}" sourceName="Region">
  <pivotTables>
    <pivotTable tabId="1" name="PivotTable1"/>
  </pivotTables>
  <data>
    <tabular pivotCacheId="1016368337">
      <items count="56">
        <i x="25" s="1"/>
        <i x="45" s="1"/>
        <i x="42" s="1"/>
        <i x="26" s="1"/>
        <i x="46" s="1"/>
        <i x="47" s="1"/>
        <i x="2" s="1"/>
        <i x="27" s="1"/>
        <i x="28" s="1"/>
        <i x="29" s="1"/>
        <i x="48" s="1"/>
        <i x="49" s="1"/>
        <i x="12" s="1"/>
        <i x="13" s="1"/>
        <i x="14" s="1"/>
        <i x="15" s="1"/>
        <i x="30" s="1"/>
        <i x="31" s="1"/>
        <i x="3" s="1"/>
        <i x="32" s="1"/>
        <i x="4" s="1"/>
        <i x="16" s="1"/>
        <i x="11" s="1"/>
        <i x="17" s="1"/>
        <i x="33" s="1"/>
        <i x="18" s="1"/>
        <i x="50" s="1"/>
        <i x="19" s="1"/>
        <i x="51" s="1"/>
        <i x="5" s="1"/>
        <i x="8" s="1"/>
        <i x="43" s="1"/>
        <i x="9" s="1"/>
        <i x="34" s="1"/>
        <i x="20" s="1"/>
        <i x="1" s="1"/>
        <i x="21" s="1"/>
        <i x="35" s="1"/>
        <i x="52" s="1"/>
        <i x="10" s="1"/>
        <i x="6" s="1"/>
        <i x="24" s="1"/>
        <i x="36" s="1"/>
        <i x="22" s="1"/>
        <i x="41" s="1"/>
        <i x="37" s="1"/>
        <i x="38" s="1"/>
        <i x="0" s="1"/>
        <i x="53" s="1"/>
        <i x="7" s="1"/>
        <i x="39" s="1"/>
        <i x="54" s="1"/>
        <i x="44" s="1"/>
        <i x="40" s="1"/>
        <i x="23" s="1"/>
        <i x="5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EF01A7-2421-4517-9038-C6F586516A19}" sourceName="Segment">
  <pivotTables>
    <pivotTable tabId="1" name="PivotTable1"/>
  </pivotTables>
  <data>
    <tabular pivotCacheId="1016368337">
      <items count="6">
        <i x="2" s="1"/>
        <i x="3" s="1"/>
        <i x="1" s="1"/>
        <i x="0" s="1"/>
        <i x="4" s="1"/>
        <i x="5"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 xr10:uid="{FE7B7DA3-81F7-4686-B8A8-A5E3688A5A0F}" sourceName="Sub-segment">
  <pivotTables>
    <pivotTable tabId="1" name="PivotTable1"/>
  </pivotTables>
  <data>
    <tabular pivotCacheId="1016368337">
      <items count="71">
        <i x="42" s="1"/>
        <i x="60" s="1"/>
        <i x="4" s="1"/>
        <i x="14" s="1"/>
        <i x="58" s="1"/>
        <i x="43" s="1"/>
        <i x="61" s="1"/>
        <i x="3" s="1"/>
        <i x="62" s="1"/>
        <i x="21" s="1"/>
        <i x="44" s="1"/>
        <i x="13" s="1"/>
        <i x="45" s="1"/>
        <i x="46" s="1"/>
        <i x="63" s="1"/>
        <i x="10" s="1"/>
        <i x="12" s="1"/>
        <i x="64" s="1"/>
        <i x="30" s="1"/>
        <i x="31" s="1"/>
        <i x="2" s="1"/>
        <i x="32" s="1"/>
        <i x="33" s="1"/>
        <i x="47" s="1"/>
        <i x="48" s="1"/>
        <i x="22" s="1"/>
        <i x="49" s="1"/>
        <i x="23" s="1"/>
        <i x="34" s="1"/>
        <i x="17" s="1"/>
        <i x="35" s="1"/>
        <i x="50" s="1"/>
        <i x="36" s="1"/>
        <i x="65" s="1"/>
        <i x="5" s="1"/>
        <i x="37" s="1"/>
        <i x="66" s="1"/>
        <i x="24" s="1"/>
        <i x="27" s="1"/>
        <i x="59" s="1"/>
        <i x="28" s="1"/>
        <i x="6" s="1"/>
        <i x="51" s="1"/>
        <i x="38" s="1"/>
        <i x="16" s="1"/>
        <i x="39" s="1"/>
        <i x="52" s="1"/>
        <i x="8" s="1"/>
        <i x="67" s="1"/>
        <i x="1" s="1"/>
        <i x="7" s="1"/>
        <i x="15" s="1"/>
        <i x="29" s="1"/>
        <i x="9" s="1"/>
        <i x="25" s="1"/>
        <i x="0" s="1"/>
        <i x="18" s="1"/>
        <i x="53" s="1"/>
        <i x="40" s="1"/>
        <i x="19" s="1"/>
        <i x="11" s="1"/>
        <i x="54" s="1"/>
        <i x="55" s="1"/>
        <i x="68" s="1"/>
        <i x="26" s="1"/>
        <i x="56" s="1"/>
        <i x="69" s="1"/>
        <i x="20" s="1"/>
        <i x="57" s="1"/>
        <i x="41" s="1"/>
        <i x="7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316E8E5-B3EF-4DCF-8E4F-9CB2BD01D256}" cache="Slicer_Region" caption="Region" rowHeight="241300"/>
  <slicer name="Segment" xr10:uid="{CF140DF5-6735-4A1B-ACBC-4BB8972E6F5A}" cache="Slicer_Segment" caption="Segment" rowHeight="241300"/>
  <slicer name="Sub-segment" xr10:uid="{3B88FE7C-1877-4F6B-83F1-7A54F23707C6}" cache="Slicer_Sub_segment" caption="Sub-seg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C09B-5AB3-4E6D-97A2-5201B677EFE7}">
  <sheetPr codeName="Sheet1"/>
  <dimension ref="A1"/>
  <sheetViews>
    <sheetView showGridLines="0" tabSelected="1" workbookViewId="0"/>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647A-8648-4BC3-99DC-0E70401DAE71}">
  <sheetPr codeName="Sheet16"/>
  <dimension ref="A1:Q3012"/>
  <sheetViews>
    <sheetView showGridLines="0" zoomScale="85" zoomScaleNormal="85" workbookViewId="0">
      <selection activeCell="O21" sqref="O21"/>
    </sheetView>
  </sheetViews>
  <sheetFormatPr defaultRowHeight="14.5" x14ac:dyDescent="0.35"/>
  <cols>
    <col min="1" max="1" width="39.26953125" bestFit="1" customWidth="1"/>
    <col min="2" max="14" width="10.54296875" style="4" bestFit="1" customWidth="1"/>
    <col min="15" max="16" width="10.54296875" style="4" customWidth="1"/>
  </cols>
  <sheetData>
    <row r="1" spans="1:17" ht="14.5" customHeight="1" x14ac:dyDescent="0.35">
      <c r="A1" s="40" t="s">
        <v>23</v>
      </c>
      <c r="B1" s="40"/>
      <c r="C1" s="40"/>
      <c r="D1" s="40"/>
      <c r="E1" s="40"/>
      <c r="F1" s="40"/>
      <c r="G1" s="40"/>
      <c r="H1" s="40"/>
      <c r="I1" s="40"/>
      <c r="J1" s="40"/>
      <c r="K1" s="40"/>
      <c r="L1" s="40"/>
      <c r="M1" s="40"/>
      <c r="N1" s="40"/>
      <c r="O1" s="40"/>
      <c r="P1" s="40"/>
      <c r="Q1" s="40"/>
    </row>
    <row r="2" spans="1:17" ht="14.5" customHeight="1" x14ac:dyDescent="0.35">
      <c r="A2" s="40"/>
      <c r="B2" s="40"/>
      <c r="C2" s="40"/>
      <c r="D2" s="40"/>
      <c r="E2" s="40"/>
      <c r="F2" s="40"/>
      <c r="G2" s="40"/>
      <c r="H2" s="40"/>
      <c r="I2" s="40"/>
      <c r="J2" s="40"/>
      <c r="K2" s="40"/>
      <c r="L2" s="40"/>
      <c r="M2" s="40"/>
      <c r="N2" s="40"/>
      <c r="O2" s="40"/>
      <c r="P2" s="40"/>
      <c r="Q2" s="40"/>
    </row>
    <row r="3" spans="1:17" ht="14.5" customHeight="1" x14ac:dyDescent="0.35">
      <c r="A3" s="40"/>
      <c r="B3" s="40"/>
      <c r="C3" s="40"/>
      <c r="D3" s="40"/>
      <c r="E3" s="40"/>
      <c r="F3" s="40"/>
      <c r="G3" s="40"/>
      <c r="H3" s="40"/>
      <c r="I3" s="40"/>
      <c r="J3" s="40"/>
      <c r="K3" s="40"/>
      <c r="L3" s="40"/>
      <c r="M3" s="40"/>
      <c r="N3" s="40"/>
      <c r="O3" s="40"/>
      <c r="P3" s="40"/>
      <c r="Q3" s="40"/>
    </row>
    <row r="4" spans="1:17" x14ac:dyDescent="0.35">
      <c r="B4"/>
      <c r="C4"/>
      <c r="D4"/>
      <c r="E4"/>
      <c r="F4"/>
      <c r="G4"/>
      <c r="H4"/>
      <c r="I4"/>
      <c r="J4"/>
      <c r="K4"/>
      <c r="L4"/>
      <c r="M4"/>
      <c r="N4"/>
      <c r="O4"/>
      <c r="P4"/>
    </row>
    <row r="5" spans="1:17" x14ac:dyDescent="0.35">
      <c r="B5"/>
      <c r="C5"/>
      <c r="D5"/>
      <c r="E5"/>
      <c r="F5"/>
      <c r="G5"/>
      <c r="H5"/>
      <c r="I5"/>
      <c r="J5"/>
      <c r="K5"/>
      <c r="L5"/>
      <c r="M5"/>
      <c r="N5"/>
      <c r="O5"/>
      <c r="P5"/>
    </row>
    <row r="6" spans="1:17" x14ac:dyDescent="0.35">
      <c r="B6"/>
      <c r="C6"/>
      <c r="D6"/>
      <c r="E6"/>
      <c r="F6"/>
      <c r="G6"/>
      <c r="H6"/>
      <c r="I6"/>
      <c r="J6"/>
      <c r="K6"/>
      <c r="L6"/>
      <c r="M6"/>
      <c r="N6"/>
      <c r="O6"/>
      <c r="P6"/>
    </row>
    <row r="7" spans="1:17" x14ac:dyDescent="0.35">
      <c r="B7"/>
      <c r="C7"/>
      <c r="D7"/>
      <c r="E7"/>
      <c r="F7"/>
      <c r="G7"/>
      <c r="H7"/>
      <c r="I7"/>
      <c r="J7"/>
      <c r="K7"/>
      <c r="L7"/>
      <c r="M7"/>
      <c r="N7"/>
      <c r="O7"/>
      <c r="P7"/>
    </row>
    <row r="8" spans="1:17" x14ac:dyDescent="0.35">
      <c r="B8"/>
      <c r="C8"/>
      <c r="D8"/>
      <c r="E8"/>
      <c r="F8"/>
      <c r="G8"/>
      <c r="H8"/>
      <c r="I8"/>
      <c r="J8"/>
      <c r="K8"/>
      <c r="L8"/>
      <c r="M8"/>
      <c r="N8"/>
      <c r="O8"/>
      <c r="P8"/>
    </row>
    <row r="9" spans="1:17" x14ac:dyDescent="0.35">
      <c r="B9"/>
      <c r="C9"/>
      <c r="D9"/>
      <c r="E9"/>
      <c r="F9"/>
      <c r="G9"/>
      <c r="H9"/>
      <c r="I9"/>
      <c r="J9"/>
      <c r="K9"/>
      <c r="L9"/>
      <c r="M9"/>
      <c r="N9"/>
      <c r="O9"/>
      <c r="P9"/>
    </row>
    <row r="10" spans="1:17" x14ac:dyDescent="0.35">
      <c r="B10"/>
      <c r="C10"/>
      <c r="D10"/>
      <c r="E10"/>
      <c r="F10"/>
      <c r="G10"/>
      <c r="H10"/>
      <c r="I10"/>
      <c r="J10"/>
      <c r="K10"/>
      <c r="L10"/>
      <c r="M10"/>
      <c r="N10"/>
      <c r="O10"/>
      <c r="P10"/>
    </row>
    <row r="11" spans="1:17" x14ac:dyDescent="0.35">
      <c r="B11"/>
      <c r="C11"/>
      <c r="D11"/>
      <c r="E11"/>
      <c r="F11"/>
      <c r="G11"/>
      <c r="H11"/>
      <c r="I11"/>
      <c r="J11"/>
      <c r="K11"/>
      <c r="L11"/>
      <c r="M11"/>
      <c r="N11"/>
      <c r="O11"/>
      <c r="P11"/>
    </row>
    <row r="12" spans="1:17" x14ac:dyDescent="0.35">
      <c r="B12"/>
      <c r="C12"/>
      <c r="D12"/>
      <c r="E12"/>
      <c r="F12"/>
      <c r="G12"/>
      <c r="H12"/>
      <c r="I12"/>
      <c r="J12"/>
      <c r="K12"/>
      <c r="L12"/>
      <c r="M12"/>
      <c r="N12"/>
      <c r="O12"/>
      <c r="P12"/>
    </row>
    <row r="13" spans="1:17" x14ac:dyDescent="0.35">
      <c r="B13"/>
      <c r="C13"/>
      <c r="D13"/>
      <c r="E13"/>
      <c r="F13"/>
      <c r="G13"/>
      <c r="H13"/>
      <c r="I13"/>
      <c r="J13"/>
      <c r="K13"/>
      <c r="L13"/>
      <c r="M13"/>
      <c r="N13"/>
      <c r="O13"/>
      <c r="P13"/>
    </row>
    <row r="14" spans="1:17" x14ac:dyDescent="0.35">
      <c r="B14"/>
      <c r="C14"/>
      <c r="D14"/>
      <c r="E14"/>
      <c r="F14"/>
      <c r="G14"/>
      <c r="H14"/>
      <c r="I14"/>
      <c r="J14"/>
      <c r="K14"/>
      <c r="L14"/>
      <c r="M14"/>
      <c r="N14"/>
      <c r="O14"/>
      <c r="P14"/>
    </row>
    <row r="15" spans="1:17" x14ac:dyDescent="0.35">
      <c r="B15"/>
      <c r="C15"/>
      <c r="D15"/>
      <c r="E15"/>
      <c r="F15"/>
      <c r="G15"/>
      <c r="H15"/>
      <c r="I15"/>
      <c r="J15"/>
      <c r="K15"/>
      <c r="L15"/>
      <c r="M15"/>
      <c r="N15"/>
      <c r="O15"/>
      <c r="P15"/>
    </row>
    <row r="16" spans="1:17" x14ac:dyDescent="0.35">
      <c r="B16"/>
      <c r="C16"/>
      <c r="D16"/>
      <c r="E16"/>
      <c r="F16"/>
      <c r="G16"/>
      <c r="H16"/>
      <c r="I16"/>
      <c r="J16"/>
      <c r="K16"/>
      <c r="L16"/>
      <c r="M16"/>
      <c r="N16"/>
      <c r="O16"/>
      <c r="P16"/>
    </row>
    <row r="17" spans="1:17" x14ac:dyDescent="0.35">
      <c r="B17"/>
      <c r="C17"/>
      <c r="D17"/>
      <c r="E17"/>
      <c r="F17"/>
      <c r="G17"/>
      <c r="H17"/>
      <c r="I17"/>
      <c r="J17"/>
      <c r="K17"/>
      <c r="L17"/>
      <c r="M17"/>
      <c r="N17"/>
      <c r="O17"/>
      <c r="P17"/>
    </row>
    <row r="18" spans="1:17" x14ac:dyDescent="0.35">
      <c r="A18" s="7" t="s">
        <v>0</v>
      </c>
      <c r="B18" s="8" t="s">
        <v>1</v>
      </c>
      <c r="C18" s="8" t="s">
        <v>2</v>
      </c>
      <c r="D18" s="8" t="s">
        <v>3</v>
      </c>
      <c r="E18" s="8" t="s">
        <v>4</v>
      </c>
      <c r="F18" s="8" t="s">
        <v>5</v>
      </c>
      <c r="G18" s="8" t="s">
        <v>6</v>
      </c>
      <c r="H18" s="8" t="s">
        <v>7</v>
      </c>
      <c r="I18" s="8" t="s">
        <v>8</v>
      </c>
      <c r="J18" s="8" t="s">
        <v>9</v>
      </c>
      <c r="K18" s="8" t="s">
        <v>10</v>
      </c>
      <c r="L18" s="8" t="s">
        <v>11</v>
      </c>
      <c r="M18" s="8" t="s">
        <v>12</v>
      </c>
      <c r="N18" s="8" t="s">
        <v>19</v>
      </c>
      <c r="O18" s="10" t="s">
        <v>17</v>
      </c>
      <c r="P18"/>
    </row>
    <row r="19" spans="1:17" x14ac:dyDescent="0.35">
      <c r="A19" s="1" t="s">
        <v>20</v>
      </c>
      <c r="O19" s="11" t="str">
        <f>IFERROR(RATE(2035-2026,,-G19,N19),"")</f>
        <v/>
      </c>
      <c r="P19"/>
    </row>
    <row r="20" spans="1:17" x14ac:dyDescent="0.35">
      <c r="A20" s="2" t="s">
        <v>24</v>
      </c>
      <c r="O20" s="11" t="str">
        <f>IFERROR(RATE(2033-2026,,-G20,N20),"")</f>
        <v/>
      </c>
      <c r="P20"/>
      <c r="Q20" s="11"/>
    </row>
    <row r="21" spans="1:17" x14ac:dyDescent="0.35">
      <c r="A21" s="3" t="s">
        <v>25</v>
      </c>
      <c r="B21" s="4">
        <v>1960.8530599557987</v>
      </c>
      <c r="C21" s="4">
        <v>2059.7821116315154</v>
      </c>
      <c r="D21" s="4">
        <v>2168.1621663729738</v>
      </c>
      <c r="E21" s="4">
        <v>2284.4461754334993</v>
      </c>
      <c r="F21" s="4">
        <v>2409.3623523191936</v>
      </c>
      <c r="G21" s="4">
        <v>2544.6013364174846</v>
      </c>
      <c r="H21" s="4">
        <v>2689.7785785442265</v>
      </c>
      <c r="I21" s="4">
        <v>2848.2370088858961</v>
      </c>
      <c r="J21" s="4">
        <v>3020.0817085835101</v>
      </c>
      <c r="K21" s="4">
        <v>3206.7655345051539</v>
      </c>
      <c r="L21" s="4">
        <v>3410.382116187262</v>
      </c>
      <c r="M21" s="4">
        <v>3632.24371524863</v>
      </c>
      <c r="N21" s="4">
        <v>3875.0739803746592</v>
      </c>
      <c r="O21" s="11">
        <f t="shared" ref="O21:O84" si="0">IFERROR(RATE(2033-2026,,-G21,N21),"")</f>
        <v>6.1926163629259165E-2</v>
      </c>
      <c r="P21"/>
      <c r="Q21" s="11"/>
    </row>
    <row r="22" spans="1:17" x14ac:dyDescent="0.35">
      <c r="A22" s="3" t="s">
        <v>26</v>
      </c>
      <c r="B22" s="4">
        <v>18967.076336197366</v>
      </c>
      <c r="C22" s="4">
        <v>20092.648622320346</v>
      </c>
      <c r="D22" s="4">
        <v>21329.966914902478</v>
      </c>
      <c r="E22" s="4">
        <v>22660.271982562972</v>
      </c>
      <c r="F22" s="4">
        <v>24096.203084220804</v>
      </c>
      <c r="G22" s="4">
        <v>25648.861655254663</v>
      </c>
      <c r="H22" s="4">
        <v>27326.586149581217</v>
      </c>
      <c r="I22" s="4">
        <v>29155.263611634404</v>
      </c>
      <c r="J22" s="4">
        <v>31145.853966255134</v>
      </c>
      <c r="K22" s="4">
        <v>33312.909090700319</v>
      </c>
      <c r="L22" s="4">
        <v>35678.005242163155</v>
      </c>
      <c r="M22" s="4">
        <v>38257.922481261994</v>
      </c>
      <c r="N22" s="4">
        <v>41087.366854820444</v>
      </c>
      <c r="O22" s="11">
        <f t="shared" si="0"/>
        <v>6.9631825672513012E-2</v>
      </c>
      <c r="P22"/>
      <c r="Q22" s="11"/>
    </row>
    <row r="23" spans="1:17" x14ac:dyDescent="0.35">
      <c r="A23" s="2" t="s">
        <v>27</v>
      </c>
      <c r="O23" s="11" t="str">
        <f t="shared" si="0"/>
        <v/>
      </c>
      <c r="P23"/>
      <c r="Q23" s="11"/>
    </row>
    <row r="24" spans="1:17" x14ac:dyDescent="0.35">
      <c r="A24" s="3" t="s">
        <v>30</v>
      </c>
      <c r="B24" s="4">
        <v>3637.9798848389814</v>
      </c>
      <c r="C24" s="4">
        <v>3898.0214732381551</v>
      </c>
      <c r="D24" s="4">
        <v>4183.6338907560403</v>
      </c>
      <c r="E24" s="4">
        <v>4494.0644303937243</v>
      </c>
      <c r="F24" s="4">
        <v>4831.7621777765062</v>
      </c>
      <c r="G24" s="4">
        <v>5201.1555718327418</v>
      </c>
      <c r="H24" s="4">
        <v>5604.0994461667869</v>
      </c>
      <c r="I24" s="4">
        <v>6046.7395576073659</v>
      </c>
      <c r="J24" s="4">
        <v>6533.6544259734319</v>
      </c>
      <c r="K24" s="4">
        <v>7069.0397040988846</v>
      </c>
      <c r="L24" s="4">
        <v>7659.5177329216358</v>
      </c>
      <c r="M24" s="4">
        <v>8310.1838580949789</v>
      </c>
      <c r="N24" s="4">
        <v>9031.0942921250789</v>
      </c>
      <c r="O24" s="11">
        <f t="shared" si="0"/>
        <v>8.2017691607018356E-2</v>
      </c>
      <c r="P24"/>
      <c r="Q24" s="11"/>
    </row>
    <row r="25" spans="1:17" x14ac:dyDescent="0.35">
      <c r="A25" s="3" t="s">
        <v>32</v>
      </c>
      <c r="B25" s="4">
        <v>1778.1332939811532</v>
      </c>
      <c r="C25" s="4">
        <v>1855.328303537168</v>
      </c>
      <c r="D25" s="4">
        <v>1938.7030285404878</v>
      </c>
      <c r="E25" s="4">
        <v>2027.3874811449305</v>
      </c>
      <c r="F25" s="4">
        <v>2122.0890912672066</v>
      </c>
      <c r="G25" s="4">
        <v>2223.8104509242103</v>
      </c>
      <c r="H25" s="4">
        <v>2332.6154997227204</v>
      </c>
      <c r="I25" s="4">
        <v>2450.7313373813126</v>
      </c>
      <c r="J25" s="4">
        <v>2578.4502921181929</v>
      </c>
      <c r="K25" s="4">
        <v>2716.1409978709348</v>
      </c>
      <c r="L25" s="4">
        <v>2865.6593264428175</v>
      </c>
      <c r="M25" s="4">
        <v>3027.524299852862</v>
      </c>
      <c r="N25" s="4">
        <v>3203.6662006898014</v>
      </c>
      <c r="O25" s="11">
        <f t="shared" si="0"/>
        <v>5.3537327375809816E-2</v>
      </c>
      <c r="P25"/>
      <c r="Q25" s="11"/>
    </row>
    <row r="26" spans="1:17" x14ac:dyDescent="0.35">
      <c r="A26" s="3" t="s">
        <v>29</v>
      </c>
      <c r="B26" s="4">
        <v>4510.066629586272</v>
      </c>
      <c r="C26" s="4">
        <v>4810.3670475844492</v>
      </c>
      <c r="D26" s="4">
        <v>5139.0634791909033</v>
      </c>
      <c r="E26" s="4">
        <v>5495.0964115004044</v>
      </c>
      <c r="F26" s="4">
        <v>5881.34977977982</v>
      </c>
      <c r="G26" s="4">
        <v>6302.325492355435</v>
      </c>
      <c r="H26" s="4">
        <v>6759.7775679032738</v>
      </c>
      <c r="I26" s="4">
        <v>7260.9841018026091</v>
      </c>
      <c r="J26" s="4">
        <v>7810.1954335635928</v>
      </c>
      <c r="K26" s="4">
        <v>8412.2017704803638</v>
      </c>
      <c r="L26" s="4">
        <v>9073.7112846332602</v>
      </c>
      <c r="M26" s="4">
        <v>9799.6490354811176</v>
      </c>
      <c r="N26" s="4">
        <v>10600.726640661534</v>
      </c>
      <c r="O26" s="11">
        <f t="shared" si="0"/>
        <v>7.7115102293336679E-2</v>
      </c>
      <c r="P26"/>
      <c r="Q26" s="11"/>
    </row>
    <row r="27" spans="1:17" x14ac:dyDescent="0.35">
      <c r="A27" s="3" t="s">
        <v>31</v>
      </c>
      <c r="B27" s="4">
        <v>2749.6289992465154</v>
      </c>
      <c r="C27" s="4">
        <v>2913.8789434499022</v>
      </c>
      <c r="D27" s="4">
        <v>3094.099997374155</v>
      </c>
      <c r="E27" s="4">
        <v>3287.9975310922559</v>
      </c>
      <c r="F27" s="4">
        <v>3497.3572546348578</v>
      </c>
      <c r="G27" s="4">
        <v>3724.677886521099</v>
      </c>
      <c r="H27" s="4">
        <v>3971.4036243286232</v>
      </c>
      <c r="I27" s="4">
        <v>4242.3430729579941</v>
      </c>
      <c r="J27" s="4">
        <v>4537.575101358515</v>
      </c>
      <c r="K27" s="4">
        <v>4859.3199543477131</v>
      </c>
      <c r="L27" s="4">
        <v>5212.3508080319352</v>
      </c>
      <c r="M27" s="4">
        <v>5599.5717249723621</v>
      </c>
      <c r="N27" s="4">
        <v>6026.6181406133801</v>
      </c>
      <c r="O27" s="11">
        <f t="shared" si="0"/>
        <v>7.1161595404000591E-2</v>
      </c>
      <c r="P27"/>
      <c r="Q27" s="11"/>
    </row>
    <row r="28" spans="1:17" x14ac:dyDescent="0.35">
      <c r="A28" s="3" t="s">
        <v>28</v>
      </c>
      <c r="B28" s="4">
        <v>7152.7062948859093</v>
      </c>
      <c r="C28" s="4">
        <v>7515.8685522985134</v>
      </c>
      <c r="D28" s="4">
        <v>7918.1543436963157</v>
      </c>
      <c r="E28" s="4">
        <v>8345.2830110355044</v>
      </c>
      <c r="F28" s="4">
        <v>8802.3524062614433</v>
      </c>
      <c r="G28" s="4">
        <v>9288.8027694520297</v>
      </c>
      <c r="H28" s="4">
        <v>9807.226181951728</v>
      </c>
      <c r="I28" s="4">
        <v>10364.772850077823</v>
      </c>
      <c r="J28" s="4">
        <v>10963.104055904281</v>
      </c>
      <c r="K28" s="4">
        <v>11605.831974007386</v>
      </c>
      <c r="L28" s="4">
        <v>12295.544585315052</v>
      </c>
      <c r="M28" s="4">
        <v>13035.601530372976</v>
      </c>
      <c r="N28" s="4">
        <v>13833.309416945534</v>
      </c>
      <c r="O28" s="11">
        <f t="shared" si="0"/>
        <v>5.8545373883904288E-2</v>
      </c>
      <c r="P28"/>
      <c r="Q28" s="11"/>
    </row>
    <row r="29" spans="1:17" x14ac:dyDescent="0.35">
      <c r="A29" s="3" t="s">
        <v>33</v>
      </c>
      <c r="B29" s="4">
        <v>1099.4142936143344</v>
      </c>
      <c r="C29" s="4">
        <v>1158.9664138436717</v>
      </c>
      <c r="D29" s="4">
        <v>1224.4743417175519</v>
      </c>
      <c r="E29" s="4">
        <v>1294.8892928296498</v>
      </c>
      <c r="F29" s="4">
        <v>1370.6547268201662</v>
      </c>
      <c r="G29" s="4">
        <v>1452.6908205866314</v>
      </c>
      <c r="H29" s="4">
        <v>1541.2424080523115</v>
      </c>
      <c r="I29" s="4">
        <v>1637.9297006931904</v>
      </c>
      <c r="J29" s="4">
        <v>1742.9563659206319</v>
      </c>
      <c r="K29" s="4">
        <v>1857.1402244001936</v>
      </c>
      <c r="L29" s="4">
        <v>1981.6036210057164</v>
      </c>
      <c r="M29" s="4">
        <v>2117.6357477363204</v>
      </c>
      <c r="N29" s="4">
        <v>2267.0261441597663</v>
      </c>
      <c r="O29" s="11">
        <f t="shared" si="0"/>
        <v>6.5643413932264819E-2</v>
      </c>
      <c r="P29"/>
      <c r="Q29" s="11"/>
    </row>
    <row r="30" spans="1:17" x14ac:dyDescent="0.35">
      <c r="A30" s="2" t="s">
        <v>34</v>
      </c>
      <c r="O30" s="11" t="str">
        <f t="shared" si="0"/>
        <v/>
      </c>
      <c r="P30"/>
      <c r="Q30" s="11"/>
    </row>
    <row r="31" spans="1:17" x14ac:dyDescent="0.35">
      <c r="A31" s="3" t="s">
        <v>36</v>
      </c>
      <c r="B31" s="4">
        <v>7330.9063405950656</v>
      </c>
      <c r="C31" s="4">
        <v>7819.1266445930287</v>
      </c>
      <c r="D31" s="4">
        <v>8357.1594116545202</v>
      </c>
      <c r="E31" s="4">
        <v>8939.9817622341652</v>
      </c>
      <c r="F31" s="4">
        <v>9572.420197201347</v>
      </c>
      <c r="G31" s="4">
        <v>10261.503923803308</v>
      </c>
      <c r="H31" s="4">
        <v>11010.662410920484</v>
      </c>
      <c r="I31" s="4">
        <v>11832.239612597503</v>
      </c>
      <c r="J31" s="4">
        <v>12732.00687363922</v>
      </c>
      <c r="K31" s="4">
        <v>13717.225612453014</v>
      </c>
      <c r="L31" s="4">
        <v>14798.123140795891</v>
      </c>
      <c r="M31" s="4">
        <v>15986.282022576666</v>
      </c>
      <c r="N31" s="4">
        <v>17298.370049671557</v>
      </c>
      <c r="O31" s="11">
        <f t="shared" si="0"/>
        <v>7.7455064422105244E-2</v>
      </c>
      <c r="P31"/>
      <c r="Q31" s="11"/>
    </row>
    <row r="32" spans="1:17" x14ac:dyDescent="0.35">
      <c r="A32" s="3" t="s">
        <v>37</v>
      </c>
      <c r="B32" s="4">
        <v>4614.4752786484269</v>
      </c>
      <c r="C32" s="4">
        <v>4888.6988372616324</v>
      </c>
      <c r="D32" s="4">
        <v>5189.9490417885609</v>
      </c>
      <c r="E32" s="4">
        <v>5515.2662784001577</v>
      </c>
      <c r="F32" s="4">
        <v>5866.7033078017967</v>
      </c>
      <c r="G32" s="4">
        <v>6249.5216814690721</v>
      </c>
      <c r="H32" s="4">
        <v>6664.2257627039135</v>
      </c>
      <c r="I32" s="4">
        <v>7119.4350391824246</v>
      </c>
      <c r="J32" s="4">
        <v>7616.0207845822661</v>
      </c>
      <c r="K32" s="4">
        <v>8158.4205622063173</v>
      </c>
      <c r="L32" s="4">
        <v>8753.4012078091509</v>
      </c>
      <c r="M32" s="4">
        <v>9407.0037111437468</v>
      </c>
      <c r="N32" s="4">
        <v>10127.857322869</v>
      </c>
      <c r="O32" s="11">
        <f t="shared" si="0"/>
        <v>7.1403277999288903E-2</v>
      </c>
      <c r="P32"/>
      <c r="Q32" s="11"/>
    </row>
    <row r="33" spans="1:17" x14ac:dyDescent="0.35">
      <c r="A33" s="3" t="s">
        <v>35</v>
      </c>
      <c r="B33" s="4">
        <v>7045.1952164498962</v>
      </c>
      <c r="C33" s="4">
        <v>7405.3159187939182</v>
      </c>
      <c r="D33" s="4">
        <v>7799.5431660069717</v>
      </c>
      <c r="E33" s="4">
        <v>8217.4170071841072</v>
      </c>
      <c r="F33" s="4">
        <v>8664.658749321532</v>
      </c>
      <c r="G33" s="4">
        <v>9140.0277323039591</v>
      </c>
      <c r="H33" s="4">
        <v>9647.3759348007006</v>
      </c>
      <c r="I33" s="4">
        <v>10191.630932727969</v>
      </c>
      <c r="J33" s="4">
        <v>10777.499158377668</v>
      </c>
      <c r="K33" s="4">
        <v>11407.263448189256</v>
      </c>
      <c r="L33" s="4">
        <v>12085.85331194289</v>
      </c>
      <c r="M33" s="4">
        <v>12811.683888119207</v>
      </c>
      <c r="N33" s="4">
        <v>13593.575927403521</v>
      </c>
      <c r="O33" s="11">
        <f t="shared" si="0"/>
        <v>5.8343387170012348E-2</v>
      </c>
      <c r="P33"/>
      <c r="Q33" s="11"/>
    </row>
    <row r="34" spans="1:17" x14ac:dyDescent="0.35">
      <c r="A34" s="3" t="s">
        <v>38</v>
      </c>
      <c r="B34" s="4">
        <v>1937.3525604597748</v>
      </c>
      <c r="C34" s="4">
        <v>2039.2893333032789</v>
      </c>
      <c r="D34" s="4">
        <v>2151.4774618253987</v>
      </c>
      <c r="E34" s="4">
        <v>2272.0531101780421</v>
      </c>
      <c r="F34" s="4">
        <v>2401.7831822153266</v>
      </c>
      <c r="G34" s="4">
        <v>2542.4096540958103</v>
      </c>
      <c r="H34" s="4">
        <v>2694.1006197003453</v>
      </c>
      <c r="I34" s="4">
        <v>2860.1950360123992</v>
      </c>
      <c r="J34" s="4">
        <v>3040.4088582394879</v>
      </c>
      <c r="K34" s="4">
        <v>3236.7650023568872</v>
      </c>
      <c r="L34" s="4">
        <v>3451.0096978024881</v>
      </c>
      <c r="M34" s="4">
        <v>3685.1965746709975</v>
      </c>
      <c r="N34" s="4">
        <v>3942.6375352510204</v>
      </c>
      <c r="O34" s="11">
        <f t="shared" si="0"/>
        <v>6.4682679774107063E-2</v>
      </c>
      <c r="P34"/>
      <c r="Q34" s="11"/>
    </row>
    <row r="35" spans="1:17" x14ac:dyDescent="0.35">
      <c r="A35" s="2" t="s">
        <v>22</v>
      </c>
      <c r="O35" s="11" t="str">
        <f t="shared" si="0"/>
        <v/>
      </c>
      <c r="P35"/>
      <c r="Q35" s="11"/>
    </row>
    <row r="36" spans="1:17" x14ac:dyDescent="0.35">
      <c r="A36" s="3" t="s">
        <v>39</v>
      </c>
      <c r="B36" s="4">
        <v>5416.3542986608982</v>
      </c>
      <c r="C36" s="4">
        <v>5754.6646214040493</v>
      </c>
      <c r="D36" s="4">
        <v>6132.6917636985754</v>
      </c>
      <c r="E36" s="4">
        <v>6537.9363551061333</v>
      </c>
      <c r="F36" s="4">
        <v>6975.8396792164422</v>
      </c>
      <c r="G36" s="4">
        <v>7445.2547582641255</v>
      </c>
      <c r="H36" s="4">
        <v>7951.0759081909546</v>
      </c>
      <c r="I36" s="4">
        <v>8497.5836930999976</v>
      </c>
      <c r="J36" s="4">
        <v>9089.2408234787636</v>
      </c>
      <c r="K36" s="4">
        <v>9731.7465499212049</v>
      </c>
      <c r="L36" s="4">
        <v>10426.873957446704</v>
      </c>
      <c r="M36" s="4">
        <v>11177.699468917534</v>
      </c>
      <c r="N36" s="4">
        <v>11994.867862449124</v>
      </c>
      <c r="O36" s="11">
        <f t="shared" si="0"/>
        <v>7.0503240957258684E-2</v>
      </c>
      <c r="P36"/>
      <c r="Q36" s="11"/>
    </row>
    <row r="37" spans="1:17" x14ac:dyDescent="0.35">
      <c r="A37" s="3" t="s">
        <v>41</v>
      </c>
      <c r="B37" s="4">
        <v>3974.1821239699871</v>
      </c>
      <c r="C37" s="4">
        <v>4161.4004436787936</v>
      </c>
      <c r="D37" s="4">
        <v>4364.4823095160755</v>
      </c>
      <c r="E37" s="4">
        <v>4580.7554366581508</v>
      </c>
      <c r="F37" s="4">
        <v>4812.4076478131856</v>
      </c>
      <c r="G37" s="4">
        <v>5061.528080189777</v>
      </c>
      <c r="H37" s="4">
        <v>5328.7329308691205</v>
      </c>
      <c r="I37" s="4">
        <v>5619.3093085614937</v>
      </c>
      <c r="J37" s="4">
        <v>5933.8492154980659</v>
      </c>
      <c r="K37" s="4">
        <v>6273.5561992350204</v>
      </c>
      <c r="L37" s="4">
        <v>6643.1913715210485</v>
      </c>
      <c r="M37" s="4">
        <v>7043.6821787608369</v>
      </c>
      <c r="N37" s="4">
        <v>7480.3884954136302</v>
      </c>
      <c r="O37" s="11">
        <f t="shared" si="0"/>
        <v>5.7388647354273743E-2</v>
      </c>
      <c r="P37"/>
      <c r="Q37" s="11"/>
    </row>
    <row r="38" spans="1:17" x14ac:dyDescent="0.35">
      <c r="A38" s="3" t="s">
        <v>40</v>
      </c>
      <c r="B38" s="4">
        <v>5429.5673168173489</v>
      </c>
      <c r="C38" s="4">
        <v>5723.9389694147249</v>
      </c>
      <c r="D38" s="4">
        <v>6044.0314205042432</v>
      </c>
      <c r="E38" s="4">
        <v>6387.5770890694021</v>
      </c>
      <c r="F38" s="4">
        <v>6756.7812417893583</v>
      </c>
      <c r="G38" s="4">
        <v>7156.1266321835301</v>
      </c>
      <c r="H38" s="4">
        <v>7586.6770491993548</v>
      </c>
      <c r="I38" s="4">
        <v>8055.2105904177342</v>
      </c>
      <c r="J38" s="4">
        <v>8565.0199365721619</v>
      </c>
      <c r="K38" s="4">
        <v>9118.4582521808243</v>
      </c>
      <c r="L38" s="4">
        <v>9721.986911781798</v>
      </c>
      <c r="M38" s="4">
        <v>10379.990387832686</v>
      </c>
      <c r="N38" s="4">
        <v>11101.01754907555</v>
      </c>
      <c r="O38" s="11">
        <f t="shared" si="0"/>
        <v>6.4732919268658554E-2</v>
      </c>
      <c r="P38"/>
      <c r="Q38" s="11"/>
    </row>
    <row r="39" spans="1:17" x14ac:dyDescent="0.35">
      <c r="A39" s="3" t="s">
        <v>42</v>
      </c>
      <c r="B39" s="4">
        <v>6107.8256567049293</v>
      </c>
      <c r="C39" s="4">
        <v>6512.4266994542913</v>
      </c>
      <c r="D39" s="4">
        <v>6956.9235875565582</v>
      </c>
      <c r="E39" s="4">
        <v>7438.4492771627847</v>
      </c>
      <c r="F39" s="4">
        <v>7960.5368677210154</v>
      </c>
      <c r="G39" s="4">
        <v>8530.5535210347171</v>
      </c>
      <c r="H39" s="4">
        <v>9149.8788398660145</v>
      </c>
      <c r="I39" s="4">
        <v>9831.3970284410716</v>
      </c>
      <c r="J39" s="4">
        <v>10577.825699289657</v>
      </c>
      <c r="K39" s="4">
        <v>11395.913623868426</v>
      </c>
      <c r="L39" s="4">
        <v>12296.335117600869</v>
      </c>
      <c r="M39" s="4">
        <v>13288.794160999561</v>
      </c>
      <c r="N39" s="4">
        <v>14386.166928256793</v>
      </c>
      <c r="O39" s="11">
        <f t="shared" si="0"/>
        <v>7.7516634178746061E-2</v>
      </c>
      <c r="P39"/>
      <c r="Q39" s="11"/>
    </row>
    <row r="40" spans="1:17" x14ac:dyDescent="0.35">
      <c r="A40" s="2" t="s">
        <v>18</v>
      </c>
      <c r="O40" s="11" t="str">
        <f t="shared" si="0"/>
        <v/>
      </c>
      <c r="P40"/>
      <c r="Q40" s="11"/>
    </row>
    <row r="41" spans="1:17" x14ac:dyDescent="0.35">
      <c r="A41" s="3" t="s">
        <v>43</v>
      </c>
      <c r="B41" s="4">
        <v>3742.9927100607665</v>
      </c>
      <c r="C41" s="4">
        <v>3945.7056918012177</v>
      </c>
      <c r="D41" s="4">
        <v>4169.2538037470795</v>
      </c>
      <c r="E41" s="4">
        <v>4408.6559480949782</v>
      </c>
      <c r="F41" s="4">
        <v>4666.0797478491604</v>
      </c>
      <c r="G41" s="4">
        <v>4943.058885853543</v>
      </c>
      <c r="H41" s="4">
        <v>5240.9764152990574</v>
      </c>
      <c r="I41" s="4">
        <v>5564.6910347906523</v>
      </c>
      <c r="J41" s="4">
        <v>5915.096347065084</v>
      </c>
      <c r="K41" s="4">
        <v>6294.8085604300149</v>
      </c>
      <c r="L41" s="4">
        <v>6705.8286821517022</v>
      </c>
      <c r="M41" s="4">
        <v>7152.409253169255</v>
      </c>
      <c r="N41" s="4">
        <v>7641.4285489747508</v>
      </c>
      <c r="O41" s="11">
        <f t="shared" si="0"/>
        <v>6.4205597563227537E-2</v>
      </c>
      <c r="P41"/>
      <c r="Q41" s="11"/>
    </row>
    <row r="42" spans="1:17" x14ac:dyDescent="0.35">
      <c r="A42" s="3" t="s">
        <v>44</v>
      </c>
      <c r="B42" s="4">
        <v>4383.7920140810129</v>
      </c>
      <c r="C42" s="4">
        <v>4600.9093504712982</v>
      </c>
      <c r="D42" s="4">
        <v>4835.0403801464336</v>
      </c>
      <c r="E42" s="4">
        <v>5084.7964572565961</v>
      </c>
      <c r="F42" s="4">
        <v>5352.0237771464863</v>
      </c>
      <c r="G42" s="4">
        <v>5638.9207663991328</v>
      </c>
      <c r="H42" s="4">
        <v>5946.2171843967617</v>
      </c>
      <c r="I42" s="4">
        <v>6278.2700989088607</v>
      </c>
      <c r="J42" s="4">
        <v>6638.282912007794</v>
      </c>
      <c r="K42" s="4">
        <v>7026.6331862391171</v>
      </c>
      <c r="L42" s="4">
        <v>7447.5942038873527</v>
      </c>
      <c r="M42" s="4">
        <v>7903.3380027121793</v>
      </c>
      <c r="N42" s="4">
        <v>8399.0464309186518</v>
      </c>
      <c r="O42" s="11">
        <f t="shared" si="0"/>
        <v>5.8568926381429583E-2</v>
      </c>
      <c r="P42"/>
      <c r="Q42" s="11"/>
    </row>
    <row r="43" spans="1:17" x14ac:dyDescent="0.35">
      <c r="A43" s="3" t="s">
        <v>45</v>
      </c>
      <c r="B43" s="4">
        <v>7979.9410567211225</v>
      </c>
      <c r="C43" s="4">
        <v>8488.3284947371249</v>
      </c>
      <c r="D43" s="4">
        <v>9049.6550889682967</v>
      </c>
      <c r="E43" s="4">
        <v>9655.4073653091218</v>
      </c>
      <c r="F43" s="4">
        <v>10312.365311842064</v>
      </c>
      <c r="G43" s="4">
        <v>11026.47107206186</v>
      </c>
      <c r="H43" s="4">
        <v>11802.294008310344</v>
      </c>
      <c r="I43" s="4">
        <v>12654.32181824661</v>
      </c>
      <c r="J43" s="4">
        <v>13584.990528536677</v>
      </c>
      <c r="K43" s="4">
        <v>14602.590128537062</v>
      </c>
      <c r="L43" s="4">
        <v>15720.23240847456</v>
      </c>
      <c r="M43" s="4">
        <v>16945.816056439278</v>
      </c>
      <c r="N43" s="4">
        <v>18296.8469231405</v>
      </c>
      <c r="O43" s="11">
        <f t="shared" si="0"/>
        <v>7.5028452809800694E-2</v>
      </c>
      <c r="P43"/>
      <c r="Q43" s="11"/>
    </row>
    <row r="44" spans="1:17" x14ac:dyDescent="0.35">
      <c r="A44" s="3" t="s">
        <v>46</v>
      </c>
      <c r="B44" s="4">
        <v>565.58311663085203</v>
      </c>
      <c r="C44" s="4">
        <v>605.9752061678164</v>
      </c>
      <c r="D44" s="4">
        <v>650.64347452760558</v>
      </c>
      <c r="E44" s="4">
        <v>698.95844983354777</v>
      </c>
      <c r="F44" s="4">
        <v>751.35776437467371</v>
      </c>
      <c r="G44" s="4">
        <v>808.17360297068944</v>
      </c>
      <c r="H44" s="4">
        <v>869.77750889765457</v>
      </c>
      <c r="I44" s="4">
        <v>936.84997571324277</v>
      </c>
      <c r="J44" s="4">
        <v>1010.1037170239141</v>
      </c>
      <c r="K44" s="4">
        <v>1090.3479985580263</v>
      </c>
      <c r="L44" s="4">
        <v>1178.1797931207641</v>
      </c>
      <c r="M44" s="4">
        <v>1274.1490761399282</v>
      </c>
      <c r="N44" s="4">
        <v>1379.398524987407</v>
      </c>
      <c r="O44" s="11">
        <f t="shared" si="0"/>
        <v>7.9367406106348445E-2</v>
      </c>
      <c r="P44"/>
      <c r="Q44" s="11"/>
    </row>
    <row r="45" spans="1:17" x14ac:dyDescent="0.35">
      <c r="A45" s="3" t="s">
        <v>47</v>
      </c>
      <c r="B45" s="4">
        <v>4255.6204986594112</v>
      </c>
      <c r="C45" s="4">
        <v>4511.5119907744011</v>
      </c>
      <c r="D45" s="4">
        <v>4793.536333886037</v>
      </c>
      <c r="E45" s="4">
        <v>5096.8999375022277</v>
      </c>
      <c r="F45" s="4">
        <v>5423.7388353276165</v>
      </c>
      <c r="G45" s="4">
        <v>5776.8386643869208</v>
      </c>
      <c r="H45" s="4">
        <v>6157.0996112216262</v>
      </c>
      <c r="I45" s="4">
        <v>6569.367692860932</v>
      </c>
      <c r="J45" s="4">
        <v>7017.4621702051745</v>
      </c>
      <c r="K45" s="4">
        <v>7505.294751441259</v>
      </c>
      <c r="L45" s="4">
        <v>8036.5522707160408</v>
      </c>
      <c r="M45" s="4">
        <v>8614.4538080499788</v>
      </c>
      <c r="N45" s="4">
        <v>9245.7204071737942</v>
      </c>
      <c r="O45" s="11">
        <f t="shared" si="0"/>
        <v>6.9494721239158827E-2</v>
      </c>
      <c r="P45"/>
      <c r="Q45" s="11"/>
    </row>
    <row r="46" spans="1:17" x14ac:dyDescent="0.35">
      <c r="A46" s="1" t="s">
        <v>43</v>
      </c>
      <c r="O46" s="11" t="str">
        <f t="shared" si="0"/>
        <v/>
      </c>
      <c r="P46"/>
      <c r="Q46" s="11"/>
    </row>
    <row r="47" spans="1:17" x14ac:dyDescent="0.35">
      <c r="A47" s="2" t="s">
        <v>24</v>
      </c>
      <c r="O47" s="11" t="str">
        <f t="shared" si="0"/>
        <v/>
      </c>
      <c r="P47"/>
      <c r="Q47" s="11"/>
    </row>
    <row r="48" spans="1:17" x14ac:dyDescent="0.35">
      <c r="A48" s="3" t="s">
        <v>25</v>
      </c>
      <c r="B48" s="4">
        <v>353.66056095836041</v>
      </c>
      <c r="C48" s="4">
        <v>370.18445392591155</v>
      </c>
      <c r="D48" s="4">
        <v>388.31242330170983</v>
      </c>
      <c r="E48" s="4">
        <v>407.60135417397646</v>
      </c>
      <c r="F48" s="4">
        <v>428.21628637341627</v>
      </c>
      <c r="G48" s="4">
        <v>450.387167852527</v>
      </c>
      <c r="H48" s="4">
        <v>474.06485845046973</v>
      </c>
      <c r="I48" s="4">
        <v>500.0090206914748</v>
      </c>
      <c r="J48" s="4">
        <v>527.93139074316423</v>
      </c>
      <c r="K48" s="4">
        <v>558.13232213203855</v>
      </c>
      <c r="L48" s="4">
        <v>590.93005296812896</v>
      </c>
      <c r="M48" s="4">
        <v>626.59812659813451</v>
      </c>
      <c r="N48" s="4">
        <v>665.57773738930928</v>
      </c>
      <c r="O48" s="11">
        <f t="shared" si="0"/>
        <v>5.7378308707035947E-2</v>
      </c>
      <c r="P48"/>
      <c r="Q48" s="11"/>
    </row>
    <row r="49" spans="1:17" x14ac:dyDescent="0.35">
      <c r="A49" s="3" t="s">
        <v>26</v>
      </c>
      <c r="B49" s="4">
        <v>3389.3321491024067</v>
      </c>
      <c r="C49" s="4">
        <v>3575.5212378753058</v>
      </c>
      <c r="D49" s="4">
        <v>3780.9413804453702</v>
      </c>
      <c r="E49" s="4">
        <v>4001.054593921001</v>
      </c>
      <c r="F49" s="4">
        <v>4237.8634614757439</v>
      </c>
      <c r="G49" s="4">
        <v>4492.6717180010164</v>
      </c>
      <c r="H49" s="4">
        <v>4766.9115568485886</v>
      </c>
      <c r="I49" s="4">
        <v>5064.6820140991767</v>
      </c>
      <c r="J49" s="4">
        <v>5387.1649563219198</v>
      </c>
      <c r="K49" s="4">
        <v>5736.6762382979759</v>
      </c>
      <c r="L49" s="4">
        <v>6114.8986291835727</v>
      </c>
      <c r="M49" s="4">
        <v>6525.8111265711195</v>
      </c>
      <c r="N49" s="4">
        <v>6975.8508115854429</v>
      </c>
      <c r="O49" s="11">
        <f t="shared" si="0"/>
        <v>6.4875728458697685E-2</v>
      </c>
      <c r="P49"/>
      <c r="Q49" s="11"/>
    </row>
    <row r="50" spans="1:17" x14ac:dyDescent="0.35">
      <c r="A50" s="2" t="s">
        <v>27</v>
      </c>
      <c r="O50" s="11" t="str">
        <f t="shared" si="0"/>
        <v/>
      </c>
      <c r="P50"/>
      <c r="Q50" s="11"/>
    </row>
    <row r="51" spans="1:17" x14ac:dyDescent="0.35">
      <c r="A51" s="3" t="s">
        <v>30</v>
      </c>
      <c r="B51" s="4">
        <v>638.83213095764131</v>
      </c>
      <c r="C51" s="4">
        <v>680.72081497879572</v>
      </c>
      <c r="D51" s="4">
        <v>726.90759039104046</v>
      </c>
      <c r="E51" s="4">
        <v>777.07527624472289</v>
      </c>
      <c r="F51" s="4">
        <v>831.4397005630002</v>
      </c>
      <c r="G51" s="4">
        <v>890.91141176163478</v>
      </c>
      <c r="H51" s="4">
        <v>955.3716189814229</v>
      </c>
      <c r="I51" s="4">
        <v>1026.3043393031915</v>
      </c>
      <c r="J51" s="4">
        <v>1103.8096195821115</v>
      </c>
      <c r="K51" s="4">
        <v>1188.8548905241323</v>
      </c>
      <c r="L51" s="4">
        <v>1282.2490574389285</v>
      </c>
      <c r="M51" s="4">
        <v>1385.1762104162181</v>
      </c>
      <c r="N51" s="4">
        <v>1498.8211684728446</v>
      </c>
      <c r="O51" s="11">
        <f t="shared" si="0"/>
        <v>7.714362080457414E-2</v>
      </c>
      <c r="P51"/>
      <c r="Q51" s="11"/>
    </row>
    <row r="52" spans="1:17" x14ac:dyDescent="0.35">
      <c r="A52" s="3" t="s">
        <v>32</v>
      </c>
      <c r="B52" s="4">
        <v>310.39437134328477</v>
      </c>
      <c r="C52" s="4">
        <v>322.68632380017391</v>
      </c>
      <c r="D52" s="4">
        <v>336.00780714497256</v>
      </c>
      <c r="E52" s="4">
        <v>350.03837045201408</v>
      </c>
      <c r="F52" s="4">
        <v>364.83239590443054</v>
      </c>
      <c r="G52" s="4">
        <v>380.57260677962006</v>
      </c>
      <c r="H52" s="4">
        <v>397.4815623158853</v>
      </c>
      <c r="I52" s="4">
        <v>415.8440925207351</v>
      </c>
      <c r="J52" s="4">
        <v>435.53103332727471</v>
      </c>
      <c r="K52" s="4">
        <v>456.65203821791897</v>
      </c>
      <c r="L52" s="4">
        <v>479.39070606800772</v>
      </c>
      <c r="M52" s="4">
        <v>504.06498730849836</v>
      </c>
      <c r="N52" s="4">
        <v>530.88617666799894</v>
      </c>
      <c r="O52" s="11">
        <f t="shared" si="0"/>
        <v>4.8701730389886649E-2</v>
      </c>
      <c r="P52"/>
      <c r="Q52" s="11"/>
    </row>
    <row r="53" spans="1:17" x14ac:dyDescent="0.35">
      <c r="A53" s="3" t="s">
        <v>29</v>
      </c>
      <c r="B53" s="4">
        <v>812.32791646445003</v>
      </c>
      <c r="C53" s="4">
        <v>862.28326253079013</v>
      </c>
      <c r="D53" s="4">
        <v>917.10208647823924</v>
      </c>
      <c r="E53" s="4">
        <v>976.39985503100809</v>
      </c>
      <c r="F53" s="4">
        <v>1040.592004370257</v>
      </c>
      <c r="G53" s="4">
        <v>1110.4705696796805</v>
      </c>
      <c r="H53" s="4">
        <v>1185.8254954652939</v>
      </c>
      <c r="I53" s="4">
        <v>1268.4307243013388</v>
      </c>
      <c r="J53" s="4">
        <v>1358.4596085639216</v>
      </c>
      <c r="K53" s="4">
        <v>1456.6905242160133</v>
      </c>
      <c r="L53" s="4">
        <v>1564.1589871057618</v>
      </c>
      <c r="M53" s="4">
        <v>1681.9904887666337</v>
      </c>
      <c r="N53" s="4">
        <v>1811.6330089394137</v>
      </c>
      <c r="O53" s="11">
        <f t="shared" si="0"/>
        <v>7.2423118070296957E-2</v>
      </c>
      <c r="P53"/>
      <c r="Q53" s="11"/>
    </row>
    <row r="54" spans="1:17" x14ac:dyDescent="0.35">
      <c r="A54" s="3" t="s">
        <v>31</v>
      </c>
      <c r="B54" s="4">
        <v>491.50906684260622</v>
      </c>
      <c r="C54" s="4">
        <v>519.55909892924831</v>
      </c>
      <c r="D54" s="4">
        <v>549.79057049632456</v>
      </c>
      <c r="E54" s="4">
        <v>582.14847411133576</v>
      </c>
      <c r="F54" s="4">
        <v>617.03193588532395</v>
      </c>
      <c r="G54" s="4">
        <v>654.75240264126717</v>
      </c>
      <c r="H54" s="4">
        <v>695.38555291882835</v>
      </c>
      <c r="I54" s="4">
        <v>739.80339725841611</v>
      </c>
      <c r="J54" s="4">
        <v>788.08884267456131</v>
      </c>
      <c r="K54" s="4">
        <v>840.30562627632787</v>
      </c>
      <c r="L54" s="4">
        <v>897.36829320471111</v>
      </c>
      <c r="M54" s="4">
        <v>959.35295184863753</v>
      </c>
      <c r="N54" s="4">
        <v>1027.0626285169481</v>
      </c>
      <c r="O54" s="11">
        <f t="shared" si="0"/>
        <v>6.6427667034304014E-2</v>
      </c>
      <c r="P54"/>
      <c r="Q54" s="11"/>
    </row>
    <row r="55" spans="1:17" x14ac:dyDescent="0.35">
      <c r="A55" s="3" t="s">
        <v>28</v>
      </c>
      <c r="B55" s="4">
        <v>1290.2311621094877</v>
      </c>
      <c r="C55" s="4">
        <v>1350.4777644763012</v>
      </c>
      <c r="D55" s="4">
        <v>1418.2873310352402</v>
      </c>
      <c r="E55" s="4">
        <v>1489.8428372729231</v>
      </c>
      <c r="F55" s="4">
        <v>1566.1502437034119</v>
      </c>
      <c r="G55" s="4">
        <v>1646.4008145742848</v>
      </c>
      <c r="H55" s="4">
        <v>1732.0851279764129</v>
      </c>
      <c r="I55" s="4">
        <v>1823.3458632570391</v>
      </c>
      <c r="J55" s="4">
        <v>1920.7298374798929</v>
      </c>
      <c r="K55" s="4">
        <v>2024.9315895873888</v>
      </c>
      <c r="L55" s="4">
        <v>2134.7622281674553</v>
      </c>
      <c r="M55" s="4">
        <v>2251.6199848993274</v>
      </c>
      <c r="N55" s="4">
        <v>2378.4976109877748</v>
      </c>
      <c r="O55" s="11">
        <f t="shared" si="0"/>
        <v>5.3959391785705753E-2</v>
      </c>
      <c r="P55"/>
      <c r="Q55" s="11"/>
    </row>
    <row r="56" spans="1:17" x14ac:dyDescent="0.35">
      <c r="A56" s="3" t="s">
        <v>33</v>
      </c>
      <c r="B56" s="4">
        <v>199.69806234329613</v>
      </c>
      <c r="C56" s="4">
        <v>209.97842708590827</v>
      </c>
      <c r="D56" s="4">
        <v>221.15841820126312</v>
      </c>
      <c r="E56" s="4">
        <v>233.15113498297382</v>
      </c>
      <c r="F56" s="4">
        <v>246.03346742273669</v>
      </c>
      <c r="G56" s="4">
        <v>259.95108041705623</v>
      </c>
      <c r="H56" s="4">
        <v>274.82705764121511</v>
      </c>
      <c r="I56" s="4">
        <v>290.96261814993159</v>
      </c>
      <c r="J56" s="4">
        <v>308.47740543732175</v>
      </c>
      <c r="K56" s="4">
        <v>327.37389160823358</v>
      </c>
      <c r="L56" s="4">
        <v>347.89941016683736</v>
      </c>
      <c r="M56" s="4">
        <v>370.20462992993959</v>
      </c>
      <c r="N56" s="4">
        <v>394.52795538977188</v>
      </c>
      <c r="O56" s="11">
        <f t="shared" si="0"/>
        <v>6.141137215253039E-2</v>
      </c>
      <c r="P56"/>
      <c r="Q56" s="11"/>
    </row>
    <row r="57" spans="1:17" x14ac:dyDescent="0.35">
      <c r="A57" s="2" t="s">
        <v>34</v>
      </c>
      <c r="O57" s="11" t="str">
        <f t="shared" si="0"/>
        <v/>
      </c>
      <c r="P57"/>
      <c r="Q57" s="11"/>
    </row>
    <row r="58" spans="1:17" x14ac:dyDescent="0.35">
      <c r="A58" s="3" t="s">
        <v>36</v>
      </c>
      <c r="B58" s="4">
        <v>1324.9840390800859</v>
      </c>
      <c r="C58" s="4">
        <v>1410.4551842705791</v>
      </c>
      <c r="D58" s="4">
        <v>1503.067580461872</v>
      </c>
      <c r="E58" s="4">
        <v>1602.8684905853984</v>
      </c>
      <c r="F58" s="4">
        <v>1710.4265257135878</v>
      </c>
      <c r="G58" s="4">
        <v>1826.7548798966118</v>
      </c>
      <c r="H58" s="4">
        <v>1952.9634449759399</v>
      </c>
      <c r="I58" s="4">
        <v>2090.0293412675956</v>
      </c>
      <c r="J58" s="4">
        <v>2239.7787889168908</v>
      </c>
      <c r="K58" s="4">
        <v>2402.365552930587</v>
      </c>
      <c r="L58" s="4">
        <v>2579.3143364560328</v>
      </c>
      <c r="M58" s="4">
        <v>2772.7920730844335</v>
      </c>
      <c r="N58" s="4">
        <v>2984.8871733850829</v>
      </c>
      <c r="O58" s="11">
        <f t="shared" si="0"/>
        <v>7.2664601925486905E-2</v>
      </c>
      <c r="P58"/>
      <c r="Q58" s="11"/>
    </row>
    <row r="59" spans="1:17" x14ac:dyDescent="0.35">
      <c r="A59" s="3" t="s">
        <v>37</v>
      </c>
      <c r="B59" s="4">
        <v>840.49489195850401</v>
      </c>
      <c r="C59" s="4">
        <v>888.18334860789673</v>
      </c>
      <c r="D59" s="4">
        <v>940.48863640863669</v>
      </c>
      <c r="E59" s="4">
        <v>996.41514971940842</v>
      </c>
      <c r="F59" s="4">
        <v>1056.2991258083482</v>
      </c>
      <c r="G59" s="4">
        <v>1120.7642249472772</v>
      </c>
      <c r="H59" s="4">
        <v>1190.7972936114495</v>
      </c>
      <c r="I59" s="4">
        <v>1267.1977614859725</v>
      </c>
      <c r="J59" s="4">
        <v>1349.9174681404943</v>
      </c>
      <c r="K59" s="4">
        <v>1439.6305921647865</v>
      </c>
      <c r="L59" s="4">
        <v>1537.1490495466403</v>
      </c>
      <c r="M59" s="4">
        <v>1643.7838192038896</v>
      </c>
      <c r="N59" s="4">
        <v>1760.8671425344658</v>
      </c>
      <c r="O59" s="11">
        <f t="shared" si="0"/>
        <v>6.6670619139595363E-2</v>
      </c>
      <c r="P59"/>
      <c r="Q59" s="11"/>
    </row>
    <row r="60" spans="1:17" x14ac:dyDescent="0.35">
      <c r="A60" s="3" t="s">
        <v>35</v>
      </c>
      <c r="B60" s="4">
        <v>1227.8993667507357</v>
      </c>
      <c r="C60" s="4">
        <v>1279.7677452018693</v>
      </c>
      <c r="D60" s="4">
        <v>1339.2666442870691</v>
      </c>
      <c r="E60" s="4">
        <v>1402.5262254201975</v>
      </c>
      <c r="F60" s="4">
        <v>1470.7324435255723</v>
      </c>
      <c r="G60" s="4">
        <v>1543.5240034506116</v>
      </c>
      <c r="H60" s="4">
        <v>1620.023241948199</v>
      </c>
      <c r="I60" s="4">
        <v>1703.1027751490087</v>
      </c>
      <c r="J60" s="4">
        <v>1791.630201148485</v>
      </c>
      <c r="K60" s="4">
        <v>1887.0824215560463</v>
      </c>
      <c r="L60" s="4">
        <v>1988.994987505745</v>
      </c>
      <c r="M60" s="4">
        <v>2098.003759699217</v>
      </c>
      <c r="N60" s="4">
        <v>2216.8600046630318</v>
      </c>
      <c r="O60" s="11">
        <f t="shared" si="0"/>
        <v>5.30783813378004E-2</v>
      </c>
      <c r="P60"/>
      <c r="Q60" s="11"/>
    </row>
    <row r="61" spans="1:17" x14ac:dyDescent="0.35">
      <c r="A61" s="3" t="s">
        <v>38</v>
      </c>
      <c r="B61" s="4">
        <v>349.61441227144098</v>
      </c>
      <c r="C61" s="4">
        <v>367.29941372087239</v>
      </c>
      <c r="D61" s="4">
        <v>386.43094258950151</v>
      </c>
      <c r="E61" s="4">
        <v>406.8460823699736</v>
      </c>
      <c r="F61" s="4">
        <v>428.62165280165209</v>
      </c>
      <c r="G61" s="4">
        <v>452.01577755904293</v>
      </c>
      <c r="H61" s="4">
        <v>477.19243476346981</v>
      </c>
      <c r="I61" s="4">
        <v>504.36115688807513</v>
      </c>
      <c r="J61" s="4">
        <v>533.76988885921412</v>
      </c>
      <c r="K61" s="4">
        <v>565.72999377859492</v>
      </c>
      <c r="L61" s="4">
        <v>600.37030864328369</v>
      </c>
      <c r="M61" s="4">
        <v>637.82960118171457</v>
      </c>
      <c r="N61" s="4">
        <v>678.81422839217089</v>
      </c>
      <c r="O61" s="11">
        <f t="shared" si="0"/>
        <v>5.9810436261512369E-2</v>
      </c>
      <c r="P61"/>
      <c r="Q61" s="11"/>
    </row>
    <row r="62" spans="1:17" x14ac:dyDescent="0.35">
      <c r="A62" s="2" t="s">
        <v>22</v>
      </c>
      <c r="O62" s="11" t="str">
        <f t="shared" si="0"/>
        <v/>
      </c>
      <c r="P62"/>
      <c r="Q62" s="11"/>
    </row>
    <row r="63" spans="1:17" x14ac:dyDescent="0.35">
      <c r="A63" s="3" t="s">
        <v>39</v>
      </c>
      <c r="B63" s="4">
        <v>973.06599419591066</v>
      </c>
      <c r="C63" s="4">
        <v>1025.9181705108811</v>
      </c>
      <c r="D63" s="4">
        <v>1085.803467740257</v>
      </c>
      <c r="E63" s="4">
        <v>1150.1211901417182</v>
      </c>
      <c r="F63" s="4">
        <v>1219.4525269314918</v>
      </c>
      <c r="G63" s="4">
        <v>1293.8307262382014</v>
      </c>
      <c r="H63" s="4">
        <v>1374.025956644959</v>
      </c>
      <c r="I63" s="4">
        <v>1461.3958873555252</v>
      </c>
      <c r="J63" s="4">
        <v>1555.3148974659239</v>
      </c>
      <c r="K63" s="4">
        <v>1657.3106416885403</v>
      </c>
      <c r="L63" s="4">
        <v>1766.6232638675008</v>
      </c>
      <c r="M63" s="4">
        <v>1885.6893144053427</v>
      </c>
      <c r="N63" s="4">
        <v>2016.8728680796414</v>
      </c>
      <c r="O63" s="11">
        <f t="shared" si="0"/>
        <v>6.5474374380044303E-2</v>
      </c>
      <c r="P63"/>
      <c r="Q63" s="11"/>
    </row>
    <row r="64" spans="1:17" x14ac:dyDescent="0.35">
      <c r="A64" s="3" t="s">
        <v>41</v>
      </c>
      <c r="B64" s="4">
        <v>739.89162997496794</v>
      </c>
      <c r="C64" s="4">
        <v>772.11613254227541</v>
      </c>
      <c r="D64" s="4">
        <v>807.14778444030253</v>
      </c>
      <c r="E64" s="4">
        <v>844.13352517228134</v>
      </c>
      <c r="F64" s="4">
        <v>883.51532895971684</v>
      </c>
      <c r="G64" s="4">
        <v>925.64404290104596</v>
      </c>
      <c r="H64" s="4">
        <v>970.65215902661021</v>
      </c>
      <c r="I64" s="4">
        <v>1019.8389747049375</v>
      </c>
      <c r="J64" s="4">
        <v>1072.6974419323053</v>
      </c>
      <c r="K64" s="4">
        <v>1129.6617733901685</v>
      </c>
      <c r="L64" s="4">
        <v>1191.484750128624</v>
      </c>
      <c r="M64" s="4">
        <v>1258.3140269805078</v>
      </c>
      <c r="N64" s="4">
        <v>1331.1821831007264</v>
      </c>
      <c r="O64" s="11">
        <f t="shared" si="0"/>
        <v>5.3275364811066296E-2</v>
      </c>
      <c r="P64"/>
      <c r="Q64" s="11"/>
    </row>
    <row r="65" spans="1:17" x14ac:dyDescent="0.35">
      <c r="A65" s="3" t="s">
        <v>40</v>
      </c>
      <c r="B65" s="4">
        <v>955.80589828716018</v>
      </c>
      <c r="C65" s="4">
        <v>1004.8720273688737</v>
      </c>
      <c r="D65" s="4">
        <v>1057.8679469308615</v>
      </c>
      <c r="E65" s="4">
        <v>1114.4657350894415</v>
      </c>
      <c r="F65" s="4">
        <v>1175.1810699419052</v>
      </c>
      <c r="G65" s="4">
        <v>1240.5332655345767</v>
      </c>
      <c r="H65" s="4">
        <v>1310.3650291951899</v>
      </c>
      <c r="I65" s="4">
        <v>1385.7934840003302</v>
      </c>
      <c r="J65" s="4">
        <v>1467.7319015216819</v>
      </c>
      <c r="K65" s="4">
        <v>1555.836677261671</v>
      </c>
      <c r="L65" s="4">
        <v>1651.4629420346228</v>
      </c>
      <c r="M65" s="4">
        <v>1754.9266093388594</v>
      </c>
      <c r="N65" s="4">
        <v>1867.5425994553907</v>
      </c>
      <c r="O65" s="11">
        <f t="shared" si="0"/>
        <v>6.0181692275597408E-2</v>
      </c>
      <c r="P65"/>
      <c r="Q65" s="11"/>
    </row>
    <row r="66" spans="1:17" x14ac:dyDescent="0.35">
      <c r="A66" s="3" t="s">
        <v>42</v>
      </c>
      <c r="B66" s="4">
        <v>1074.2291876027277</v>
      </c>
      <c r="C66" s="4">
        <v>1142.7993613791873</v>
      </c>
      <c r="D66" s="4">
        <v>1218.4346046356586</v>
      </c>
      <c r="E66" s="4">
        <v>1299.9354976915367</v>
      </c>
      <c r="F66" s="4">
        <v>1387.9308220160465</v>
      </c>
      <c r="G66" s="4">
        <v>1483.0508511797198</v>
      </c>
      <c r="H66" s="4">
        <v>1585.9332704322992</v>
      </c>
      <c r="I66" s="4">
        <v>1697.6626887298592</v>
      </c>
      <c r="J66" s="4">
        <v>1819.3521061451729</v>
      </c>
      <c r="K66" s="4">
        <v>1951.9994680896345</v>
      </c>
      <c r="L66" s="4">
        <v>2096.2577261209544</v>
      </c>
      <c r="M66" s="4">
        <v>2253.4793024445444</v>
      </c>
      <c r="N66" s="4">
        <v>2425.8308983389925</v>
      </c>
      <c r="O66" s="11">
        <f t="shared" si="0"/>
        <v>7.2825805951562295E-2</v>
      </c>
      <c r="P66"/>
      <c r="Q66" s="11"/>
    </row>
    <row r="67" spans="1:17" x14ac:dyDescent="0.35">
      <c r="A67" s="2" t="s">
        <v>48</v>
      </c>
      <c r="O67" s="11" t="str">
        <f t="shared" si="0"/>
        <v/>
      </c>
      <c r="P67"/>
      <c r="Q67" s="11"/>
    </row>
    <row r="68" spans="1:17" x14ac:dyDescent="0.35">
      <c r="A68" s="3" t="s">
        <v>49</v>
      </c>
      <c r="B68" s="4">
        <v>246.48382994357075</v>
      </c>
      <c r="C68" s="4">
        <v>256.97444000646726</v>
      </c>
      <c r="D68" s="4">
        <v>268.86815228858035</v>
      </c>
      <c r="E68" s="4">
        <v>281.50548506374349</v>
      </c>
      <c r="F68" s="4">
        <v>295.05563011564396</v>
      </c>
      <c r="G68" s="4">
        <v>309.5221964397852</v>
      </c>
      <c r="H68" s="4">
        <v>325.01711427843975</v>
      </c>
      <c r="I68" s="4">
        <v>341.88769528892499</v>
      </c>
      <c r="J68" s="4">
        <v>359.91105505658794</v>
      </c>
      <c r="K68" s="4">
        <v>379.41989247950096</v>
      </c>
      <c r="L68" s="4">
        <v>400.32882796288686</v>
      </c>
      <c r="M68" s="4">
        <v>422.87133494328793</v>
      </c>
      <c r="N68" s="4">
        <v>447.55653209666451</v>
      </c>
      <c r="O68" s="11">
        <f t="shared" si="0"/>
        <v>5.4094247016530164E-2</v>
      </c>
      <c r="P68"/>
      <c r="Q68" s="11"/>
    </row>
    <row r="69" spans="1:17" x14ac:dyDescent="0.35">
      <c r="A69" s="3" t="s">
        <v>50</v>
      </c>
      <c r="B69" s="4">
        <v>86.841438072523715</v>
      </c>
      <c r="C69" s="4">
        <v>89.858906762254719</v>
      </c>
      <c r="D69" s="4">
        <v>93.329431079212696</v>
      </c>
      <c r="E69" s="4">
        <v>96.999954540144017</v>
      </c>
      <c r="F69" s="4">
        <v>100.91902738531688</v>
      </c>
      <c r="G69" s="4">
        <v>105.07793020826098</v>
      </c>
      <c r="H69" s="4">
        <v>109.51168644298791</v>
      </c>
      <c r="I69" s="4">
        <v>114.31936000994202</v>
      </c>
      <c r="J69" s="4">
        <v>119.42675362357951</v>
      </c>
      <c r="K69" s="4">
        <v>124.94523519966414</v>
      </c>
      <c r="L69" s="4">
        <v>130.8189884201214</v>
      </c>
      <c r="M69" s="4">
        <v>137.12266561340883</v>
      </c>
      <c r="N69" s="4">
        <v>144.00828247253443</v>
      </c>
      <c r="O69" s="11">
        <f t="shared" si="0"/>
        <v>4.6053046738994761E-2</v>
      </c>
      <c r="P69"/>
      <c r="Q69" s="11"/>
    </row>
    <row r="70" spans="1:17" x14ac:dyDescent="0.35">
      <c r="A70" s="3" t="s">
        <v>51</v>
      </c>
      <c r="B70" s="4">
        <v>472.09904379592149</v>
      </c>
      <c r="C70" s="4">
        <v>496.22979730665116</v>
      </c>
      <c r="D70" s="4">
        <v>522.04657571409541</v>
      </c>
      <c r="E70" s="4">
        <v>549.53789973774349</v>
      </c>
      <c r="F70" s="4">
        <v>578.70911045732748</v>
      </c>
      <c r="G70" s="4">
        <v>609.83695102006084</v>
      </c>
      <c r="H70" s="4">
        <v>643.50931322381075</v>
      </c>
      <c r="I70" s="4">
        <v>679.65268314813159</v>
      </c>
      <c r="J70" s="4">
        <v>718.73569510793732</v>
      </c>
      <c r="K70" s="4">
        <v>760.77877601960688</v>
      </c>
      <c r="L70" s="4">
        <v>805.85570636020316</v>
      </c>
      <c r="M70" s="4">
        <v>854.73606600191715</v>
      </c>
      <c r="N70" s="4">
        <v>907.83104185825437</v>
      </c>
      <c r="O70" s="11">
        <f t="shared" si="0"/>
        <v>5.8484421241909307E-2</v>
      </c>
      <c r="P70"/>
      <c r="Q70" s="11"/>
    </row>
    <row r="71" spans="1:17" x14ac:dyDescent="0.35">
      <c r="A71" s="3" t="s">
        <v>52</v>
      </c>
      <c r="B71" s="4">
        <v>90.75474213663459</v>
      </c>
      <c r="C71" s="4">
        <v>94.644040145626491</v>
      </c>
      <c r="D71" s="4">
        <v>98.912184003897607</v>
      </c>
      <c r="E71" s="4">
        <v>103.4281815902109</v>
      </c>
      <c r="F71" s="4">
        <v>108.22040399495825</v>
      </c>
      <c r="G71" s="4">
        <v>113.29131357192236</v>
      </c>
      <c r="H71" s="4">
        <v>118.64403585228058</v>
      </c>
      <c r="I71" s="4">
        <v>124.31122665381334</v>
      </c>
      <c r="J71" s="4">
        <v>130.38438706609378</v>
      </c>
      <c r="K71" s="4">
        <v>136.93542380456051</v>
      </c>
      <c r="L71" s="4">
        <v>143.93820903667043</v>
      </c>
      <c r="M71" s="4">
        <v>151.3847765317322</v>
      </c>
      <c r="N71" s="4">
        <v>159.36323172408808</v>
      </c>
      <c r="O71" s="11">
        <f t="shared" si="0"/>
        <v>4.9953864952270506E-2</v>
      </c>
      <c r="P71"/>
      <c r="Q71" s="11"/>
    </row>
    <row r="72" spans="1:17" x14ac:dyDescent="0.35">
      <c r="A72" s="3" t="s">
        <v>53</v>
      </c>
      <c r="B72" s="4">
        <v>76.400363694834823</v>
      </c>
      <c r="C72" s="4">
        <v>78.4703280487103</v>
      </c>
      <c r="D72" s="4">
        <v>80.723144058142935</v>
      </c>
      <c r="E72" s="4">
        <v>83.186409985276001</v>
      </c>
      <c r="F72" s="4">
        <v>85.816179877702567</v>
      </c>
      <c r="G72" s="4">
        <v>88.745730746610491</v>
      </c>
      <c r="H72" s="4">
        <v>91.821736527128252</v>
      </c>
      <c r="I72" s="4">
        <v>95.226342994261486</v>
      </c>
      <c r="J72" s="4">
        <v>98.906949883122692</v>
      </c>
      <c r="K72" s="4">
        <v>102.89252768942131</v>
      </c>
      <c r="L72" s="4">
        <v>107.26356146156206</v>
      </c>
      <c r="M72" s="4">
        <v>112.06178447137093</v>
      </c>
      <c r="N72" s="4">
        <v>117.27511842975694</v>
      </c>
      <c r="O72" s="11">
        <f t="shared" si="0"/>
        <v>4.0624529016048704E-2</v>
      </c>
      <c r="P72"/>
      <c r="Q72" s="11"/>
    </row>
    <row r="73" spans="1:17" x14ac:dyDescent="0.35">
      <c r="A73" s="3" t="s">
        <v>54</v>
      </c>
      <c r="B73" s="4">
        <v>44.753331669062405</v>
      </c>
      <c r="C73" s="4">
        <v>45.850133450185233</v>
      </c>
      <c r="D73" s="4">
        <v>47.157622523027165</v>
      </c>
      <c r="E73" s="4">
        <v>48.536430758414781</v>
      </c>
      <c r="F73" s="4">
        <v>50.009428833160001</v>
      </c>
      <c r="G73" s="4">
        <v>51.568969789236021</v>
      </c>
      <c r="H73" s="4">
        <v>53.231024697563242</v>
      </c>
      <c r="I73" s="4">
        <v>55.043046880736995</v>
      </c>
      <c r="J73" s="4">
        <v>56.958191943221237</v>
      </c>
      <c r="K73" s="4">
        <v>59.028039045830113</v>
      </c>
      <c r="L73" s="4">
        <v>61.220256371332368</v>
      </c>
      <c r="M73" s="4">
        <v>63.568931892377933</v>
      </c>
      <c r="N73" s="4">
        <v>66.14263581644515</v>
      </c>
      <c r="O73" s="11">
        <f t="shared" si="0"/>
        <v>3.6195884832222039E-2</v>
      </c>
      <c r="P73"/>
      <c r="Q73" s="11"/>
    </row>
    <row r="74" spans="1:17" x14ac:dyDescent="0.35">
      <c r="A74" s="3" t="s">
        <v>55</v>
      </c>
      <c r="B74" s="4">
        <v>617.60152076174336</v>
      </c>
      <c r="C74" s="4">
        <v>650.35892432346043</v>
      </c>
      <c r="D74" s="4">
        <v>686.3948599308743</v>
      </c>
      <c r="E74" s="4">
        <v>725.02640610097683</v>
      </c>
      <c r="F74" s="4">
        <v>766.44450629701009</v>
      </c>
      <c r="G74" s="4">
        <v>811.27986266032315</v>
      </c>
      <c r="H74" s="4">
        <v>859.34382587395351</v>
      </c>
      <c r="I74" s="4">
        <v>911.33473058441564</v>
      </c>
      <c r="J74" s="4">
        <v>967.89982737608977</v>
      </c>
      <c r="K74" s="4">
        <v>1028.8253952745938</v>
      </c>
      <c r="L74" s="4">
        <v>1094.9481741788188</v>
      </c>
      <c r="M74" s="4">
        <v>1166.8144757350371</v>
      </c>
      <c r="N74" s="4">
        <v>1245.4575156706842</v>
      </c>
      <c r="O74" s="11">
        <f t="shared" si="0"/>
        <v>6.3148746934214461E-2</v>
      </c>
      <c r="P74"/>
      <c r="Q74" s="11"/>
    </row>
    <row r="75" spans="1:17" x14ac:dyDescent="0.35">
      <c r="A75" s="3" t="s">
        <v>56</v>
      </c>
      <c r="B75" s="4">
        <v>1284.0478734526662</v>
      </c>
      <c r="C75" s="4">
        <v>1360.0565679731767</v>
      </c>
      <c r="D75" s="4">
        <v>1445.772753323148</v>
      </c>
      <c r="E75" s="4">
        <v>1537.8494755653765</v>
      </c>
      <c r="F75" s="4">
        <v>1637.4087188553247</v>
      </c>
      <c r="G75" s="4">
        <v>1744.797001476476</v>
      </c>
      <c r="H75" s="4">
        <v>1861.0123108736771</v>
      </c>
      <c r="I75" s="4">
        <v>1988.5015689775205</v>
      </c>
      <c r="J75" s="4">
        <v>2126.2354182313084</v>
      </c>
      <c r="K75" s="4">
        <v>2276.7456131052845</v>
      </c>
      <c r="L75" s="4">
        <v>2439.9218100423627</v>
      </c>
      <c r="M75" s="4">
        <v>2617.9107494725768</v>
      </c>
      <c r="N75" s="4">
        <v>2814.3865056556992</v>
      </c>
      <c r="O75" s="11">
        <f t="shared" si="0"/>
        <v>7.0687396651845535E-2</v>
      </c>
      <c r="P75"/>
      <c r="Q75" s="11"/>
    </row>
    <row r="76" spans="1:17" x14ac:dyDescent="0.35">
      <c r="A76" s="3" t="s">
        <v>57</v>
      </c>
      <c r="B76" s="4">
        <v>824.01056653380931</v>
      </c>
      <c r="C76" s="4">
        <v>873.26255378468511</v>
      </c>
      <c r="D76" s="4">
        <v>926.0490808261012</v>
      </c>
      <c r="E76" s="4">
        <v>982.58570475309182</v>
      </c>
      <c r="F76" s="4">
        <v>1043.4967420327164</v>
      </c>
      <c r="G76" s="4">
        <v>1108.9389299408685</v>
      </c>
      <c r="H76" s="4">
        <v>1178.8853675292169</v>
      </c>
      <c r="I76" s="4">
        <v>1254.4143802529054</v>
      </c>
      <c r="J76" s="4">
        <v>1336.6380687771432</v>
      </c>
      <c r="K76" s="4">
        <v>1425.2376578115525</v>
      </c>
      <c r="L76" s="4">
        <v>1521.5331483177442</v>
      </c>
      <c r="M76" s="4">
        <v>1625.9384685075456</v>
      </c>
      <c r="N76" s="4">
        <v>1739.4076852506246</v>
      </c>
      <c r="O76" s="11">
        <f t="shared" si="0"/>
        <v>6.6418521419111448E-2</v>
      </c>
      <c r="P76"/>
      <c r="Q76" s="11"/>
    </row>
    <row r="77" spans="1:17" x14ac:dyDescent="0.35">
      <c r="A77" s="1" t="s">
        <v>44</v>
      </c>
      <c r="O77" s="11" t="str">
        <f t="shared" si="0"/>
        <v/>
      </c>
      <c r="P77"/>
      <c r="Q77" s="11"/>
    </row>
    <row r="78" spans="1:17" x14ac:dyDescent="0.35">
      <c r="A78" s="2" t="s">
        <v>24</v>
      </c>
      <c r="O78" s="11" t="str">
        <f t="shared" si="0"/>
        <v/>
      </c>
      <c r="P78"/>
      <c r="Q78" s="11"/>
    </row>
    <row r="79" spans="1:17" x14ac:dyDescent="0.35">
      <c r="A79" s="3" t="s">
        <v>25</v>
      </c>
      <c r="B79" s="4">
        <v>404.79861143295665</v>
      </c>
      <c r="C79" s="4">
        <v>421.24051874719669</v>
      </c>
      <c r="D79" s="4">
        <v>439.24658148832913</v>
      </c>
      <c r="E79" s="4">
        <v>458.45896145646958</v>
      </c>
      <c r="F79" s="4">
        <v>478.94067431113251</v>
      </c>
      <c r="G79" s="4">
        <v>500.97671056349225</v>
      </c>
      <c r="H79" s="4">
        <v>524.49194909968651</v>
      </c>
      <c r="I79" s="4">
        <v>549.89148162944957</v>
      </c>
      <c r="J79" s="4">
        <v>577.31004424777132</v>
      </c>
      <c r="K79" s="4">
        <v>606.98616259159496</v>
      </c>
      <c r="L79" s="4">
        <v>639.07648994435408</v>
      </c>
      <c r="M79" s="4">
        <v>673.7396428949404</v>
      </c>
      <c r="N79" s="4">
        <v>711.54242819033936</v>
      </c>
      <c r="O79" s="11">
        <f t="shared" si="0"/>
        <v>5.1402578616662725E-2</v>
      </c>
      <c r="P79"/>
      <c r="Q79" s="11"/>
    </row>
    <row r="80" spans="1:17" x14ac:dyDescent="0.35">
      <c r="A80" s="3" t="s">
        <v>26</v>
      </c>
      <c r="B80" s="4">
        <v>3978.993402648056</v>
      </c>
      <c r="C80" s="4">
        <v>4179.6688317241014</v>
      </c>
      <c r="D80" s="4">
        <v>4395.7937986581055</v>
      </c>
      <c r="E80" s="4">
        <v>4626.3374958001259</v>
      </c>
      <c r="F80" s="4">
        <v>4873.0831028353532</v>
      </c>
      <c r="G80" s="4">
        <v>5137.9440558356418</v>
      </c>
      <c r="H80" s="4">
        <v>5421.7252352970763</v>
      </c>
      <c r="I80" s="4">
        <v>5728.3786172794125</v>
      </c>
      <c r="J80" s="4">
        <v>6060.9728677600224</v>
      </c>
      <c r="K80" s="4">
        <v>6419.6470236475225</v>
      </c>
      <c r="L80" s="4">
        <v>6808.5177139429998</v>
      </c>
      <c r="M80" s="4">
        <v>7229.5983598172388</v>
      </c>
      <c r="N80" s="4">
        <v>7687.5040027283121</v>
      </c>
      <c r="O80" s="11">
        <f t="shared" si="0"/>
        <v>5.9252325786997809E-2</v>
      </c>
      <c r="P80"/>
      <c r="Q80" s="11"/>
    </row>
    <row r="81" spans="1:17" x14ac:dyDescent="0.35">
      <c r="A81" s="2" t="s">
        <v>27</v>
      </c>
      <c r="O81" s="11" t="str">
        <f t="shared" si="0"/>
        <v/>
      </c>
      <c r="P81"/>
      <c r="Q81" s="11"/>
    </row>
    <row r="82" spans="1:17" x14ac:dyDescent="0.35">
      <c r="A82" s="3" t="s">
        <v>30</v>
      </c>
      <c r="B82" s="4">
        <v>772.96934465287495</v>
      </c>
      <c r="C82" s="4">
        <v>820.44660134195055</v>
      </c>
      <c r="D82" s="4">
        <v>872.52287456027511</v>
      </c>
      <c r="E82" s="4">
        <v>928.62335670332072</v>
      </c>
      <c r="F82" s="4">
        <v>989.10348440828579</v>
      </c>
      <c r="G82" s="4">
        <v>1054.6560466256424</v>
      </c>
      <c r="H82" s="4">
        <v>1125.6101530537571</v>
      </c>
      <c r="I82" s="4">
        <v>1202.8319480809366</v>
      </c>
      <c r="J82" s="4">
        <v>1287.0231396253598</v>
      </c>
      <c r="K82" s="4">
        <v>1379.0597869771996</v>
      </c>
      <c r="L82" s="4">
        <v>1479.6727889555243</v>
      </c>
      <c r="M82" s="4">
        <v>1589.4898120477194</v>
      </c>
      <c r="N82" s="4">
        <v>1710.2618215099465</v>
      </c>
      <c r="O82" s="11">
        <f t="shared" si="0"/>
        <v>7.1502300306679062E-2</v>
      </c>
      <c r="P82"/>
      <c r="Q82" s="11"/>
    </row>
    <row r="83" spans="1:17" x14ac:dyDescent="0.35">
      <c r="A83" s="3" t="s">
        <v>32</v>
      </c>
      <c r="B83" s="4">
        <v>389.90497592219106</v>
      </c>
      <c r="C83" s="4">
        <v>403.14475598831586</v>
      </c>
      <c r="D83" s="4">
        <v>417.45854754132091</v>
      </c>
      <c r="E83" s="4">
        <v>432.58228533104403</v>
      </c>
      <c r="F83" s="4">
        <v>448.65243461749287</v>
      </c>
      <c r="G83" s="4">
        <v>465.84419486494147</v>
      </c>
      <c r="H83" s="4">
        <v>484.08342188852589</v>
      </c>
      <c r="I83" s="4">
        <v>503.84607809452018</v>
      </c>
      <c r="J83" s="4">
        <v>525.10986369449188</v>
      </c>
      <c r="K83" s="4">
        <v>547.98485627672585</v>
      </c>
      <c r="L83" s="4">
        <v>572.7540735500188</v>
      </c>
      <c r="M83" s="4">
        <v>599.3545510052918</v>
      </c>
      <c r="N83" s="4">
        <v>628.16199068748961</v>
      </c>
      <c r="O83" s="11">
        <f t="shared" si="0"/>
        <v>4.3631744978221469E-2</v>
      </c>
      <c r="P83"/>
      <c r="Q83" s="11"/>
    </row>
    <row r="84" spans="1:17" x14ac:dyDescent="0.35">
      <c r="A84" s="3" t="s">
        <v>29</v>
      </c>
      <c r="B84" s="4">
        <v>969.93855735907289</v>
      </c>
      <c r="C84" s="4">
        <v>1023.5174854754464</v>
      </c>
      <c r="D84" s="4">
        <v>1082.1715583082653</v>
      </c>
      <c r="E84" s="4">
        <v>1145.4036676702046</v>
      </c>
      <c r="F84" s="4">
        <v>1213.4355179382778</v>
      </c>
      <c r="G84" s="4">
        <v>1287.3439298555929</v>
      </c>
      <c r="H84" s="4">
        <v>1366.9035934738642</v>
      </c>
      <c r="I84" s="4">
        <v>1453.7363722003574</v>
      </c>
      <c r="J84" s="4">
        <v>1548.1235506884061</v>
      </c>
      <c r="K84" s="4">
        <v>1651.2168269497197</v>
      </c>
      <c r="L84" s="4">
        <v>1763.7958476878628</v>
      </c>
      <c r="M84" s="4">
        <v>1886.8470995854195</v>
      </c>
      <c r="N84" s="4">
        <v>2022.0628634889081</v>
      </c>
      <c r="O84" s="11">
        <f t="shared" si="0"/>
        <v>6.6631228814329466E-2</v>
      </c>
      <c r="P84"/>
      <c r="Q84" s="11"/>
    </row>
    <row r="85" spans="1:17" x14ac:dyDescent="0.35">
      <c r="A85" s="3" t="s">
        <v>31</v>
      </c>
      <c r="B85" s="4">
        <v>584.37626019385152</v>
      </c>
      <c r="C85" s="4">
        <v>613.32240120114875</v>
      </c>
      <c r="D85" s="4">
        <v>644.77366330933035</v>
      </c>
      <c r="E85" s="4">
        <v>678.48524828267239</v>
      </c>
      <c r="F85" s="4">
        <v>714.61304899949732</v>
      </c>
      <c r="G85" s="4">
        <v>753.7267923003252</v>
      </c>
      <c r="H85" s="4">
        <v>795.8027525050245</v>
      </c>
      <c r="I85" s="4">
        <v>841.65667636338173</v>
      </c>
      <c r="J85" s="4">
        <v>891.38332135103292</v>
      </c>
      <c r="K85" s="4">
        <v>945.31688606022101</v>
      </c>
      <c r="L85" s="4">
        <v>1004.1109722538118</v>
      </c>
      <c r="M85" s="4">
        <v>1068.1134573475024</v>
      </c>
      <c r="N85" s="4">
        <v>1138.1678995164993</v>
      </c>
      <c r="O85" s="11">
        <f t="shared" ref="O85:O148" si="1">IFERROR(RATE(2033-2026,,-G85,N85),"")</f>
        <v>6.0645710566217981E-2</v>
      </c>
      <c r="P85"/>
      <c r="Q85" s="11"/>
    </row>
    <row r="86" spans="1:17" x14ac:dyDescent="0.35">
      <c r="A86" s="3" t="s">
        <v>28</v>
      </c>
      <c r="B86" s="4">
        <v>1444.5185715802886</v>
      </c>
      <c r="C86" s="4">
        <v>1508.873388860231</v>
      </c>
      <c r="D86" s="4">
        <v>1576.1243837216171</v>
      </c>
      <c r="E86" s="4">
        <v>1646.5431470326353</v>
      </c>
      <c r="F86" s="4">
        <v>1721.1031241115361</v>
      </c>
      <c r="G86" s="4">
        <v>1799.2225332330786</v>
      </c>
      <c r="H86" s="4">
        <v>1881.8085083957553</v>
      </c>
      <c r="I86" s="4">
        <v>1969.0445225374931</v>
      </c>
      <c r="J86" s="4">
        <v>2063.0726349275683</v>
      </c>
      <c r="K86" s="4">
        <v>2161.7400682341031</v>
      </c>
      <c r="L86" s="4">
        <v>2266.6249675908684</v>
      </c>
      <c r="M86" s="4">
        <v>2377.8039494434006</v>
      </c>
      <c r="N86" s="4">
        <v>2495.6144928560689</v>
      </c>
      <c r="O86" s="11">
        <f t="shared" si="1"/>
        <v>4.7849584126552651E-2</v>
      </c>
      <c r="P86"/>
      <c r="Q86" s="11"/>
    </row>
    <row r="87" spans="1:17" x14ac:dyDescent="0.35">
      <c r="A87" s="3" t="s">
        <v>33</v>
      </c>
      <c r="B87" s="4">
        <v>222.08430437273373</v>
      </c>
      <c r="C87" s="4">
        <v>231.6047176042058</v>
      </c>
      <c r="D87" s="4">
        <v>241.98935270562623</v>
      </c>
      <c r="E87" s="4">
        <v>253.15875223671833</v>
      </c>
      <c r="F87" s="4">
        <v>265.1161670713966</v>
      </c>
      <c r="G87" s="4">
        <v>278.12726951955295</v>
      </c>
      <c r="H87" s="4">
        <v>292.00875507983557</v>
      </c>
      <c r="I87" s="4">
        <v>307.15450163217105</v>
      </c>
      <c r="J87" s="4">
        <v>323.57040172093525</v>
      </c>
      <c r="K87" s="4">
        <v>341.31476174114846</v>
      </c>
      <c r="L87" s="4">
        <v>360.6355538492661</v>
      </c>
      <c r="M87" s="4">
        <v>381.72913328284528</v>
      </c>
      <c r="N87" s="4">
        <v>404.77736285974049</v>
      </c>
      <c r="O87" s="11">
        <f t="shared" si="1"/>
        <v>5.5071292250720993E-2</v>
      </c>
      <c r="P87"/>
      <c r="Q87" s="11"/>
    </row>
    <row r="88" spans="1:17" x14ac:dyDescent="0.35">
      <c r="A88" s="2" t="s">
        <v>34</v>
      </c>
      <c r="O88" s="11" t="str">
        <f t="shared" si="1"/>
        <v/>
      </c>
      <c r="P88"/>
      <c r="Q88" s="11"/>
    </row>
    <row r="89" spans="1:17" x14ac:dyDescent="0.35">
      <c r="A89" s="3" t="s">
        <v>36</v>
      </c>
      <c r="B89" s="4">
        <v>1543.6160383280571</v>
      </c>
      <c r="C89" s="4">
        <v>1630.0143886147853</v>
      </c>
      <c r="D89" s="4">
        <v>1724.6143761883184</v>
      </c>
      <c r="E89" s="4">
        <v>1826.1513372355394</v>
      </c>
      <c r="F89" s="4">
        <v>1935.0933661510014</v>
      </c>
      <c r="G89" s="4">
        <v>2053.1152484686477</v>
      </c>
      <c r="H89" s="4">
        <v>2180.7881528283469</v>
      </c>
      <c r="I89" s="4">
        <v>2320.7117508500796</v>
      </c>
      <c r="J89" s="4">
        <v>2472.5717077040645</v>
      </c>
      <c r="K89" s="4">
        <v>2637.9347579836954</v>
      </c>
      <c r="L89" s="4">
        <v>2818.7544807698096</v>
      </c>
      <c r="M89" s="4">
        <v>3017.0160444988869</v>
      </c>
      <c r="N89" s="4">
        <v>3234.955969124283</v>
      </c>
      <c r="O89" s="11">
        <f t="shared" si="1"/>
        <v>6.7106741581285323E-2</v>
      </c>
      <c r="P89"/>
      <c r="Q89" s="11"/>
    </row>
    <row r="90" spans="1:17" x14ac:dyDescent="0.35">
      <c r="A90" s="3" t="s">
        <v>37</v>
      </c>
      <c r="B90" s="4">
        <v>956.31479269310034</v>
      </c>
      <c r="C90" s="4">
        <v>1005.0982620387217</v>
      </c>
      <c r="D90" s="4">
        <v>1058.5066739075414</v>
      </c>
      <c r="E90" s="4">
        <v>1115.7219822850343</v>
      </c>
      <c r="F90" s="4">
        <v>1177.103149144493</v>
      </c>
      <c r="G90" s="4">
        <v>1243.3522533809387</v>
      </c>
      <c r="H90" s="4">
        <v>1314.3041573348344</v>
      </c>
      <c r="I90" s="4">
        <v>1391.2378755333689</v>
      </c>
      <c r="J90" s="4">
        <v>1474.7224326069313</v>
      </c>
      <c r="K90" s="4">
        <v>1564.9715776610135</v>
      </c>
      <c r="L90" s="4">
        <v>1663.0197185862962</v>
      </c>
      <c r="M90" s="4">
        <v>1769.5615187012165</v>
      </c>
      <c r="N90" s="4">
        <v>1885.8274622202173</v>
      </c>
      <c r="O90" s="11">
        <f t="shared" si="1"/>
        <v>6.1314180884047352E-2</v>
      </c>
      <c r="P90"/>
      <c r="Q90" s="11"/>
    </row>
    <row r="91" spans="1:17" x14ac:dyDescent="0.35">
      <c r="A91" s="3" t="s">
        <v>35</v>
      </c>
      <c r="B91" s="4">
        <v>1495.3154195322336</v>
      </c>
      <c r="C91" s="4">
        <v>1560.6753904692041</v>
      </c>
      <c r="D91" s="4">
        <v>1628.5779234119045</v>
      </c>
      <c r="E91" s="4">
        <v>1700.137948635386</v>
      </c>
      <c r="F91" s="4">
        <v>1776.2074645007906</v>
      </c>
      <c r="G91" s="4">
        <v>1856.3935940916297</v>
      </c>
      <c r="H91" s="4">
        <v>1941.1380725141162</v>
      </c>
      <c r="I91" s="4">
        <v>2030.307833040795</v>
      </c>
      <c r="J91" s="4">
        <v>2126.9370126828221</v>
      </c>
      <c r="K91" s="4">
        <v>2229.3521859409529</v>
      </c>
      <c r="L91" s="4">
        <v>2338.570335550703</v>
      </c>
      <c r="M91" s="4">
        <v>2454.0138055831412</v>
      </c>
      <c r="N91" s="4">
        <v>2576.9599375102698</v>
      </c>
      <c r="O91" s="11">
        <f t="shared" si="1"/>
        <v>4.7968501551837392E-2</v>
      </c>
      <c r="P91"/>
      <c r="Q91" s="11"/>
    </row>
    <row r="92" spans="1:17" x14ac:dyDescent="0.35">
      <c r="A92" s="3" t="s">
        <v>38</v>
      </c>
      <c r="B92" s="4">
        <v>388.5457635276216</v>
      </c>
      <c r="C92" s="4">
        <v>405.12130934858732</v>
      </c>
      <c r="D92" s="4">
        <v>423.34140663867038</v>
      </c>
      <c r="E92" s="4">
        <v>442.78518910063542</v>
      </c>
      <c r="F92" s="4">
        <v>463.61979735020157</v>
      </c>
      <c r="G92" s="4">
        <v>486.05967045791834</v>
      </c>
      <c r="H92" s="4">
        <v>509.98680171946523</v>
      </c>
      <c r="I92" s="4">
        <v>536.01263948461769</v>
      </c>
      <c r="J92" s="4">
        <v>564.0517590139757</v>
      </c>
      <c r="K92" s="4">
        <v>594.37466465345551</v>
      </c>
      <c r="L92" s="4">
        <v>627.24966898054322</v>
      </c>
      <c r="M92" s="4">
        <v>662.74663392893513</v>
      </c>
      <c r="N92" s="4">
        <v>701.30306206388263</v>
      </c>
      <c r="O92" s="11">
        <f t="shared" si="1"/>
        <v>5.3768382736470874E-2</v>
      </c>
      <c r="P92"/>
      <c r="Q92" s="11"/>
    </row>
    <row r="93" spans="1:17" x14ac:dyDescent="0.35">
      <c r="A93" s="2" t="s">
        <v>22</v>
      </c>
      <c r="O93" s="11" t="str">
        <f t="shared" si="1"/>
        <v/>
      </c>
      <c r="P93"/>
      <c r="Q93" s="11"/>
    </row>
    <row r="94" spans="1:17" x14ac:dyDescent="0.35">
      <c r="A94" s="3" t="s">
        <v>39</v>
      </c>
      <c r="B94" s="4">
        <v>1109.4446505240971</v>
      </c>
      <c r="C94" s="4">
        <v>1168.1549508712665</v>
      </c>
      <c r="D94" s="4">
        <v>1229.7181777373387</v>
      </c>
      <c r="E94" s="4">
        <v>1295.6262126853228</v>
      </c>
      <c r="F94" s="4">
        <v>1366.2660281235585</v>
      </c>
      <c r="G94" s="4">
        <v>1442.2807995727594</v>
      </c>
      <c r="H94" s="4">
        <v>1523.2641531367176</v>
      </c>
      <c r="I94" s="4">
        <v>1610.6028656358824</v>
      </c>
      <c r="J94" s="4">
        <v>1705.6610526817926</v>
      </c>
      <c r="K94" s="4">
        <v>1807.50003149749</v>
      </c>
      <c r="L94" s="4">
        <v>1917.4115010149255</v>
      </c>
      <c r="M94" s="4">
        <v>2036.1812831210359</v>
      </c>
      <c r="N94" s="4">
        <v>2164.3366806198032</v>
      </c>
      <c r="O94" s="11">
        <f t="shared" si="1"/>
        <v>5.9698067999525976E-2</v>
      </c>
      <c r="P94"/>
      <c r="Q94" s="11"/>
    </row>
    <row r="95" spans="1:17" x14ac:dyDescent="0.35">
      <c r="A95" s="3" t="s">
        <v>41</v>
      </c>
      <c r="B95" s="4">
        <v>846.54503221119262</v>
      </c>
      <c r="C95" s="4">
        <v>878.99558435842698</v>
      </c>
      <c r="D95" s="4">
        <v>914.27532028074052</v>
      </c>
      <c r="E95" s="4">
        <v>951.47053725116996</v>
      </c>
      <c r="F95" s="4">
        <v>990.86589446571224</v>
      </c>
      <c r="G95" s="4">
        <v>1032.7419594634559</v>
      </c>
      <c r="H95" s="4">
        <v>1077.4053178087674</v>
      </c>
      <c r="I95" s="4">
        <v>1125.3675037583605</v>
      </c>
      <c r="J95" s="4">
        <v>1176.911977575076</v>
      </c>
      <c r="K95" s="4">
        <v>1232.4637095182181</v>
      </c>
      <c r="L95" s="4">
        <v>1292.4305257944584</v>
      </c>
      <c r="M95" s="4">
        <v>1356.8114406250763</v>
      </c>
      <c r="N95" s="4">
        <v>1426.5809409364865</v>
      </c>
      <c r="O95" s="11">
        <f t="shared" si="1"/>
        <v>4.7233469049144348E-2</v>
      </c>
      <c r="P95"/>
      <c r="Q95" s="11"/>
    </row>
    <row r="96" spans="1:17" x14ac:dyDescent="0.35">
      <c r="A96" s="3" t="s">
        <v>40</v>
      </c>
      <c r="B96" s="4">
        <v>1141.0171066376554</v>
      </c>
      <c r="C96" s="4">
        <v>1191.8598384848319</v>
      </c>
      <c r="D96" s="4">
        <v>1247.3289005876491</v>
      </c>
      <c r="E96" s="4">
        <v>1306.2672303014194</v>
      </c>
      <c r="F96" s="4">
        <v>1369.0682865204105</v>
      </c>
      <c r="G96" s="4">
        <v>1436.4009859148791</v>
      </c>
      <c r="H96" s="4">
        <v>1508.4080924029986</v>
      </c>
      <c r="I96" s="4">
        <v>1586.3085853687758</v>
      </c>
      <c r="J96" s="4">
        <v>1670.4109449745388</v>
      </c>
      <c r="K96" s="4">
        <v>1760.9816732205984</v>
      </c>
      <c r="L96" s="4">
        <v>1859.2132096642845</v>
      </c>
      <c r="M96" s="4">
        <v>1965.5986256539775</v>
      </c>
      <c r="N96" s="4">
        <v>2081.3938653432124</v>
      </c>
      <c r="O96" s="11">
        <f t="shared" si="1"/>
        <v>5.4414149199890238E-2</v>
      </c>
      <c r="P96"/>
      <c r="Q96" s="11"/>
    </row>
    <row r="97" spans="1:17" x14ac:dyDescent="0.35">
      <c r="A97" s="3" t="s">
        <v>42</v>
      </c>
      <c r="B97" s="4">
        <v>1286.7852247080673</v>
      </c>
      <c r="C97" s="4">
        <v>1361.898976756773</v>
      </c>
      <c r="D97" s="4">
        <v>1443.717981540706</v>
      </c>
      <c r="E97" s="4">
        <v>1531.4324770186831</v>
      </c>
      <c r="F97" s="4">
        <v>1625.8235680368059</v>
      </c>
      <c r="G97" s="4">
        <v>1727.4970214480395</v>
      </c>
      <c r="H97" s="4">
        <v>1837.1396210482792</v>
      </c>
      <c r="I97" s="4">
        <v>1955.9911441458423</v>
      </c>
      <c r="J97" s="4">
        <v>2085.2989367763867</v>
      </c>
      <c r="K97" s="4">
        <v>2225.687772002811</v>
      </c>
      <c r="L97" s="4">
        <v>2378.5389674136841</v>
      </c>
      <c r="M97" s="4">
        <v>2544.7466533120901</v>
      </c>
      <c r="N97" s="4">
        <v>2726.7349440191497</v>
      </c>
      <c r="O97" s="11">
        <f t="shared" si="1"/>
        <v>6.7377257812678795E-2</v>
      </c>
      <c r="P97"/>
      <c r="Q97" s="11"/>
    </row>
    <row r="98" spans="1:17" x14ac:dyDescent="0.35">
      <c r="A98" s="2" t="s">
        <v>48</v>
      </c>
      <c r="O98" s="11" t="str">
        <f t="shared" si="1"/>
        <v/>
      </c>
      <c r="P98"/>
      <c r="Q98" s="11"/>
    </row>
    <row r="99" spans="1:17" x14ac:dyDescent="0.35">
      <c r="A99" s="3" t="s">
        <v>58</v>
      </c>
      <c r="B99" s="4">
        <v>758.29422782025836</v>
      </c>
      <c r="C99" s="4">
        <v>808.04956551805765</v>
      </c>
      <c r="D99" s="4">
        <v>861.30279030873635</v>
      </c>
      <c r="E99" s="4">
        <v>918.55244971200466</v>
      </c>
      <c r="F99" s="4">
        <v>980.40585814703809</v>
      </c>
      <c r="G99" s="4">
        <v>1047.1147331321476</v>
      </c>
      <c r="H99" s="4">
        <v>1118.7297783885824</v>
      </c>
      <c r="I99" s="4">
        <v>1196.2214072203387</v>
      </c>
      <c r="J99" s="4">
        <v>1280.9399848551354</v>
      </c>
      <c r="K99" s="4">
        <v>1372.5837401524434</v>
      </c>
      <c r="L99" s="4">
        <v>1472.6086329898071</v>
      </c>
      <c r="M99" s="4">
        <v>1581.4041993374735</v>
      </c>
      <c r="N99" s="4">
        <v>1700.0077844677196</v>
      </c>
      <c r="O99" s="11">
        <f t="shared" si="1"/>
        <v>7.1680267484712165E-2</v>
      </c>
      <c r="P99"/>
      <c r="Q99" s="11"/>
    </row>
    <row r="100" spans="1:17" x14ac:dyDescent="0.35">
      <c r="A100" s="3" t="s">
        <v>59</v>
      </c>
      <c r="B100" s="4">
        <v>427.13997390069301</v>
      </c>
      <c r="C100" s="4">
        <v>449.04602032250739</v>
      </c>
      <c r="D100" s="4">
        <v>473.16223932593931</v>
      </c>
      <c r="E100" s="4">
        <v>498.85892979004802</v>
      </c>
      <c r="F100" s="4">
        <v>526.31051066820191</v>
      </c>
      <c r="G100" s="4">
        <v>555.58198482195587</v>
      </c>
      <c r="H100" s="4">
        <v>586.68702321515036</v>
      </c>
      <c r="I100" s="4">
        <v>619.87161437541533</v>
      </c>
      <c r="J100" s="4">
        <v>655.61703967233768</v>
      </c>
      <c r="K100" s="4">
        <v>694.28810149542346</v>
      </c>
      <c r="L100" s="4">
        <v>735.86306384518639</v>
      </c>
      <c r="M100" s="4">
        <v>780.4100444717177</v>
      </c>
      <c r="N100" s="4">
        <v>828.4223509794067</v>
      </c>
      <c r="O100" s="11">
        <f t="shared" si="1"/>
        <v>5.8732478670993161E-2</v>
      </c>
      <c r="P100"/>
      <c r="Q100" s="11"/>
    </row>
    <row r="101" spans="1:17" x14ac:dyDescent="0.35">
      <c r="A101" s="3" t="s">
        <v>60</v>
      </c>
      <c r="B101" s="4">
        <v>210.78245724088828</v>
      </c>
      <c r="C101" s="4">
        <v>217.43077464317562</v>
      </c>
      <c r="D101" s="4">
        <v>224.56429388965461</v>
      </c>
      <c r="E101" s="4">
        <v>232.08380625440492</v>
      </c>
      <c r="F101" s="4">
        <v>240.15042495521712</v>
      </c>
      <c r="G101" s="4">
        <v>248.83564225869131</v>
      </c>
      <c r="H101" s="4">
        <v>258.05380122422866</v>
      </c>
      <c r="I101" s="4">
        <v>268.14805620895191</v>
      </c>
      <c r="J101" s="4">
        <v>279.0057544417009</v>
      </c>
      <c r="K101" s="4">
        <v>290.55886320987764</v>
      </c>
      <c r="L101" s="4">
        <v>303.12690704274104</v>
      </c>
      <c r="M101" s="4">
        <v>316.54521901607791</v>
      </c>
      <c r="N101" s="4">
        <v>331.04315523073632</v>
      </c>
      <c r="O101" s="11">
        <f t="shared" si="1"/>
        <v>4.1622348607346676E-2</v>
      </c>
      <c r="P101"/>
      <c r="Q101" s="11"/>
    </row>
    <row r="102" spans="1:17" x14ac:dyDescent="0.35">
      <c r="A102" s="3" t="s">
        <v>61</v>
      </c>
      <c r="B102" s="4">
        <v>206.29984807255573</v>
      </c>
      <c r="C102" s="4">
        <v>211.96553317118588</v>
      </c>
      <c r="D102" s="4">
        <v>218.08353798726716</v>
      </c>
      <c r="E102" s="4">
        <v>224.52476567890534</v>
      </c>
      <c r="F102" s="4">
        <v>231.44859781190027</v>
      </c>
      <c r="G102" s="4">
        <v>238.90398574152593</v>
      </c>
      <c r="H102" s="4">
        <v>246.81574729072273</v>
      </c>
      <c r="I102" s="4">
        <v>255.51688073339668</v>
      </c>
      <c r="J102" s="4">
        <v>264.8578063574862</v>
      </c>
      <c r="K102" s="4">
        <v>274.79985614136791</v>
      </c>
      <c r="L102" s="4">
        <v>285.61334281869313</v>
      </c>
      <c r="M102" s="4">
        <v>297.13950029032787</v>
      </c>
      <c r="N102" s="4">
        <v>309.59513642196231</v>
      </c>
      <c r="O102" s="11">
        <f t="shared" si="1"/>
        <v>3.7723217320891581E-2</v>
      </c>
      <c r="P102"/>
      <c r="Q102" s="11"/>
    </row>
    <row r="103" spans="1:17" x14ac:dyDescent="0.35">
      <c r="A103" s="3" t="s">
        <v>62</v>
      </c>
      <c r="B103" s="4">
        <v>636.8729264293803</v>
      </c>
      <c r="C103" s="4">
        <v>672.41639626708638</v>
      </c>
      <c r="D103" s="4">
        <v>710.21188787999972</v>
      </c>
      <c r="E103" s="4">
        <v>750.63519013862583</v>
      </c>
      <c r="F103" s="4">
        <v>794.06673207807955</v>
      </c>
      <c r="G103" s="4">
        <v>840.70894797477195</v>
      </c>
      <c r="H103" s="4">
        <v>890.34869472957996</v>
      </c>
      <c r="I103" s="4">
        <v>943.84505615230069</v>
      </c>
      <c r="J103" s="4">
        <v>1002.033030764718</v>
      </c>
      <c r="K103" s="4">
        <v>1064.5394824794814</v>
      </c>
      <c r="L103" s="4">
        <v>1132.4429542979644</v>
      </c>
      <c r="M103" s="4">
        <v>1205.9681083657847</v>
      </c>
      <c r="N103" s="4">
        <v>1285.6239624515897</v>
      </c>
      <c r="O103" s="11">
        <f t="shared" si="1"/>
        <v>6.2557919833066869E-2</v>
      </c>
      <c r="P103"/>
      <c r="Q103" s="11"/>
    </row>
    <row r="104" spans="1:17" x14ac:dyDescent="0.35">
      <c r="A104" s="3" t="s">
        <v>63</v>
      </c>
      <c r="B104" s="4">
        <v>380.30777778529523</v>
      </c>
      <c r="C104" s="4">
        <v>394.35049101555239</v>
      </c>
      <c r="D104" s="4">
        <v>409.8451926879099</v>
      </c>
      <c r="E104" s="4">
        <v>426.30817808093622</v>
      </c>
      <c r="F104" s="4">
        <v>443.79318430916226</v>
      </c>
      <c r="G104" s="4">
        <v>462.60638486104926</v>
      </c>
      <c r="H104" s="4">
        <v>482.5624161835205</v>
      </c>
      <c r="I104" s="4">
        <v>503.98791956120607</v>
      </c>
      <c r="J104" s="4">
        <v>527.15504767805601</v>
      </c>
      <c r="K104" s="4">
        <v>551.85140455048088</v>
      </c>
      <c r="L104" s="4">
        <v>578.43737240215194</v>
      </c>
      <c r="M104" s="4">
        <v>607.09540121931536</v>
      </c>
      <c r="N104" s="4">
        <v>638.24525932889196</v>
      </c>
      <c r="O104" s="11">
        <f t="shared" si="1"/>
        <v>4.7051387044099849E-2</v>
      </c>
      <c r="P104"/>
      <c r="Q104" s="11"/>
    </row>
    <row r="105" spans="1:17" x14ac:dyDescent="0.35">
      <c r="A105" s="3" t="s">
        <v>64</v>
      </c>
      <c r="B105" s="4">
        <v>404.8846491095822</v>
      </c>
      <c r="C105" s="4">
        <v>423.13877164961906</v>
      </c>
      <c r="D105" s="4">
        <v>443.0351016841999</v>
      </c>
      <c r="E105" s="4">
        <v>463.91814400120785</v>
      </c>
      <c r="F105" s="4">
        <v>486.00204700433153</v>
      </c>
      <c r="G105" s="4">
        <v>509.56954431173813</v>
      </c>
      <c r="H105" s="4">
        <v>534.69783695717069</v>
      </c>
      <c r="I105" s="4">
        <v>562.43108224771277</v>
      </c>
      <c r="J105" s="4">
        <v>592.10727230444479</v>
      </c>
      <c r="K105" s="4">
        <v>624.12168983208028</v>
      </c>
      <c r="L105" s="4">
        <v>658.93830184816613</v>
      </c>
      <c r="M105" s="4">
        <v>696.83095479706571</v>
      </c>
      <c r="N105" s="4">
        <v>738.22114960810836</v>
      </c>
      <c r="O105" s="11">
        <f t="shared" si="1"/>
        <v>5.4381007189338561E-2</v>
      </c>
      <c r="P105"/>
      <c r="Q105" s="11"/>
    </row>
    <row r="106" spans="1:17" x14ac:dyDescent="0.35">
      <c r="A106" s="3" t="s">
        <v>65</v>
      </c>
      <c r="B106" s="4">
        <v>139.03562696924917</v>
      </c>
      <c r="C106" s="4">
        <v>141.89139768556899</v>
      </c>
      <c r="D106" s="4">
        <v>145.03480490779717</v>
      </c>
      <c r="E106" s="4">
        <v>148.5101510252687</v>
      </c>
      <c r="F106" s="4">
        <v>152.23196450722219</v>
      </c>
      <c r="G106" s="4">
        <v>156.43203651899972</v>
      </c>
      <c r="H106" s="4">
        <v>160.82992769089117</v>
      </c>
      <c r="I106" s="4">
        <v>165.74093825107985</v>
      </c>
      <c r="J106" s="4">
        <v>171.0627506155773</v>
      </c>
      <c r="K106" s="4">
        <v>176.83694840315283</v>
      </c>
      <c r="L106" s="4">
        <v>183.1929906827032</v>
      </c>
      <c r="M106" s="4">
        <v>190.19057668054384</v>
      </c>
      <c r="N106" s="4">
        <v>197.7960288268404</v>
      </c>
      <c r="O106" s="11">
        <f t="shared" si="1"/>
        <v>3.4084387512860033E-2</v>
      </c>
      <c r="P106"/>
      <c r="Q106" s="11"/>
    </row>
    <row r="107" spans="1:17" x14ac:dyDescent="0.35">
      <c r="A107" s="3" t="s">
        <v>66</v>
      </c>
      <c r="B107" s="4">
        <v>50.543587574197907</v>
      </c>
      <c r="C107" s="4">
        <v>51.284445250112391</v>
      </c>
      <c r="D107" s="4">
        <v>52.156776036750223</v>
      </c>
      <c r="E107" s="4">
        <v>53.06086652568785</v>
      </c>
      <c r="F107" s="4">
        <v>54.011340889553217</v>
      </c>
      <c r="G107" s="4">
        <v>55.03389146990078</v>
      </c>
      <c r="H107" s="4">
        <v>56.163640835725708</v>
      </c>
      <c r="I107" s="4">
        <v>57.436199343789909</v>
      </c>
      <c r="J107" s="4">
        <v>58.79433481457994</v>
      </c>
      <c r="K107" s="4">
        <v>60.238927102252617</v>
      </c>
      <c r="L107" s="4">
        <v>61.833699655748305</v>
      </c>
      <c r="M107" s="4">
        <v>63.591341935395015</v>
      </c>
      <c r="N107" s="4">
        <v>65.528080596656594</v>
      </c>
      <c r="O107" s="11">
        <f t="shared" si="1"/>
        <v>2.5246215537141615E-2</v>
      </c>
      <c r="P107"/>
      <c r="Q107" s="11"/>
    </row>
    <row r="108" spans="1:17" x14ac:dyDescent="0.35">
      <c r="A108" s="3" t="s">
        <v>67</v>
      </c>
      <c r="B108" s="4">
        <v>724.78407819947529</v>
      </c>
      <c r="C108" s="4">
        <v>767.90794019631437</v>
      </c>
      <c r="D108" s="4">
        <v>814.57342082853165</v>
      </c>
      <c r="E108" s="4">
        <v>864.60405391975667</v>
      </c>
      <c r="F108" s="4">
        <v>918.09277412075721</v>
      </c>
      <c r="G108" s="4">
        <v>975.5507627116715</v>
      </c>
      <c r="H108" s="4">
        <v>1038.0614835861504</v>
      </c>
      <c r="I108" s="4">
        <v>1105.6518458610471</v>
      </c>
      <c r="J108" s="4">
        <v>1179.0428942548369</v>
      </c>
      <c r="K108" s="4">
        <v>1258.5691418603687</v>
      </c>
      <c r="L108" s="4">
        <v>1344.3529170267946</v>
      </c>
      <c r="M108" s="4">
        <v>1437.8940835167773</v>
      </c>
      <c r="N108" s="4">
        <v>1540.1783559077892</v>
      </c>
      <c r="O108" s="11">
        <f t="shared" si="1"/>
        <v>6.7410798095534644E-2</v>
      </c>
      <c r="P108"/>
      <c r="Q108" s="11"/>
    </row>
    <row r="109" spans="1:17" x14ac:dyDescent="0.35">
      <c r="A109" s="3" t="s">
        <v>68</v>
      </c>
      <c r="B109" s="4">
        <v>58.574593295805975</v>
      </c>
      <c r="C109" s="4">
        <v>59.949407820248965</v>
      </c>
      <c r="D109" s="4">
        <v>61.379846456948414</v>
      </c>
      <c r="E109" s="4">
        <v>62.866194140731452</v>
      </c>
      <c r="F109" s="4">
        <v>64.413525060874576</v>
      </c>
      <c r="G109" s="4">
        <v>66.04124029094686</v>
      </c>
      <c r="H109" s="4">
        <v>67.7790818036178</v>
      </c>
      <c r="I109" s="4">
        <v>69.603925732442349</v>
      </c>
      <c r="J109" s="4">
        <v>71.582437487892207</v>
      </c>
      <c r="K109" s="4">
        <v>73.724020254657205</v>
      </c>
      <c r="L109" s="4">
        <v>76.026877733787515</v>
      </c>
      <c r="M109" s="4">
        <v>78.455731379572271</v>
      </c>
      <c r="N109" s="4">
        <v>81.095248638599614</v>
      </c>
      <c r="O109" s="11">
        <f t="shared" si="1"/>
        <v>2.976950553751705E-2</v>
      </c>
      <c r="P109"/>
      <c r="Q109" s="11"/>
    </row>
    <row r="110" spans="1:17" x14ac:dyDescent="0.35">
      <c r="A110" s="3" t="s">
        <v>69</v>
      </c>
      <c r="B110" s="4">
        <v>386.27226768363118</v>
      </c>
      <c r="C110" s="4">
        <v>403.47860693186936</v>
      </c>
      <c r="D110" s="4">
        <v>421.6904881527002</v>
      </c>
      <c r="E110" s="4">
        <v>440.87372798901788</v>
      </c>
      <c r="F110" s="4">
        <v>461.09681759414872</v>
      </c>
      <c r="G110" s="4">
        <v>482.54161230573527</v>
      </c>
      <c r="H110" s="4">
        <v>505.48775249142193</v>
      </c>
      <c r="I110" s="4">
        <v>529.81517322117952</v>
      </c>
      <c r="J110" s="4">
        <v>556.08455876102892</v>
      </c>
      <c r="K110" s="4">
        <v>584.52101075753126</v>
      </c>
      <c r="L110" s="4">
        <v>615.15714354360887</v>
      </c>
      <c r="M110" s="4">
        <v>647.81284170212803</v>
      </c>
      <c r="N110" s="4">
        <v>683.28991846035115</v>
      </c>
      <c r="O110" s="11">
        <f t="shared" si="1"/>
        <v>5.0948568929416384E-2</v>
      </c>
      <c r="P110"/>
      <c r="Q110" s="11"/>
    </row>
    <row r="111" spans="1:17" x14ac:dyDescent="0.35">
      <c r="A111" s="1" t="s">
        <v>45</v>
      </c>
      <c r="O111" s="11" t="str">
        <f t="shared" si="1"/>
        <v/>
      </c>
      <c r="P111"/>
      <c r="Q111" s="11"/>
    </row>
    <row r="112" spans="1:17" x14ac:dyDescent="0.35">
      <c r="A112" s="2" t="s">
        <v>24</v>
      </c>
      <c r="O112" s="11" t="str">
        <f t="shared" si="1"/>
        <v/>
      </c>
      <c r="P112"/>
      <c r="Q112" s="11"/>
    </row>
    <row r="113" spans="1:17" x14ac:dyDescent="0.35">
      <c r="A113" s="3" t="s">
        <v>25</v>
      </c>
      <c r="B113" s="4">
        <v>728.91753512158118</v>
      </c>
      <c r="C113" s="4">
        <v>769.9844728486695</v>
      </c>
      <c r="D113" s="4">
        <v>815.27013712649114</v>
      </c>
      <c r="E113" s="4">
        <v>863.92289555321759</v>
      </c>
      <c r="F113" s="4">
        <v>916.4513194606227</v>
      </c>
      <c r="G113" s="4">
        <v>973.31154235396457</v>
      </c>
      <c r="H113" s="4">
        <v>1034.7114984812704</v>
      </c>
      <c r="I113" s="4">
        <v>1101.791038464889</v>
      </c>
      <c r="J113" s="4">
        <v>1174.7468256571428</v>
      </c>
      <c r="K113" s="4">
        <v>1254.1495544149213</v>
      </c>
      <c r="L113" s="4">
        <v>1340.9264151036618</v>
      </c>
      <c r="M113" s="4">
        <v>1435.5208367892919</v>
      </c>
      <c r="N113" s="4">
        <v>1539.2363037109419</v>
      </c>
      <c r="O113" s="11">
        <f t="shared" si="1"/>
        <v>6.7667943850052856E-2</v>
      </c>
      <c r="P113"/>
      <c r="Q113" s="11"/>
    </row>
    <row r="114" spans="1:17" x14ac:dyDescent="0.35">
      <c r="A114" s="3" t="s">
        <v>26</v>
      </c>
      <c r="B114" s="4">
        <v>7251.0235215995408</v>
      </c>
      <c r="C114" s="4">
        <v>7718.344021888458</v>
      </c>
      <c r="D114" s="4">
        <v>8234.3849518418065</v>
      </c>
      <c r="E114" s="4">
        <v>8791.4844697559038</v>
      </c>
      <c r="F114" s="4">
        <v>9395.91399238144</v>
      </c>
      <c r="G114" s="4">
        <v>10053.159529707897</v>
      </c>
      <c r="H114" s="4">
        <v>10767.58250982907</v>
      </c>
      <c r="I114" s="4">
        <v>11552.53077978172</v>
      </c>
      <c r="J114" s="4">
        <v>12410.243702879536</v>
      </c>
      <c r="K114" s="4">
        <v>13348.440574122138</v>
      </c>
      <c r="L114" s="4">
        <v>14379.305993370899</v>
      </c>
      <c r="M114" s="4">
        <v>15510.295219649988</v>
      </c>
      <c r="N114" s="4">
        <v>16757.610619429553</v>
      </c>
      <c r="O114" s="11">
        <f t="shared" si="1"/>
        <v>7.5725243450511931E-2</v>
      </c>
      <c r="P114"/>
      <c r="Q114" s="11"/>
    </row>
    <row r="115" spans="1:17" x14ac:dyDescent="0.35">
      <c r="A115" s="2" t="s">
        <v>27</v>
      </c>
      <c r="O115" s="11" t="str">
        <f t="shared" si="1"/>
        <v/>
      </c>
      <c r="P115"/>
      <c r="Q115" s="11"/>
    </row>
    <row r="116" spans="1:17" x14ac:dyDescent="0.35">
      <c r="A116" s="3" t="s">
        <v>30</v>
      </c>
      <c r="B116" s="4">
        <v>1394.9563027809779</v>
      </c>
      <c r="C116" s="4">
        <v>1502.3392131864662</v>
      </c>
      <c r="D116" s="4">
        <v>1620.7181497364006</v>
      </c>
      <c r="E116" s="4">
        <v>1750.1425761529472</v>
      </c>
      <c r="F116" s="4">
        <v>1891.8451252151137</v>
      </c>
      <c r="G116" s="4">
        <v>2047.7694298258007</v>
      </c>
      <c r="H116" s="4">
        <v>2218.5528046155887</v>
      </c>
      <c r="I116" s="4">
        <v>2407.1911470182763</v>
      </c>
      <c r="J116" s="4">
        <v>2615.8963552152463</v>
      </c>
      <c r="K116" s="4">
        <v>2845.8043560822689</v>
      </c>
      <c r="L116" s="4">
        <v>3100.6701906179201</v>
      </c>
      <c r="M116" s="4">
        <v>3383.2199407830185</v>
      </c>
      <c r="N116" s="4">
        <v>3697.4609120298346</v>
      </c>
      <c r="O116" s="11">
        <f t="shared" si="1"/>
        <v>8.8078834254878835E-2</v>
      </c>
      <c r="P116"/>
      <c r="Q116" s="11"/>
    </row>
    <row r="117" spans="1:17" x14ac:dyDescent="0.35">
      <c r="A117" s="3" t="s">
        <v>32</v>
      </c>
      <c r="B117" s="4">
        <v>658.2584049099645</v>
      </c>
      <c r="C117" s="4">
        <v>690.02768051824512</v>
      </c>
      <c r="D117" s="4">
        <v>724.41309535311393</v>
      </c>
      <c r="E117" s="4">
        <v>761.17632461933385</v>
      </c>
      <c r="F117" s="4">
        <v>800.63832193041185</v>
      </c>
      <c r="G117" s="4">
        <v>843.28379767554804</v>
      </c>
      <c r="H117" s="4">
        <v>889.114217754739</v>
      </c>
      <c r="I117" s="4">
        <v>939.08628437390212</v>
      </c>
      <c r="J117" s="4">
        <v>993.35117818004778</v>
      </c>
      <c r="K117" s="4">
        <v>1052.1035095196746</v>
      </c>
      <c r="L117" s="4">
        <v>1116.264825362829</v>
      </c>
      <c r="M117" s="4">
        <v>1185.9659210244299</v>
      </c>
      <c r="N117" s="4">
        <v>1262.1616561545845</v>
      </c>
      <c r="O117" s="11">
        <f t="shared" si="1"/>
        <v>5.9302934018677457E-2</v>
      </c>
      <c r="P117"/>
      <c r="Q117" s="11"/>
    </row>
    <row r="118" spans="1:17" x14ac:dyDescent="0.35">
      <c r="A118" s="3" t="s">
        <v>29</v>
      </c>
      <c r="B118" s="4">
        <v>1731.1680329581395</v>
      </c>
      <c r="C118" s="4">
        <v>1857.5272879140757</v>
      </c>
      <c r="D118" s="4">
        <v>1996.3146122209612</v>
      </c>
      <c r="E118" s="4">
        <v>2147.2685818181844</v>
      </c>
      <c r="F118" s="4">
        <v>2311.9531763005871</v>
      </c>
      <c r="G118" s="4">
        <v>2492.1129346984203</v>
      </c>
      <c r="H118" s="4">
        <v>2688.8078668870658</v>
      </c>
      <c r="I118" s="4">
        <v>2905.1449321805217</v>
      </c>
      <c r="J118" s="4">
        <v>3143.340367365141</v>
      </c>
      <c r="K118" s="4">
        <v>3405.1295071572904</v>
      </c>
      <c r="L118" s="4">
        <v>3694.122061688141</v>
      </c>
      <c r="M118" s="4">
        <v>4012.4802532655563</v>
      </c>
      <c r="N118" s="4">
        <v>4364.6208783178517</v>
      </c>
      <c r="O118" s="11">
        <f t="shared" si="1"/>
        <v>8.3349035295396404E-2</v>
      </c>
      <c r="P118"/>
      <c r="Q118" s="11"/>
    </row>
    <row r="119" spans="1:17" x14ac:dyDescent="0.35">
      <c r="A119" s="3" t="s">
        <v>31</v>
      </c>
      <c r="B119" s="4">
        <v>1048.3563393085583</v>
      </c>
      <c r="C119" s="4">
        <v>1117.0544518173829</v>
      </c>
      <c r="D119" s="4">
        <v>1192.7096489039307</v>
      </c>
      <c r="E119" s="4">
        <v>1274.3832582722989</v>
      </c>
      <c r="F119" s="4">
        <v>1362.7547608544285</v>
      </c>
      <c r="G119" s="4">
        <v>1459.0952272248514</v>
      </c>
      <c r="H119" s="4">
        <v>1564.4150975615255</v>
      </c>
      <c r="I119" s="4">
        <v>1680.6236796647527</v>
      </c>
      <c r="J119" s="4">
        <v>1807.7928582666921</v>
      </c>
      <c r="K119" s="4">
        <v>1946.9296158407083</v>
      </c>
      <c r="L119" s="4">
        <v>2100.6602674871338</v>
      </c>
      <c r="M119" s="4">
        <v>2270.6444497445632</v>
      </c>
      <c r="N119" s="4">
        <v>2459.2352064427632</v>
      </c>
      <c r="O119" s="11">
        <f t="shared" si="1"/>
        <v>7.7427513272563364E-2</v>
      </c>
      <c r="P119"/>
      <c r="Q119" s="11"/>
    </row>
    <row r="120" spans="1:17" x14ac:dyDescent="0.35">
      <c r="A120" s="3" t="s">
        <v>28</v>
      </c>
      <c r="B120" s="4">
        <v>2739.2841874260803</v>
      </c>
      <c r="C120" s="4">
        <v>2889.0105141856166</v>
      </c>
      <c r="D120" s="4">
        <v>3056.236097561979</v>
      </c>
      <c r="E120" s="4">
        <v>3234.2472826296726</v>
      </c>
      <c r="F120" s="4">
        <v>3425.825758772789</v>
      </c>
      <c r="G120" s="4">
        <v>3631.1105938542432</v>
      </c>
      <c r="H120" s="4">
        <v>3851.5738205724824</v>
      </c>
      <c r="I120" s="4">
        <v>4092.2472809905958</v>
      </c>
      <c r="J120" s="4">
        <v>4350.7722610462124</v>
      </c>
      <c r="K120" s="4">
        <v>4630.9930710412227</v>
      </c>
      <c r="L120" s="4">
        <v>4934.597249666288</v>
      </c>
      <c r="M120" s="4">
        <v>5262.2211123756751</v>
      </c>
      <c r="N120" s="4">
        <v>5618.8327154979606</v>
      </c>
      <c r="O120" s="11">
        <f t="shared" si="1"/>
        <v>6.4355382718028931E-2</v>
      </c>
      <c r="P120"/>
      <c r="Q120" s="11"/>
    </row>
    <row r="121" spans="1:17" x14ac:dyDescent="0.35">
      <c r="A121" s="3" t="s">
        <v>33</v>
      </c>
      <c r="B121" s="4">
        <v>407.91778933740187</v>
      </c>
      <c r="C121" s="4">
        <v>432.36934711533922</v>
      </c>
      <c r="D121" s="4">
        <v>459.26348519191117</v>
      </c>
      <c r="E121" s="4">
        <v>488.18934181668413</v>
      </c>
      <c r="F121" s="4">
        <v>519.34816876873367</v>
      </c>
      <c r="G121" s="4">
        <v>553.09908878299746</v>
      </c>
      <c r="H121" s="4">
        <v>589.83020091894093</v>
      </c>
      <c r="I121" s="4">
        <v>630.02849401856008</v>
      </c>
      <c r="J121" s="4">
        <v>673.83750846333749</v>
      </c>
      <c r="K121" s="4">
        <v>721.63006889589678</v>
      </c>
      <c r="L121" s="4">
        <v>773.91781365224881</v>
      </c>
      <c r="M121" s="4">
        <v>831.28437924603395</v>
      </c>
      <c r="N121" s="4">
        <v>894.53555469750074</v>
      </c>
      <c r="O121" s="11">
        <f t="shared" si="1"/>
        <v>7.1094549069301433E-2</v>
      </c>
      <c r="P121"/>
      <c r="Q121" s="11"/>
    </row>
    <row r="122" spans="1:17" x14ac:dyDescent="0.35">
      <c r="A122" s="2" t="s">
        <v>34</v>
      </c>
      <c r="O122" s="11" t="str">
        <f t="shared" si="1"/>
        <v/>
      </c>
      <c r="P122"/>
      <c r="Q122" s="11"/>
    </row>
    <row r="123" spans="1:17" x14ac:dyDescent="0.35">
      <c r="A123" s="3" t="s">
        <v>36</v>
      </c>
      <c r="B123" s="4">
        <v>2780.3085671324693</v>
      </c>
      <c r="C123" s="4">
        <v>2981.7323464939714</v>
      </c>
      <c r="D123" s="4">
        <v>3204.4675130654587</v>
      </c>
      <c r="E123" s="4">
        <v>3447.0847412982857</v>
      </c>
      <c r="F123" s="4">
        <v>3711.9815435827022</v>
      </c>
      <c r="G123" s="4">
        <v>4002.1968283749216</v>
      </c>
      <c r="H123" s="4">
        <v>4318.4813838980517</v>
      </c>
      <c r="I123" s="4">
        <v>4666.2654839994711</v>
      </c>
      <c r="J123" s="4">
        <v>5049.4287385481548</v>
      </c>
      <c r="K123" s="4">
        <v>5470.5962525496752</v>
      </c>
      <c r="L123" s="4">
        <v>5935.1492889325618</v>
      </c>
      <c r="M123" s="4">
        <v>6447.4499465675344</v>
      </c>
      <c r="N123" s="4">
        <v>7014.97608215949</v>
      </c>
      <c r="O123" s="11">
        <f t="shared" si="1"/>
        <v>8.3473391517934606E-2</v>
      </c>
      <c r="P123"/>
      <c r="Q123" s="11"/>
    </row>
    <row r="124" spans="1:17" x14ac:dyDescent="0.35">
      <c r="A124" s="3" t="s">
        <v>37</v>
      </c>
      <c r="B124" s="4">
        <v>1780.6247881202373</v>
      </c>
      <c r="C124" s="4">
        <v>1894.6336851820947</v>
      </c>
      <c r="D124" s="4">
        <v>2020.825822316523</v>
      </c>
      <c r="E124" s="4">
        <v>2157.8106441894097</v>
      </c>
      <c r="F124" s="4">
        <v>2306.6835098161978</v>
      </c>
      <c r="G124" s="4">
        <v>2469.7179627172536</v>
      </c>
      <c r="H124" s="4">
        <v>2647.3650839488737</v>
      </c>
      <c r="I124" s="4">
        <v>2843.6894878412431</v>
      </c>
      <c r="J124" s="4">
        <v>3058.605019521227</v>
      </c>
      <c r="K124" s="4">
        <v>3294.8622327394733</v>
      </c>
      <c r="L124" s="4">
        <v>3555.3544496609729</v>
      </c>
      <c r="M124" s="4">
        <v>3842.944381862967</v>
      </c>
      <c r="N124" s="4">
        <v>4162.1394575833883</v>
      </c>
      <c r="O124" s="11">
        <f t="shared" si="1"/>
        <v>7.7410798206757572E-2</v>
      </c>
      <c r="P124"/>
      <c r="Q124" s="11"/>
    </row>
    <row r="125" spans="1:17" x14ac:dyDescent="0.35">
      <c r="A125" s="3" t="s">
        <v>35</v>
      </c>
      <c r="B125" s="4">
        <v>2655.0508281793605</v>
      </c>
      <c r="C125" s="4">
        <v>2804.4501038581079</v>
      </c>
      <c r="D125" s="4">
        <v>2968.7559708672629</v>
      </c>
      <c r="E125" s="4">
        <v>3142.8145234249964</v>
      </c>
      <c r="F125" s="4">
        <v>3329.6933336191119</v>
      </c>
      <c r="G125" s="4">
        <v>3528.9534988245841</v>
      </c>
      <c r="H125" s="4">
        <v>3744.096449458491</v>
      </c>
      <c r="I125" s="4">
        <v>3978.3691716631834</v>
      </c>
      <c r="J125" s="4">
        <v>4230.6261669048172</v>
      </c>
      <c r="K125" s="4">
        <v>4502.8862428587927</v>
      </c>
      <c r="L125" s="4">
        <v>4798.8901829016449</v>
      </c>
      <c r="M125" s="4">
        <v>5118.003011618167</v>
      </c>
      <c r="N125" s="4">
        <v>5464.4775780133386</v>
      </c>
      <c r="O125" s="11">
        <f t="shared" si="1"/>
        <v>6.4459050646844165E-2</v>
      </c>
      <c r="P125"/>
      <c r="Q125" s="11"/>
    </row>
    <row r="126" spans="1:17" x14ac:dyDescent="0.35">
      <c r="A126" s="3" t="s">
        <v>38</v>
      </c>
      <c r="B126" s="4">
        <v>763.95687328905524</v>
      </c>
      <c r="C126" s="4">
        <v>807.51235920295142</v>
      </c>
      <c r="D126" s="4">
        <v>855.60578271905126</v>
      </c>
      <c r="E126" s="4">
        <v>907.69745639643111</v>
      </c>
      <c r="F126" s="4">
        <v>964.00692482405157</v>
      </c>
      <c r="G126" s="4">
        <v>1025.6027821451023</v>
      </c>
      <c r="H126" s="4">
        <v>1092.3510910049267</v>
      </c>
      <c r="I126" s="4">
        <v>1165.9976747427111</v>
      </c>
      <c r="J126" s="4">
        <v>1246.3306035624771</v>
      </c>
      <c r="K126" s="4">
        <v>1334.2454003891198</v>
      </c>
      <c r="L126" s="4">
        <v>1430.8384869793806</v>
      </c>
      <c r="M126" s="4">
        <v>1537.4187163906088</v>
      </c>
      <c r="N126" s="4">
        <v>1655.2538053842775</v>
      </c>
      <c r="O126" s="11">
        <f t="shared" si="1"/>
        <v>7.0774240727390858E-2</v>
      </c>
      <c r="P126"/>
      <c r="Q126" s="11"/>
    </row>
    <row r="127" spans="1:17" x14ac:dyDescent="0.35">
      <c r="A127" s="2" t="s">
        <v>22</v>
      </c>
      <c r="O127" s="11" t="str">
        <f t="shared" si="1"/>
        <v/>
      </c>
      <c r="P127"/>
      <c r="Q127" s="11"/>
    </row>
    <row r="128" spans="1:17" x14ac:dyDescent="0.35">
      <c r="A128" s="3" t="s">
        <v>39</v>
      </c>
      <c r="B128" s="4">
        <v>2098.2902115380693</v>
      </c>
      <c r="C128" s="4">
        <v>2243.3403259696288</v>
      </c>
      <c r="D128" s="4">
        <v>2407.3140471552733</v>
      </c>
      <c r="E128" s="4">
        <v>2582.1795526555479</v>
      </c>
      <c r="F128" s="4">
        <v>2771.7340875907635</v>
      </c>
      <c r="G128" s="4">
        <v>2974.1826867444097</v>
      </c>
      <c r="H128" s="4">
        <v>3194.7856400622904</v>
      </c>
      <c r="I128" s="4">
        <v>3435.436082664387</v>
      </c>
      <c r="J128" s="4">
        <v>3695.8404926710446</v>
      </c>
      <c r="K128" s="4">
        <v>3979.1940978661578</v>
      </c>
      <c r="L128" s="4">
        <v>4287.1207320360263</v>
      </c>
      <c r="M128" s="4">
        <v>4620.1809587732132</v>
      </c>
      <c r="N128" s="4">
        <v>4984.6238177801361</v>
      </c>
      <c r="O128" s="11">
        <f t="shared" si="1"/>
        <v>7.6558962883717899E-2</v>
      </c>
      <c r="P128"/>
      <c r="Q128" s="11"/>
    </row>
    <row r="129" spans="1:17" x14ac:dyDescent="0.35">
      <c r="A129" s="3" t="s">
        <v>41</v>
      </c>
      <c r="B129" s="4">
        <v>1470.6032663868166</v>
      </c>
      <c r="C129" s="4">
        <v>1548.0794111536477</v>
      </c>
      <c r="D129" s="4">
        <v>1632.0854296135869</v>
      </c>
      <c r="E129" s="4">
        <v>1722.2023046733223</v>
      </c>
      <c r="F129" s="4">
        <v>1819.2411503860444</v>
      </c>
      <c r="G129" s="4">
        <v>1924.1657741370143</v>
      </c>
      <c r="H129" s="4">
        <v>2037.0736031814381</v>
      </c>
      <c r="I129" s="4">
        <v>2159.9409122100142</v>
      </c>
      <c r="J129" s="4">
        <v>2293.7218977564903</v>
      </c>
      <c r="K129" s="4">
        <v>2438.6676365075746</v>
      </c>
      <c r="L129" s="4">
        <v>2596.8421284401361</v>
      </c>
      <c r="M129" s="4">
        <v>2768.9363615883062</v>
      </c>
      <c r="N129" s="4">
        <v>2957.0469307275521</v>
      </c>
      <c r="O129" s="11">
        <f t="shared" si="1"/>
        <v>6.3308756213676307E-2</v>
      </c>
      <c r="P129"/>
      <c r="Q129" s="11"/>
    </row>
    <row r="130" spans="1:17" x14ac:dyDescent="0.35">
      <c r="A130" s="3" t="s">
        <v>40</v>
      </c>
      <c r="B130" s="4">
        <v>2057.5588255867301</v>
      </c>
      <c r="C130" s="4">
        <v>2178.351023712286</v>
      </c>
      <c r="D130" s="4">
        <v>2310.4200914633493</v>
      </c>
      <c r="E130" s="4">
        <v>2453.079011689249</v>
      </c>
      <c r="F130" s="4">
        <v>2607.3938106724204</v>
      </c>
      <c r="G130" s="4">
        <v>2775.5615670740308</v>
      </c>
      <c r="H130" s="4">
        <v>2957.4775008047714</v>
      </c>
      <c r="I130" s="4">
        <v>3156.9941568426384</v>
      </c>
      <c r="J130" s="4">
        <v>3374.9216911193016</v>
      </c>
      <c r="K130" s="4">
        <v>3613.1147582931931</v>
      </c>
      <c r="L130" s="4">
        <v>3874.7077304840782</v>
      </c>
      <c r="M130" s="4">
        <v>4161.4576897098932</v>
      </c>
      <c r="N130" s="4">
        <v>4477.4547934004077</v>
      </c>
      <c r="O130" s="11">
        <f t="shared" si="1"/>
        <v>7.0702016588252176E-2</v>
      </c>
      <c r="P130"/>
      <c r="Q130" s="11"/>
    </row>
    <row r="131" spans="1:17" x14ac:dyDescent="0.35">
      <c r="A131" s="3" t="s">
        <v>42</v>
      </c>
      <c r="B131" s="4">
        <v>2353.4887532095067</v>
      </c>
      <c r="C131" s="4">
        <v>2518.5577339015636</v>
      </c>
      <c r="D131" s="4">
        <v>2699.835520736086</v>
      </c>
      <c r="E131" s="4">
        <v>2897.9464962910024</v>
      </c>
      <c r="F131" s="4">
        <v>3113.9962631928347</v>
      </c>
      <c r="G131" s="4">
        <v>3352.5610441064064</v>
      </c>
      <c r="H131" s="4">
        <v>3612.9572642618427</v>
      </c>
      <c r="I131" s="4">
        <v>3901.9506665295694</v>
      </c>
      <c r="J131" s="4">
        <v>4220.5064469898416</v>
      </c>
      <c r="K131" s="4">
        <v>4571.6136358701351</v>
      </c>
      <c r="L131" s="4">
        <v>4961.5618175143181</v>
      </c>
      <c r="M131" s="4">
        <v>5395.2410463678643</v>
      </c>
      <c r="N131" s="4">
        <v>5877.7213812323971</v>
      </c>
      <c r="O131" s="11">
        <f t="shared" si="1"/>
        <v>8.3510653659909409E-2</v>
      </c>
      <c r="P131"/>
      <c r="Q131" s="11"/>
    </row>
    <row r="132" spans="1:17" x14ac:dyDescent="0.35">
      <c r="A132" s="2" t="s">
        <v>48</v>
      </c>
      <c r="O132" s="11" t="str">
        <f t="shared" si="1"/>
        <v/>
      </c>
      <c r="P132"/>
      <c r="Q132" s="11"/>
    </row>
    <row r="133" spans="1:17" x14ac:dyDescent="0.35">
      <c r="A133" s="3" t="s">
        <v>70</v>
      </c>
      <c r="B133" s="4">
        <v>331.27801104326164</v>
      </c>
      <c r="C133" s="4">
        <v>347.44614875027105</v>
      </c>
      <c r="D133" s="4">
        <v>365.17621873250255</v>
      </c>
      <c r="E133" s="4">
        <v>384.08360688566296</v>
      </c>
      <c r="F133" s="4">
        <v>404.28488865847044</v>
      </c>
      <c r="G133" s="4">
        <v>426.02967223408723</v>
      </c>
      <c r="H133" s="4">
        <v>449.24862316398674</v>
      </c>
      <c r="I133" s="4">
        <v>474.23174245570812</v>
      </c>
      <c r="J133" s="4">
        <v>501.34476745308041</v>
      </c>
      <c r="K133" s="4">
        <v>530.40486763454783</v>
      </c>
      <c r="L133" s="4">
        <v>561.81088200225952</v>
      </c>
      <c r="M133" s="4">
        <v>595.78051076574877</v>
      </c>
      <c r="N133" s="4">
        <v>632.81417160815374</v>
      </c>
      <c r="O133" s="11">
        <f t="shared" si="1"/>
        <v>5.8151982074128195E-2</v>
      </c>
      <c r="P133"/>
      <c r="Q133" s="11"/>
    </row>
    <row r="134" spans="1:17" x14ac:dyDescent="0.35">
      <c r="A134" s="3" t="s">
        <v>71</v>
      </c>
      <c r="B134" s="4">
        <v>213.6376428620147</v>
      </c>
      <c r="C134" s="4">
        <v>220.50572027233795</v>
      </c>
      <c r="D134" s="4">
        <v>227.87286081724739</v>
      </c>
      <c r="E134" s="4">
        <v>235.63162670279226</v>
      </c>
      <c r="F134" s="4">
        <v>243.95122301781532</v>
      </c>
      <c r="G134" s="4">
        <v>252.90540085261165</v>
      </c>
      <c r="H134" s="4">
        <v>262.43116433194655</v>
      </c>
      <c r="I134" s="4">
        <v>272.88647042181429</v>
      </c>
      <c r="J134" s="4">
        <v>284.11905298720376</v>
      </c>
      <c r="K134" s="4">
        <v>296.07822927270428</v>
      </c>
      <c r="L134" s="4">
        <v>309.10672505974293</v>
      </c>
      <c r="M134" s="4">
        <v>323.03813817473508</v>
      </c>
      <c r="N134" s="4">
        <v>338.10060844808783</v>
      </c>
      <c r="O134" s="11">
        <f t="shared" si="1"/>
        <v>4.2347549596691403E-2</v>
      </c>
      <c r="P134"/>
      <c r="Q134" s="11"/>
    </row>
    <row r="135" spans="1:17" x14ac:dyDescent="0.35">
      <c r="A135" s="3" t="s">
        <v>72</v>
      </c>
      <c r="B135" s="4">
        <v>73.127468534135204</v>
      </c>
      <c r="C135" s="4">
        <v>74.605117376432972</v>
      </c>
      <c r="D135" s="4">
        <v>76.206158513269472</v>
      </c>
      <c r="E135" s="4">
        <v>77.893032131016582</v>
      </c>
      <c r="F135" s="4">
        <v>79.716738312914643</v>
      </c>
      <c r="G135" s="4">
        <v>81.695537005253911</v>
      </c>
      <c r="H135" s="4">
        <v>83.79538139180211</v>
      </c>
      <c r="I135" s="4">
        <v>86.123621751414149</v>
      </c>
      <c r="J135" s="4">
        <v>88.634725417124457</v>
      </c>
      <c r="K135" s="4">
        <v>91.300366764958753</v>
      </c>
      <c r="L135" s="4">
        <v>94.215322372958013</v>
      </c>
      <c r="M135" s="4">
        <v>97.318343965735494</v>
      </c>
      <c r="N135" s="4">
        <v>100.67259849692795</v>
      </c>
      <c r="O135" s="11">
        <f t="shared" si="1"/>
        <v>3.028883232966267E-2</v>
      </c>
      <c r="P135"/>
      <c r="Q135" s="11"/>
    </row>
    <row r="136" spans="1:17" x14ac:dyDescent="0.35">
      <c r="A136" s="3" t="s">
        <v>73</v>
      </c>
      <c r="B136" s="4">
        <v>1344.2892667733536</v>
      </c>
      <c r="C136" s="4">
        <v>1445.9137518597001</v>
      </c>
      <c r="D136" s="4">
        <v>1558.8979311956168</v>
      </c>
      <c r="E136" s="4">
        <v>1681.2184920236136</v>
      </c>
      <c r="F136" s="4">
        <v>1814.0809068774563</v>
      </c>
      <c r="G136" s="4">
        <v>1959.2581934190739</v>
      </c>
      <c r="H136" s="4">
        <v>2119.181408110931</v>
      </c>
      <c r="I136" s="4">
        <v>2296.5908296821458</v>
      </c>
      <c r="J136" s="4">
        <v>2491.024568689932</v>
      </c>
      <c r="K136" s="4">
        <v>2704.3901516401238</v>
      </c>
      <c r="L136" s="4">
        <v>2941.0664381484835</v>
      </c>
      <c r="M136" s="4">
        <v>3204.0783838632874</v>
      </c>
      <c r="N136" s="4">
        <v>3497.0763348025089</v>
      </c>
      <c r="O136" s="11">
        <f t="shared" si="1"/>
        <v>8.6287487827792136E-2</v>
      </c>
      <c r="P136"/>
      <c r="Q136" s="11"/>
    </row>
    <row r="137" spans="1:17" x14ac:dyDescent="0.35">
      <c r="A137" s="3" t="s">
        <v>74</v>
      </c>
      <c r="B137" s="4">
        <v>675.7035934325794</v>
      </c>
      <c r="C137" s="4">
        <v>720.39374797685889</v>
      </c>
      <c r="D137" s="4">
        <v>770.92757307778038</v>
      </c>
      <c r="E137" s="4">
        <v>825.56256162051181</v>
      </c>
      <c r="F137" s="4">
        <v>884.9858225754939</v>
      </c>
      <c r="G137" s="4">
        <v>949.42668575983873</v>
      </c>
      <c r="H137" s="4">
        <v>1019.551778243032</v>
      </c>
      <c r="I137" s="4">
        <v>1096.7026684876751</v>
      </c>
      <c r="J137" s="4">
        <v>1180.5172987684284</v>
      </c>
      <c r="K137" s="4">
        <v>1272.5626283473694</v>
      </c>
      <c r="L137" s="4">
        <v>1372.801251106175</v>
      </c>
      <c r="M137" s="4">
        <v>1482.6182728139806</v>
      </c>
      <c r="N137" s="4">
        <v>1604.3668415183479</v>
      </c>
      <c r="O137" s="11">
        <f t="shared" si="1"/>
        <v>7.7826586127515057E-2</v>
      </c>
      <c r="P137"/>
      <c r="Q137" s="11"/>
    </row>
    <row r="138" spans="1:17" x14ac:dyDescent="0.35">
      <c r="A138" s="3" t="s">
        <v>75</v>
      </c>
      <c r="B138" s="4">
        <v>306.5273892159035</v>
      </c>
      <c r="C138" s="4">
        <v>319.58696283054655</v>
      </c>
      <c r="D138" s="4">
        <v>333.98106679939877</v>
      </c>
      <c r="E138" s="4">
        <v>349.20994503851267</v>
      </c>
      <c r="F138" s="4">
        <v>365.37671901766271</v>
      </c>
      <c r="G138" s="4">
        <v>382.50060496218248</v>
      </c>
      <c r="H138" s="4">
        <v>400.60583220452196</v>
      </c>
      <c r="I138" s="4">
        <v>419.84266379386804</v>
      </c>
      <c r="J138" s="4">
        <v>440.44057365191316</v>
      </c>
      <c r="K138" s="4">
        <v>462.63688392986859</v>
      </c>
      <c r="L138" s="4">
        <v>486.39860843065685</v>
      </c>
      <c r="M138" s="4">
        <v>511.7339301282675</v>
      </c>
      <c r="N138" s="4">
        <v>538.90890600118951</v>
      </c>
      <c r="O138" s="11">
        <f t="shared" si="1"/>
        <v>5.0192792750666911E-2</v>
      </c>
      <c r="P138"/>
      <c r="Q138" s="11"/>
    </row>
    <row r="139" spans="1:17" x14ac:dyDescent="0.35">
      <c r="A139" s="3" t="s">
        <v>76</v>
      </c>
      <c r="B139" s="4">
        <v>323.83031521970219</v>
      </c>
      <c r="C139" s="4">
        <v>338.02388433264025</v>
      </c>
      <c r="D139" s="4">
        <v>353.26660725132535</v>
      </c>
      <c r="E139" s="4">
        <v>369.42209682612224</v>
      </c>
      <c r="F139" s="4">
        <v>386.78121337018928</v>
      </c>
      <c r="G139" s="4">
        <v>405.4962803163653</v>
      </c>
      <c r="H139" s="4">
        <v>425.50674012116991</v>
      </c>
      <c r="I139" s="4">
        <v>447.4301326115438</v>
      </c>
      <c r="J139" s="4">
        <v>471.07436586659435</v>
      </c>
      <c r="K139" s="4">
        <v>496.40619024969794</v>
      </c>
      <c r="L139" s="4">
        <v>524.04909600718645</v>
      </c>
      <c r="M139" s="4">
        <v>553.79070294884104</v>
      </c>
      <c r="N139" s="4">
        <v>586.08318328953828</v>
      </c>
      <c r="O139" s="11">
        <f t="shared" si="1"/>
        <v>5.4030548260401538E-2</v>
      </c>
      <c r="P139"/>
      <c r="Q139" s="11"/>
    </row>
    <row r="140" spans="1:17" x14ac:dyDescent="0.35">
      <c r="A140" s="3" t="s">
        <v>77</v>
      </c>
      <c r="B140" s="4">
        <v>395.3734663947771</v>
      </c>
      <c r="C140" s="4">
        <v>418.89537261251934</v>
      </c>
      <c r="D140" s="4">
        <v>444.02747229195649</v>
      </c>
      <c r="E140" s="4">
        <v>470.93700082925136</v>
      </c>
      <c r="F140" s="4">
        <v>499.9049662333091</v>
      </c>
      <c r="G140" s="4">
        <v>531.03630539037101</v>
      </c>
      <c r="H140" s="4">
        <v>564.28168463769873</v>
      </c>
      <c r="I140" s="4">
        <v>600.12994525811041</v>
      </c>
      <c r="J140" s="4">
        <v>639.19180648366194</v>
      </c>
      <c r="K140" s="4">
        <v>681.22064446208356</v>
      </c>
      <c r="L140" s="4">
        <v>726.9140539751404</v>
      </c>
      <c r="M140" s="4">
        <v>776.44146926187727</v>
      </c>
      <c r="N140" s="4">
        <v>830.2218200635599</v>
      </c>
      <c r="O140" s="11">
        <f t="shared" si="1"/>
        <v>6.5919177014662655E-2</v>
      </c>
      <c r="P140"/>
      <c r="Q140" s="11"/>
    </row>
    <row r="141" spans="1:17" x14ac:dyDescent="0.35">
      <c r="A141" s="3" t="s">
        <v>78</v>
      </c>
      <c r="B141" s="4">
        <v>215.42716824728461</v>
      </c>
      <c r="C141" s="4">
        <v>221.8609595525626</v>
      </c>
      <c r="D141" s="4">
        <v>228.71881665920259</v>
      </c>
      <c r="E141" s="4">
        <v>235.96622268719432</v>
      </c>
      <c r="F141" s="4">
        <v>243.55113901122601</v>
      </c>
      <c r="G141" s="4">
        <v>251.59998243600029</v>
      </c>
      <c r="H141" s="4">
        <v>260.27923045066478</v>
      </c>
      <c r="I141" s="4">
        <v>269.5475797382677</v>
      </c>
      <c r="J141" s="4">
        <v>279.50924609086292</v>
      </c>
      <c r="K141" s="4">
        <v>290.14234449827904</v>
      </c>
      <c r="L141" s="4">
        <v>301.42600736535019</v>
      </c>
      <c r="M141" s="4">
        <v>313.60848169441834</v>
      </c>
      <c r="N141" s="4">
        <v>326.76300754130716</v>
      </c>
      <c r="O141" s="11">
        <f t="shared" si="1"/>
        <v>3.8048077171442922E-2</v>
      </c>
      <c r="P141"/>
      <c r="Q141" s="11"/>
    </row>
    <row r="142" spans="1:17" x14ac:dyDescent="0.35">
      <c r="A142" s="3" t="s">
        <v>79</v>
      </c>
      <c r="B142" s="4">
        <v>672.23336009106492</v>
      </c>
      <c r="C142" s="4">
        <v>720.68993640677945</v>
      </c>
      <c r="D142" s="4">
        <v>773.53700438792475</v>
      </c>
      <c r="E142" s="4">
        <v>830.76834809200523</v>
      </c>
      <c r="F142" s="4">
        <v>893.28756571222164</v>
      </c>
      <c r="G142" s="4">
        <v>961.71649564032282</v>
      </c>
      <c r="H142" s="4">
        <v>1036.198726782947</v>
      </c>
      <c r="I142" s="4">
        <v>1118.555313572909</v>
      </c>
      <c r="J142" s="4">
        <v>1208.9454075861377</v>
      </c>
      <c r="K142" s="4">
        <v>1307.8036997078832</v>
      </c>
      <c r="L142" s="4">
        <v>1417.1299996588052</v>
      </c>
      <c r="M142" s="4">
        <v>1536.9465786541123</v>
      </c>
      <c r="N142" s="4">
        <v>1669.1443670358562</v>
      </c>
      <c r="O142" s="11">
        <f t="shared" si="1"/>
        <v>8.1948753352970707E-2</v>
      </c>
      <c r="P142"/>
      <c r="Q142" s="11"/>
    </row>
    <row r="143" spans="1:17" x14ac:dyDescent="0.35">
      <c r="A143" s="3" t="s">
        <v>80</v>
      </c>
      <c r="B143" s="4">
        <v>274.83885500804217</v>
      </c>
      <c r="C143" s="4">
        <v>284.79257057766858</v>
      </c>
      <c r="D143" s="4">
        <v>295.71494363225003</v>
      </c>
      <c r="E143" s="4">
        <v>307.09547800846468</v>
      </c>
      <c r="F143" s="4">
        <v>319.06699525495316</v>
      </c>
      <c r="G143" s="4">
        <v>331.78556930962526</v>
      </c>
      <c r="H143" s="4">
        <v>345.25848726935106</v>
      </c>
      <c r="I143" s="4">
        <v>360.16719222165767</v>
      </c>
      <c r="J143" s="4">
        <v>376.02561814445761</v>
      </c>
      <c r="K143" s="4">
        <v>393.06479548321312</v>
      </c>
      <c r="L143" s="4">
        <v>411.53735240196778</v>
      </c>
      <c r="M143" s="4">
        <v>431.58851695727782</v>
      </c>
      <c r="N143" s="4">
        <v>453.40335304389237</v>
      </c>
      <c r="O143" s="11">
        <f t="shared" si="1"/>
        <v>4.5623461352767167E-2</v>
      </c>
      <c r="P143"/>
      <c r="Q143" s="11"/>
    </row>
    <row r="144" spans="1:17" x14ac:dyDescent="0.35">
      <c r="A144" s="3" t="s">
        <v>81</v>
      </c>
      <c r="B144" s="4">
        <v>357.89581938684091</v>
      </c>
      <c r="C144" s="4">
        <v>376.53459904152731</v>
      </c>
      <c r="D144" s="4">
        <v>397.06777129588767</v>
      </c>
      <c r="E144" s="4">
        <v>419.00865353406141</v>
      </c>
      <c r="F144" s="4">
        <v>442.49291128774695</v>
      </c>
      <c r="G144" s="4">
        <v>467.83712156403561</v>
      </c>
      <c r="H144" s="4">
        <v>495.03045637451112</v>
      </c>
      <c r="I144" s="4">
        <v>524.41404559277044</v>
      </c>
      <c r="J144" s="4">
        <v>556.33237691521481</v>
      </c>
      <c r="K144" s="4">
        <v>590.64964882565789</v>
      </c>
      <c r="L144" s="4">
        <v>627.85183475954068</v>
      </c>
      <c r="M144" s="4">
        <v>668.23855785058379</v>
      </c>
      <c r="N144" s="4">
        <v>712.41854541758687</v>
      </c>
      <c r="O144" s="11">
        <f t="shared" si="1"/>
        <v>6.1919278802413436E-2</v>
      </c>
      <c r="P144"/>
      <c r="Q144" s="11"/>
    </row>
    <row r="145" spans="1:17" x14ac:dyDescent="0.35">
      <c r="A145" s="3" t="s">
        <v>82</v>
      </c>
      <c r="B145" s="4">
        <v>447.22439405654433</v>
      </c>
      <c r="C145" s="4">
        <v>474.09448315948464</v>
      </c>
      <c r="D145" s="4">
        <v>503.1809055589884</v>
      </c>
      <c r="E145" s="4">
        <v>534.39239313181815</v>
      </c>
      <c r="F145" s="4">
        <v>568.2193103584292</v>
      </c>
      <c r="G145" s="4">
        <v>604.98751062560984</v>
      </c>
      <c r="H145" s="4">
        <v>644.66676946464872</v>
      </c>
      <c r="I145" s="4">
        <v>688.28265865573417</v>
      </c>
      <c r="J145" s="4">
        <v>735.79579736935978</v>
      </c>
      <c r="K145" s="4">
        <v>787.26314138021894</v>
      </c>
      <c r="L145" s="4">
        <v>843.78317475126755</v>
      </c>
      <c r="M145" s="4">
        <v>905.21498439725303</v>
      </c>
      <c r="N145" s="4">
        <v>972.50855868400345</v>
      </c>
      <c r="O145" s="11">
        <f t="shared" si="1"/>
        <v>7.0162120737738545E-2</v>
      </c>
      <c r="P145"/>
      <c r="Q145" s="11"/>
    </row>
    <row r="146" spans="1:17" x14ac:dyDescent="0.35">
      <c r="A146" s="3" t="s">
        <v>83</v>
      </c>
      <c r="B146" s="4">
        <v>1681.3116858681137</v>
      </c>
      <c r="C146" s="4">
        <v>1820.0098865626715</v>
      </c>
      <c r="D146" s="4">
        <v>1974.3544921910946</v>
      </c>
      <c r="E146" s="4">
        <v>2142.9572362166218</v>
      </c>
      <c r="F146" s="4">
        <v>2327.588729334801</v>
      </c>
      <c r="G146" s="4">
        <v>2529.4961752795689</v>
      </c>
      <c r="H146" s="4">
        <v>2749.8585881707932</v>
      </c>
      <c r="I146" s="4">
        <v>2991.1954762824466</v>
      </c>
      <c r="J146" s="4">
        <v>3256.9302944338833</v>
      </c>
      <c r="K146" s="4">
        <v>3550.6308901844668</v>
      </c>
      <c r="L146" s="4">
        <v>3874.1572305825453</v>
      </c>
      <c r="M146" s="4">
        <v>4229.5576413765521</v>
      </c>
      <c r="N146" s="4">
        <v>4621.5717331246115</v>
      </c>
      <c r="O146" s="11">
        <f t="shared" si="1"/>
        <v>8.9917604225609279E-2</v>
      </c>
      <c r="P146"/>
      <c r="Q146" s="11"/>
    </row>
    <row r="147" spans="1:17" x14ac:dyDescent="0.35">
      <c r="A147" s="3" t="s">
        <v>84</v>
      </c>
      <c r="B147" s="4">
        <v>542.79028163213377</v>
      </c>
      <c r="C147" s="4">
        <v>577.67289719383905</v>
      </c>
      <c r="D147" s="4">
        <v>616.01686071634663</v>
      </c>
      <c r="E147" s="4">
        <v>656.96302840937449</v>
      </c>
      <c r="F147" s="4">
        <v>700.94717954442365</v>
      </c>
      <c r="G147" s="4">
        <v>748.51889487585686</v>
      </c>
      <c r="H147" s="4">
        <v>799.90933063990212</v>
      </c>
      <c r="I147" s="4">
        <v>857.04443635775317</v>
      </c>
      <c r="J147" s="4">
        <v>918.97243588470451</v>
      </c>
      <c r="K147" s="4">
        <v>986.54701942698648</v>
      </c>
      <c r="L147" s="4">
        <v>1060.8257767369605</v>
      </c>
      <c r="M147" s="4">
        <v>1142.6385339566834</v>
      </c>
      <c r="N147" s="4">
        <v>1232.9366772872875</v>
      </c>
      <c r="O147" s="11">
        <f t="shared" si="1"/>
        <v>7.3896858824837083E-2</v>
      </c>
      <c r="P147"/>
      <c r="Q147" s="11"/>
    </row>
    <row r="148" spans="1:17" x14ac:dyDescent="0.35">
      <c r="A148" s="3" t="s">
        <v>85</v>
      </c>
      <c r="B148" s="4">
        <v>124.45233895537081</v>
      </c>
      <c r="C148" s="4">
        <v>127.3024562312854</v>
      </c>
      <c r="D148" s="4">
        <v>130.70840584750417</v>
      </c>
      <c r="E148" s="4">
        <v>134.29764317209813</v>
      </c>
      <c r="F148" s="4">
        <v>138.12900327494995</v>
      </c>
      <c r="G148" s="4">
        <v>142.18064239105701</v>
      </c>
      <c r="H148" s="4">
        <v>146.48980695243512</v>
      </c>
      <c r="I148" s="4">
        <v>151.17704136279079</v>
      </c>
      <c r="J148" s="4">
        <v>156.13219279411817</v>
      </c>
      <c r="K148" s="4">
        <v>161.48862672900097</v>
      </c>
      <c r="L148" s="4">
        <v>167.15865511551959</v>
      </c>
      <c r="M148" s="4">
        <v>173.22300962992361</v>
      </c>
      <c r="N148" s="4">
        <v>179.85621677763626</v>
      </c>
      <c r="O148" s="11">
        <f t="shared" si="1"/>
        <v>3.4150077489778122E-2</v>
      </c>
      <c r="P148"/>
      <c r="Q148" s="11"/>
    </row>
    <row r="149" spans="1:17" x14ac:dyDescent="0.35">
      <c r="A149" s="1" t="s">
        <v>46</v>
      </c>
      <c r="O149" s="11" t="str">
        <f t="shared" ref="O149:O212" si="2">IFERROR(RATE(2033-2026,,-G149,N149),"")</f>
        <v/>
      </c>
      <c r="P149"/>
      <c r="Q149" s="11"/>
    </row>
    <row r="150" spans="1:17" x14ac:dyDescent="0.35">
      <c r="A150" s="2" t="s">
        <v>24</v>
      </c>
      <c r="O150" s="11" t="str">
        <f t="shared" si="2"/>
        <v/>
      </c>
      <c r="P150"/>
      <c r="Q150" s="11"/>
    </row>
    <row r="151" spans="1:17" x14ac:dyDescent="0.35">
      <c r="A151" s="3" t="s">
        <v>25</v>
      </c>
      <c r="B151" s="4">
        <v>54.642658219145289</v>
      </c>
      <c r="C151" s="4">
        <v>58.260037439532724</v>
      </c>
      <c r="D151" s="4">
        <v>62.158822194760184</v>
      </c>
      <c r="E151" s="4">
        <v>66.354994544492513</v>
      </c>
      <c r="F151" s="4">
        <v>70.892525471982083</v>
      </c>
      <c r="G151" s="4">
        <v>75.787861252674119</v>
      </c>
      <c r="H151" s="4">
        <v>81.043394927339335</v>
      </c>
      <c r="I151" s="4">
        <v>86.730326132152783</v>
      </c>
      <c r="J151" s="4">
        <v>92.943121544682626</v>
      </c>
      <c r="K151" s="4">
        <v>99.67486461373656</v>
      </c>
      <c r="L151" s="4">
        <v>107.01793935681565</v>
      </c>
      <c r="M151" s="4">
        <v>115.00382842627953</v>
      </c>
      <c r="N151" s="4">
        <v>123.70513690125</v>
      </c>
      <c r="O151" s="11">
        <f t="shared" si="2"/>
        <v>7.2502461367154339E-2</v>
      </c>
      <c r="P151"/>
      <c r="Q151" s="11"/>
    </row>
    <row r="152" spans="1:17" x14ac:dyDescent="0.35">
      <c r="A152" s="3" t="s">
        <v>26</v>
      </c>
      <c r="B152" s="4">
        <v>510.9404584117068</v>
      </c>
      <c r="C152" s="4">
        <v>547.71516872828363</v>
      </c>
      <c r="D152" s="4">
        <v>588.48465233284537</v>
      </c>
      <c r="E152" s="4">
        <v>632.60345528905509</v>
      </c>
      <c r="F152" s="4">
        <v>680.46523890269157</v>
      </c>
      <c r="G152" s="4">
        <v>732.38574171801531</v>
      </c>
      <c r="H152" s="4">
        <v>788.73411397031521</v>
      </c>
      <c r="I152" s="4">
        <v>850.1196495810899</v>
      </c>
      <c r="J152" s="4">
        <v>917.16059547923146</v>
      </c>
      <c r="K152" s="4">
        <v>990.67313394428993</v>
      </c>
      <c r="L152" s="4">
        <v>1071.1618537639486</v>
      </c>
      <c r="M152" s="4">
        <v>1159.1452477136486</v>
      </c>
      <c r="N152" s="4">
        <v>1255.6933880861568</v>
      </c>
      <c r="O152" s="11">
        <f t="shared" si="2"/>
        <v>8.0063037858066136E-2</v>
      </c>
      <c r="P152"/>
      <c r="Q152" s="11"/>
    </row>
    <row r="153" spans="1:17" x14ac:dyDescent="0.35">
      <c r="A153" s="2" t="s">
        <v>27</v>
      </c>
      <c r="O153" s="11" t="str">
        <f t="shared" si="2"/>
        <v/>
      </c>
      <c r="P153"/>
      <c r="Q153" s="11"/>
    </row>
    <row r="154" spans="1:17" x14ac:dyDescent="0.35">
      <c r="A154" s="3" t="s">
        <v>30</v>
      </c>
      <c r="B154" s="4">
        <v>95.418598186405106</v>
      </c>
      <c r="C154" s="4">
        <v>103.38040933517286</v>
      </c>
      <c r="D154" s="4">
        <v>112.10382865700009</v>
      </c>
      <c r="E154" s="4">
        <v>121.63613737626584</v>
      </c>
      <c r="F154" s="4">
        <v>132.12833330002047</v>
      </c>
      <c r="G154" s="4">
        <v>143.69224309563293</v>
      </c>
      <c r="H154" s="4">
        <v>156.37656576366868</v>
      </c>
      <c r="I154" s="4">
        <v>170.47485693361904</v>
      </c>
      <c r="J154" s="4">
        <v>186.08407349651014</v>
      </c>
      <c r="K154" s="4">
        <v>203.28435942364561</v>
      </c>
      <c r="L154" s="4">
        <v>222.43708200605332</v>
      </c>
      <c r="M154" s="4">
        <v>243.61737504699386</v>
      </c>
      <c r="N154" s="4">
        <v>267.16032454371208</v>
      </c>
      <c r="O154" s="11">
        <f t="shared" si="2"/>
        <v>9.263962994713805E-2</v>
      </c>
      <c r="P154"/>
      <c r="Q154" s="11"/>
    </row>
    <row r="155" spans="1:17" x14ac:dyDescent="0.35">
      <c r="A155" s="3" t="s">
        <v>32</v>
      </c>
      <c r="B155" s="4">
        <v>52.052792321535811</v>
      </c>
      <c r="C155" s="4">
        <v>54.76215584074955</v>
      </c>
      <c r="D155" s="4">
        <v>57.705661459482961</v>
      </c>
      <c r="E155" s="4">
        <v>60.903990961266359</v>
      </c>
      <c r="F155" s="4">
        <v>64.343890439527712</v>
      </c>
      <c r="G155" s="4">
        <v>68.126684965061898</v>
      </c>
      <c r="H155" s="4">
        <v>72.166147778613279</v>
      </c>
      <c r="I155" s="4">
        <v>76.605116055843652</v>
      </c>
      <c r="J155" s="4">
        <v>81.433623268793639</v>
      </c>
      <c r="K155" s="4">
        <v>86.698410581077283</v>
      </c>
      <c r="L155" s="4">
        <v>92.481390704894324</v>
      </c>
      <c r="M155" s="4">
        <v>98.842932486405047</v>
      </c>
      <c r="N155" s="4">
        <v>105.81070628113861</v>
      </c>
      <c r="O155" s="11">
        <f t="shared" si="2"/>
        <v>6.4917713314220721E-2</v>
      </c>
      <c r="P155"/>
      <c r="Q155" s="11"/>
    </row>
    <row r="156" spans="1:17" x14ac:dyDescent="0.35">
      <c r="A156" s="3" t="s">
        <v>29</v>
      </c>
      <c r="B156" s="4">
        <v>118.32558686004595</v>
      </c>
      <c r="C156" s="4">
        <v>127.75936918280809</v>
      </c>
      <c r="D156" s="4">
        <v>138.07621747102479</v>
      </c>
      <c r="E156" s="4">
        <v>149.31715332906967</v>
      </c>
      <c r="F156" s="4">
        <v>161.56058325946225</v>
      </c>
      <c r="G156" s="4">
        <v>174.94765886308326</v>
      </c>
      <c r="H156" s="4">
        <v>189.69115406692021</v>
      </c>
      <c r="I156" s="4">
        <v>205.90707969019411</v>
      </c>
      <c r="J156" s="4">
        <v>223.78325224447232</v>
      </c>
      <c r="K156" s="4">
        <v>243.43741581316172</v>
      </c>
      <c r="L156" s="4">
        <v>265.04874047425591</v>
      </c>
      <c r="M156" s="4">
        <v>288.93705298168248</v>
      </c>
      <c r="N156" s="4">
        <v>315.41325536061066</v>
      </c>
      <c r="O156" s="11">
        <f t="shared" si="2"/>
        <v>8.7845953958111012E-2</v>
      </c>
      <c r="P156"/>
      <c r="Q156" s="11"/>
    </row>
    <row r="157" spans="1:17" x14ac:dyDescent="0.35">
      <c r="A157" s="3" t="s">
        <v>31</v>
      </c>
      <c r="B157" s="4">
        <v>68.166256360199682</v>
      </c>
      <c r="C157" s="4">
        <v>73.064817260841707</v>
      </c>
      <c r="D157" s="4">
        <v>78.476381657652141</v>
      </c>
      <c r="E157" s="4">
        <v>84.310031883914064</v>
      </c>
      <c r="F157" s="4">
        <v>90.625388828177392</v>
      </c>
      <c r="G157" s="4">
        <v>97.504739332906382</v>
      </c>
      <c r="H157" s="4">
        <v>104.98281806568801</v>
      </c>
      <c r="I157" s="4">
        <v>113.28243768798586</v>
      </c>
      <c r="J157" s="4">
        <v>122.35380303261063</v>
      </c>
      <c r="K157" s="4">
        <v>132.29399831052356</v>
      </c>
      <c r="L157" s="4">
        <v>143.25826983728066</v>
      </c>
      <c r="M157" s="4">
        <v>155.3750275757809</v>
      </c>
      <c r="N157" s="4">
        <v>168.80846210082427</v>
      </c>
      <c r="O157" s="11">
        <f t="shared" si="2"/>
        <v>8.1565040521702825E-2</v>
      </c>
      <c r="P157"/>
      <c r="Q157" s="11"/>
    </row>
    <row r="158" spans="1:17" x14ac:dyDescent="0.35">
      <c r="A158" s="3" t="s">
        <v>28</v>
      </c>
      <c r="B158" s="4">
        <v>199.31236179687312</v>
      </c>
      <c r="C158" s="4">
        <v>212.44896327224515</v>
      </c>
      <c r="D158" s="4">
        <v>227.2434548753842</v>
      </c>
      <c r="E158" s="4">
        <v>243.07525335153028</v>
      </c>
      <c r="F158" s="4">
        <v>260.08225008788929</v>
      </c>
      <c r="G158" s="4">
        <v>278.14799495194097</v>
      </c>
      <c r="H158" s="4">
        <v>297.42395574993122</v>
      </c>
      <c r="I158" s="4">
        <v>317.78198272083932</v>
      </c>
      <c r="J158" s="4">
        <v>339.65529690998682</v>
      </c>
      <c r="K158" s="4">
        <v>363.471888123599</v>
      </c>
      <c r="L158" s="4">
        <v>389.03007362222382</v>
      </c>
      <c r="M158" s="4">
        <v>416.27498875624548</v>
      </c>
      <c r="N158" s="4">
        <v>445.45350601282297</v>
      </c>
      <c r="O158" s="11">
        <f t="shared" si="2"/>
        <v>6.9591798069131683E-2</v>
      </c>
      <c r="P158"/>
      <c r="Q158" s="11"/>
    </row>
    <row r="159" spans="1:17" x14ac:dyDescent="0.35">
      <c r="A159" s="3" t="s">
        <v>33</v>
      </c>
      <c r="B159" s="4">
        <v>32.307521105792382</v>
      </c>
      <c r="C159" s="4">
        <v>34.559491275999051</v>
      </c>
      <c r="D159" s="4">
        <v>37.03793040706131</v>
      </c>
      <c r="E159" s="4">
        <v>39.715882931501525</v>
      </c>
      <c r="F159" s="4">
        <v>42.617318459596532</v>
      </c>
      <c r="G159" s="4">
        <v>45.754281762064018</v>
      </c>
      <c r="H159" s="4">
        <v>49.136867472833224</v>
      </c>
      <c r="I159" s="4">
        <v>52.798502624760815</v>
      </c>
      <c r="J159" s="4">
        <v>56.793668071540488</v>
      </c>
      <c r="K159" s="4">
        <v>61.161926306019303</v>
      </c>
      <c r="L159" s="4">
        <v>65.924236476056066</v>
      </c>
      <c r="M159" s="4">
        <v>71.101699292820285</v>
      </c>
      <c r="N159" s="4">
        <v>76.752270688298339</v>
      </c>
      <c r="O159" s="11">
        <f t="shared" si="2"/>
        <v>7.6698760088123888E-2</v>
      </c>
      <c r="P159"/>
      <c r="Q159" s="11"/>
    </row>
    <row r="160" spans="1:17" x14ac:dyDescent="0.35">
      <c r="A160" s="2" t="s">
        <v>34</v>
      </c>
      <c r="O160" s="11" t="str">
        <f t="shared" si="2"/>
        <v/>
      </c>
      <c r="P160"/>
      <c r="Q160" s="11"/>
    </row>
    <row r="161" spans="1:17" x14ac:dyDescent="0.35">
      <c r="A161" s="3" t="s">
        <v>36</v>
      </c>
      <c r="B161" s="4">
        <v>206.13300179868043</v>
      </c>
      <c r="C161" s="4">
        <v>221.51372450623523</v>
      </c>
      <c r="D161" s="4">
        <v>238.4114925801444</v>
      </c>
      <c r="E161" s="4">
        <v>256.9606698259426</v>
      </c>
      <c r="F161" s="4">
        <v>277.2085261327548</v>
      </c>
      <c r="G161" s="4">
        <v>299.69605981044253</v>
      </c>
      <c r="H161" s="4">
        <v>324.18791807459058</v>
      </c>
      <c r="I161" s="4">
        <v>351.53567950693287</v>
      </c>
      <c r="J161" s="4">
        <v>381.7017736918782</v>
      </c>
      <c r="K161" s="4">
        <v>415.06353304313143</v>
      </c>
      <c r="L161" s="4">
        <v>452.25189027263662</v>
      </c>
      <c r="M161" s="4">
        <v>493.80551216702804</v>
      </c>
      <c r="N161" s="4">
        <v>540.10522302852735</v>
      </c>
      <c r="O161" s="11">
        <f t="shared" si="2"/>
        <v>8.7783526927593128E-2</v>
      </c>
      <c r="P161"/>
      <c r="Q161" s="11"/>
    </row>
    <row r="162" spans="1:17" x14ac:dyDescent="0.35">
      <c r="A162" s="3" t="s">
        <v>37</v>
      </c>
      <c r="B162" s="4">
        <v>122.34950950970357</v>
      </c>
      <c r="C162" s="4">
        <v>131.48271512009018</v>
      </c>
      <c r="D162" s="4">
        <v>141.40089635480351</v>
      </c>
      <c r="E162" s="4">
        <v>152.1571687003588</v>
      </c>
      <c r="F162" s="4">
        <v>163.86878791867778</v>
      </c>
      <c r="G162" s="4">
        <v>176.6187895674199</v>
      </c>
      <c r="H162" s="4">
        <v>190.43056123737901</v>
      </c>
      <c r="I162" s="4">
        <v>205.50478639769415</v>
      </c>
      <c r="J162" s="4">
        <v>222.09388411013524</v>
      </c>
      <c r="K162" s="4">
        <v>240.17490164492096</v>
      </c>
      <c r="L162" s="4">
        <v>260.04398271754712</v>
      </c>
      <c r="M162" s="4">
        <v>281.84060857558615</v>
      </c>
      <c r="N162" s="4">
        <v>305.80759496924537</v>
      </c>
      <c r="O162" s="11">
        <f t="shared" si="2"/>
        <v>8.1580294467819656E-2</v>
      </c>
      <c r="P162"/>
      <c r="Q162" s="11"/>
    </row>
    <row r="163" spans="1:17" x14ac:dyDescent="0.35">
      <c r="A163" s="3" t="s">
        <v>35</v>
      </c>
      <c r="B163" s="4">
        <v>180.25217921737033</v>
      </c>
      <c r="C163" s="4">
        <v>192.37821579048384</v>
      </c>
      <c r="D163" s="4">
        <v>206.12521842112795</v>
      </c>
      <c r="E163" s="4">
        <v>220.73888103327204</v>
      </c>
      <c r="F163" s="4">
        <v>236.4449669113892</v>
      </c>
      <c r="G163" s="4">
        <v>252.90062985743464</v>
      </c>
      <c r="H163" s="4">
        <v>270.66853337361715</v>
      </c>
      <c r="I163" s="4">
        <v>289.19590808177747</v>
      </c>
      <c r="J163" s="4">
        <v>309.0390514032535</v>
      </c>
      <c r="K163" s="4">
        <v>330.58388927462153</v>
      </c>
      <c r="L163" s="4">
        <v>353.38458296106535</v>
      </c>
      <c r="M163" s="4">
        <v>377.23245477073715</v>
      </c>
      <c r="N163" s="4">
        <v>402.54785526075239</v>
      </c>
      <c r="O163" s="11">
        <f t="shared" si="2"/>
        <v>6.8656740631722196E-2</v>
      </c>
      <c r="P163"/>
      <c r="Q163" s="11"/>
    </row>
    <row r="164" spans="1:17" x14ac:dyDescent="0.35">
      <c r="A164" s="3" t="s">
        <v>38</v>
      </c>
      <c r="B164" s="4">
        <v>56.84842610509773</v>
      </c>
      <c r="C164" s="4">
        <v>60.600550751007205</v>
      </c>
      <c r="D164" s="4">
        <v>64.705867171529675</v>
      </c>
      <c r="E164" s="4">
        <v>69.101730273974255</v>
      </c>
      <c r="F164" s="4">
        <v>73.835483411851868</v>
      </c>
      <c r="G164" s="4">
        <v>78.958123735392377</v>
      </c>
      <c r="H164" s="4">
        <v>84.490496212067868</v>
      </c>
      <c r="I164" s="4">
        <v>90.613601726838297</v>
      </c>
      <c r="J164" s="4">
        <v>97.269007818647182</v>
      </c>
      <c r="K164" s="4">
        <v>104.52567459535257</v>
      </c>
      <c r="L164" s="4">
        <v>112.49933716951516</v>
      </c>
      <c r="M164" s="4">
        <v>121.27050062657683</v>
      </c>
      <c r="N164" s="4">
        <v>130.93785172888195</v>
      </c>
      <c r="O164" s="11">
        <f t="shared" si="2"/>
        <v>7.493251249187112E-2</v>
      </c>
      <c r="P164"/>
      <c r="Q164" s="11"/>
    </row>
    <row r="165" spans="1:17" x14ac:dyDescent="0.35">
      <c r="A165" s="2" t="s">
        <v>22</v>
      </c>
      <c r="O165" s="11" t="str">
        <f t="shared" si="2"/>
        <v/>
      </c>
      <c r="P165"/>
      <c r="Q165" s="11"/>
    </row>
    <row r="166" spans="1:17" x14ac:dyDescent="0.35">
      <c r="A166" s="3" t="s">
        <v>39</v>
      </c>
      <c r="B166" s="4">
        <v>145.67430453466969</v>
      </c>
      <c r="C166" s="4">
        <v>157.50240809178189</v>
      </c>
      <c r="D166" s="4">
        <v>170.51016042746707</v>
      </c>
      <c r="E166" s="4">
        <v>184.604296218759</v>
      </c>
      <c r="F166" s="4">
        <v>199.9014937915274</v>
      </c>
      <c r="G166" s="4">
        <v>216.38622104507451</v>
      </c>
      <c r="H166" s="4">
        <v>233.90640406080593</v>
      </c>
      <c r="I166" s="4">
        <v>252.51532698654947</v>
      </c>
      <c r="J166" s="4">
        <v>272.84340208723563</v>
      </c>
      <c r="K166" s="4">
        <v>295.15096499259596</v>
      </c>
      <c r="L166" s="4">
        <v>319.5331052750405</v>
      </c>
      <c r="M166" s="4">
        <v>345.70767321399887</v>
      </c>
      <c r="N166" s="4">
        <v>373.68880421901633</v>
      </c>
      <c r="O166" s="11">
        <f t="shared" si="2"/>
        <v>8.1178029841606256E-2</v>
      </c>
      <c r="P166"/>
      <c r="Q166" s="11"/>
    </row>
    <row r="167" spans="1:17" x14ac:dyDescent="0.35">
      <c r="A167" s="3" t="s">
        <v>41</v>
      </c>
      <c r="B167" s="4">
        <v>115.40360973045803</v>
      </c>
      <c r="C167" s="4">
        <v>121.99248714482472</v>
      </c>
      <c r="D167" s="4">
        <v>129.307328704545</v>
      </c>
      <c r="E167" s="4">
        <v>137.11151256047845</v>
      </c>
      <c r="F167" s="4">
        <v>145.47819640248935</v>
      </c>
      <c r="G167" s="4">
        <v>154.50241782106687</v>
      </c>
      <c r="H167" s="4">
        <v>164.33215969673014</v>
      </c>
      <c r="I167" s="4">
        <v>175.14322341955847</v>
      </c>
      <c r="J167" s="4">
        <v>186.82352401426854</v>
      </c>
      <c r="K167" s="4">
        <v>199.48396462474534</v>
      </c>
      <c r="L167" s="4">
        <v>213.34793133454258</v>
      </c>
      <c r="M167" s="4">
        <v>228.57752098142862</v>
      </c>
      <c r="N167" s="4">
        <v>245.38133509714157</v>
      </c>
      <c r="O167" s="11">
        <f t="shared" si="2"/>
        <v>6.8318851839074921E-2</v>
      </c>
      <c r="P167"/>
      <c r="Q167" s="11"/>
    </row>
    <row r="168" spans="1:17" x14ac:dyDescent="0.35">
      <c r="A168" s="3" t="s">
        <v>40</v>
      </c>
      <c r="B168" s="4">
        <v>145.18592550023496</v>
      </c>
      <c r="C168" s="4">
        <v>154.94021232772172</v>
      </c>
      <c r="D168" s="4">
        <v>165.55275111358162</v>
      </c>
      <c r="E168" s="4">
        <v>177.00384530153576</v>
      </c>
      <c r="F168" s="4">
        <v>189.33132434793936</v>
      </c>
      <c r="G168" s="4">
        <v>202.67404918612573</v>
      </c>
      <c r="H168" s="4">
        <v>217.23580518644738</v>
      </c>
      <c r="I168" s="4">
        <v>233.06081695420744</v>
      </c>
      <c r="J168" s="4">
        <v>250.35900019091844</v>
      </c>
      <c r="K168" s="4">
        <v>269.18710541417636</v>
      </c>
      <c r="L168" s="4">
        <v>289.65168155005432</v>
      </c>
      <c r="M168" s="4">
        <v>312.08037099554173</v>
      </c>
      <c r="N168" s="4">
        <v>336.73169715053473</v>
      </c>
      <c r="O168" s="11">
        <f t="shared" si="2"/>
        <v>7.5221597501298795E-2</v>
      </c>
      <c r="P168"/>
      <c r="Q168" s="11"/>
    </row>
    <row r="169" spans="1:17" x14ac:dyDescent="0.35">
      <c r="A169" s="3" t="s">
        <v>42</v>
      </c>
      <c r="B169" s="4">
        <v>159.31927686548937</v>
      </c>
      <c r="C169" s="4">
        <v>171.54009860348808</v>
      </c>
      <c r="D169" s="4">
        <v>185.2732342820118</v>
      </c>
      <c r="E169" s="4">
        <v>200.23879575277454</v>
      </c>
      <c r="F169" s="4">
        <v>216.64674983271757</v>
      </c>
      <c r="G169" s="4">
        <v>234.61091491842225</v>
      </c>
      <c r="H169" s="4">
        <v>254.30313995367109</v>
      </c>
      <c r="I169" s="4">
        <v>276.13060835292737</v>
      </c>
      <c r="J169" s="4">
        <v>300.07779073149152</v>
      </c>
      <c r="K169" s="4">
        <v>326.52596352650869</v>
      </c>
      <c r="L169" s="4">
        <v>355.64707496112669</v>
      </c>
      <c r="M169" s="4">
        <v>387.78351094895885</v>
      </c>
      <c r="N169" s="4">
        <v>423.59668852071422</v>
      </c>
      <c r="O169" s="11">
        <f t="shared" si="2"/>
        <v>8.807232275932407E-2</v>
      </c>
      <c r="P169"/>
      <c r="Q169" s="11"/>
    </row>
    <row r="170" spans="1:17" x14ac:dyDescent="0.35">
      <c r="A170" s="2" t="s">
        <v>48</v>
      </c>
      <c r="O170" s="11" t="str">
        <f t="shared" si="2"/>
        <v/>
      </c>
      <c r="P170"/>
      <c r="Q170" s="11"/>
    </row>
    <row r="171" spans="1:17" x14ac:dyDescent="0.35">
      <c r="A171" s="3" t="s">
        <v>86</v>
      </c>
      <c r="B171" s="4">
        <v>441.27509368293477</v>
      </c>
      <c r="C171" s="4">
        <v>473.85861361339835</v>
      </c>
      <c r="D171" s="4">
        <v>509.89175153983905</v>
      </c>
      <c r="E171" s="4">
        <v>548.96149575313189</v>
      </c>
      <c r="F171" s="4">
        <v>591.42418274060776</v>
      </c>
      <c r="G171" s="4">
        <v>637.4848207941867</v>
      </c>
      <c r="H171" s="4">
        <v>687.33697134346426</v>
      </c>
      <c r="I171" s="4">
        <v>741.46591936470986</v>
      </c>
      <c r="J171" s="4">
        <v>800.67312704142785</v>
      </c>
      <c r="K171" s="4">
        <v>865.65363204185155</v>
      </c>
      <c r="L171" s="4">
        <v>936.6900327724295</v>
      </c>
      <c r="M171" s="4">
        <v>1014.1456722659627</v>
      </c>
      <c r="N171" s="4">
        <v>1098.9364613149698</v>
      </c>
      <c r="O171" s="11">
        <f t="shared" si="2"/>
        <v>8.0901463759155384E-2</v>
      </c>
      <c r="P171"/>
      <c r="Q171" s="11"/>
    </row>
    <row r="172" spans="1:17" x14ac:dyDescent="0.35">
      <c r="A172" s="3" t="s">
        <v>87</v>
      </c>
      <c r="B172" s="4">
        <v>124.30802294791729</v>
      </c>
      <c r="C172" s="4">
        <v>132.11659255441805</v>
      </c>
      <c r="D172" s="4">
        <v>140.75172298776647</v>
      </c>
      <c r="E172" s="4">
        <v>149.99695408041583</v>
      </c>
      <c r="F172" s="4">
        <v>159.93358163406592</v>
      </c>
      <c r="G172" s="4">
        <v>170.68878217650271</v>
      </c>
      <c r="H172" s="4">
        <v>182.44053755419031</v>
      </c>
      <c r="I172" s="4">
        <v>195.38405634853291</v>
      </c>
      <c r="J172" s="4">
        <v>209.43058998248625</v>
      </c>
      <c r="K172" s="4">
        <v>224.69436651617488</v>
      </c>
      <c r="L172" s="4">
        <v>241.48976034833467</v>
      </c>
      <c r="M172" s="4">
        <v>260.00340387396534</v>
      </c>
      <c r="N172" s="4">
        <v>280.46206367243707</v>
      </c>
      <c r="O172" s="11">
        <f t="shared" si="2"/>
        <v>7.3519352472266639E-2</v>
      </c>
      <c r="P172"/>
      <c r="Q172" s="11"/>
    </row>
    <row r="173" spans="1:17" x14ac:dyDescent="0.35">
      <c r="A173" s="1" t="s">
        <v>47</v>
      </c>
      <c r="O173" s="11" t="str">
        <f t="shared" si="2"/>
        <v/>
      </c>
      <c r="P173"/>
      <c r="Q173" s="11"/>
    </row>
    <row r="174" spans="1:17" x14ac:dyDescent="0.35">
      <c r="A174" s="2" t="s">
        <v>24</v>
      </c>
      <c r="O174" s="11" t="str">
        <f t="shared" si="2"/>
        <v/>
      </c>
      <c r="P174"/>
      <c r="Q174" s="11"/>
    </row>
    <row r="175" spans="1:17" x14ac:dyDescent="0.35">
      <c r="A175" s="3" t="s">
        <v>25</v>
      </c>
      <c r="B175" s="4">
        <v>418.83369422375546</v>
      </c>
      <c r="C175" s="4">
        <v>440.11262867020503</v>
      </c>
      <c r="D175" s="4">
        <v>463.17420226168377</v>
      </c>
      <c r="E175" s="4">
        <v>488.10796970534312</v>
      </c>
      <c r="F175" s="4">
        <v>514.86154670204041</v>
      </c>
      <c r="G175" s="4">
        <v>544.13805439482701</v>
      </c>
      <c r="H175" s="4">
        <v>575.46687758546091</v>
      </c>
      <c r="I175" s="4">
        <v>609.81514196793</v>
      </c>
      <c r="J175" s="4">
        <v>647.15032639074934</v>
      </c>
      <c r="K175" s="4">
        <v>687.82263075286266</v>
      </c>
      <c r="L175" s="4">
        <v>732.43121881430181</v>
      </c>
      <c r="M175" s="4">
        <v>781.38128053998344</v>
      </c>
      <c r="N175" s="4">
        <v>835.01237418281903</v>
      </c>
      <c r="O175" s="11">
        <f t="shared" si="2"/>
        <v>6.3087755408302151E-2</v>
      </c>
      <c r="P175"/>
      <c r="Q175" s="11"/>
    </row>
    <row r="176" spans="1:17" x14ac:dyDescent="0.35">
      <c r="A176" s="3" t="s">
        <v>26</v>
      </c>
      <c r="B176" s="4">
        <v>3836.7868044356551</v>
      </c>
      <c r="C176" s="4">
        <v>4071.3993621041959</v>
      </c>
      <c r="D176" s="4">
        <v>4330.3621316243534</v>
      </c>
      <c r="E176" s="4">
        <v>4608.7919677968857</v>
      </c>
      <c r="F176" s="4">
        <v>4908.8772886255765</v>
      </c>
      <c r="G176" s="4">
        <v>5232.7006099920918</v>
      </c>
      <c r="H176" s="4">
        <v>5581.6327336361646</v>
      </c>
      <c r="I176" s="4">
        <v>5959.5525508930004</v>
      </c>
      <c r="J176" s="4">
        <v>6370.3118438144238</v>
      </c>
      <c r="K176" s="4">
        <v>6817.472120688396</v>
      </c>
      <c r="L176" s="4">
        <v>7304.1210519017395</v>
      </c>
      <c r="M176" s="4">
        <v>7833.0725275099967</v>
      </c>
      <c r="N176" s="4">
        <v>8410.7080329909732</v>
      </c>
      <c r="O176" s="11">
        <f t="shared" si="2"/>
        <v>7.0147915820514592E-2</v>
      </c>
      <c r="P176"/>
      <c r="Q176" s="11"/>
    </row>
    <row r="177" spans="1:17" x14ac:dyDescent="0.35">
      <c r="A177" s="2" t="s">
        <v>27</v>
      </c>
      <c r="O177" s="11" t="str">
        <f t="shared" si="2"/>
        <v/>
      </c>
      <c r="P177"/>
      <c r="Q177" s="11"/>
    </row>
    <row r="178" spans="1:17" x14ac:dyDescent="0.35">
      <c r="A178" s="3" t="s">
        <v>30</v>
      </c>
      <c r="B178" s="4">
        <v>735.80350826108213</v>
      </c>
      <c r="C178" s="4">
        <v>791.13443439576997</v>
      </c>
      <c r="D178" s="4">
        <v>851.38144741132385</v>
      </c>
      <c r="E178" s="4">
        <v>916.58708391646803</v>
      </c>
      <c r="F178" s="4">
        <v>987.24553429008586</v>
      </c>
      <c r="G178" s="4">
        <v>1064.1264405240308</v>
      </c>
      <c r="H178" s="4">
        <v>1148.1883037523496</v>
      </c>
      <c r="I178" s="4">
        <v>1239.9372662713424</v>
      </c>
      <c r="J178" s="4">
        <v>1340.841238054204</v>
      </c>
      <c r="K178" s="4">
        <v>1452.0363110916389</v>
      </c>
      <c r="L178" s="4">
        <v>1574.4886139032099</v>
      </c>
      <c r="M178" s="4">
        <v>1708.6805198010302</v>
      </c>
      <c r="N178" s="4">
        <v>1857.3900655687419</v>
      </c>
      <c r="O178" s="11">
        <f t="shared" si="2"/>
        <v>8.2825700026651156E-2</v>
      </c>
      <c r="P178"/>
      <c r="Q178" s="11"/>
    </row>
    <row r="179" spans="1:17" x14ac:dyDescent="0.35">
      <c r="A179" s="3" t="s">
        <v>32</v>
      </c>
      <c r="B179" s="4">
        <v>367.52274948417687</v>
      </c>
      <c r="C179" s="4">
        <v>384.70738738968367</v>
      </c>
      <c r="D179" s="4">
        <v>403.11791704159737</v>
      </c>
      <c r="E179" s="4">
        <v>422.68650978127232</v>
      </c>
      <c r="F179" s="4">
        <v>443.62204837534375</v>
      </c>
      <c r="G179" s="4">
        <v>465.98316663903876</v>
      </c>
      <c r="H179" s="4">
        <v>489.77014998495679</v>
      </c>
      <c r="I179" s="4">
        <v>515.34976633631163</v>
      </c>
      <c r="J179" s="4">
        <v>543.02459364758488</v>
      </c>
      <c r="K179" s="4">
        <v>572.70218327553812</v>
      </c>
      <c r="L179" s="4">
        <v>604.7683307570677</v>
      </c>
      <c r="M179" s="4">
        <v>639.29590802823657</v>
      </c>
      <c r="N179" s="4">
        <v>676.64567089858974</v>
      </c>
      <c r="O179" s="11">
        <f t="shared" si="2"/>
        <v>5.473068922973541E-2</v>
      </c>
      <c r="P179"/>
      <c r="Q179" s="11"/>
    </row>
    <row r="180" spans="1:17" x14ac:dyDescent="0.35">
      <c r="A180" s="3" t="s">
        <v>29</v>
      </c>
      <c r="B180" s="4">
        <v>878.30653594456328</v>
      </c>
      <c r="C180" s="4">
        <v>939.27964248132889</v>
      </c>
      <c r="D180" s="4">
        <v>1005.3990047124134</v>
      </c>
      <c r="E180" s="4">
        <v>1076.7071536519381</v>
      </c>
      <c r="F180" s="4">
        <v>1153.8084979112364</v>
      </c>
      <c r="G180" s="4">
        <v>1237.4503992586581</v>
      </c>
      <c r="H180" s="4">
        <v>1328.5494580101306</v>
      </c>
      <c r="I180" s="4">
        <v>1427.7649934301974</v>
      </c>
      <c r="J180" s="4">
        <v>1536.4886547016511</v>
      </c>
      <c r="K180" s="4">
        <v>1655.7274963441794</v>
      </c>
      <c r="L180" s="4">
        <v>1786.585647677239</v>
      </c>
      <c r="M180" s="4">
        <v>1929.3941408818262</v>
      </c>
      <c r="N180" s="4">
        <v>2086.9966345547518</v>
      </c>
      <c r="O180" s="11">
        <f t="shared" si="2"/>
        <v>7.7525872824636369E-2</v>
      </c>
      <c r="P180"/>
      <c r="Q180" s="11"/>
    </row>
    <row r="181" spans="1:17" x14ac:dyDescent="0.35">
      <c r="A181" s="3" t="s">
        <v>31</v>
      </c>
      <c r="B181" s="4">
        <v>557.22107654129979</v>
      </c>
      <c r="C181" s="4">
        <v>590.8781742412807</v>
      </c>
      <c r="D181" s="4">
        <v>628.34973300691775</v>
      </c>
      <c r="E181" s="4">
        <v>668.67051854203464</v>
      </c>
      <c r="F181" s="4">
        <v>712.33212006743111</v>
      </c>
      <c r="G181" s="4">
        <v>759.59872502174881</v>
      </c>
      <c r="H181" s="4">
        <v>810.81740327755676</v>
      </c>
      <c r="I181" s="4">
        <v>866.97688198345759</v>
      </c>
      <c r="J181" s="4">
        <v>927.95627603361777</v>
      </c>
      <c r="K181" s="4">
        <v>994.47382785993284</v>
      </c>
      <c r="L181" s="4">
        <v>1066.9530052489981</v>
      </c>
      <c r="M181" s="4">
        <v>1146.0858384558783</v>
      </c>
      <c r="N181" s="4">
        <v>1233.3439440363454</v>
      </c>
      <c r="O181" s="11">
        <f t="shared" si="2"/>
        <v>7.169554534917412E-2</v>
      </c>
      <c r="P181"/>
      <c r="Q181" s="11"/>
    </row>
    <row r="182" spans="1:17" x14ac:dyDescent="0.35">
      <c r="A182" s="3" t="s">
        <v>28</v>
      </c>
      <c r="B182" s="4">
        <v>1479.3600119731786</v>
      </c>
      <c r="C182" s="4">
        <v>1555.0579215041187</v>
      </c>
      <c r="D182" s="4">
        <v>1640.2630765020951</v>
      </c>
      <c r="E182" s="4">
        <v>1731.5744907487433</v>
      </c>
      <c r="F182" s="4">
        <v>1829.191029585817</v>
      </c>
      <c r="G182" s="4">
        <v>1933.9208328384818</v>
      </c>
      <c r="H182" s="4">
        <v>2044.3347692571456</v>
      </c>
      <c r="I182" s="4">
        <v>2162.3532005718557</v>
      </c>
      <c r="J182" s="4">
        <v>2288.8740255406201</v>
      </c>
      <c r="K182" s="4">
        <v>2424.695357021074</v>
      </c>
      <c r="L182" s="4">
        <v>2570.5300662682175</v>
      </c>
      <c r="M182" s="4">
        <v>2727.6814948983265</v>
      </c>
      <c r="N182" s="4">
        <v>2894.9110915909077</v>
      </c>
      <c r="O182" s="11">
        <f t="shared" si="2"/>
        <v>5.9322207611834189E-2</v>
      </c>
      <c r="P182"/>
      <c r="Q182" s="11"/>
    </row>
    <row r="183" spans="1:17" x14ac:dyDescent="0.35">
      <c r="A183" s="3" t="s">
        <v>33</v>
      </c>
      <c r="B183" s="4">
        <v>237.40661645511031</v>
      </c>
      <c r="C183" s="4">
        <v>250.45443076221932</v>
      </c>
      <c r="D183" s="4">
        <v>265.02515521168982</v>
      </c>
      <c r="E183" s="4">
        <v>280.67418086177207</v>
      </c>
      <c r="F183" s="4">
        <v>297.53960509770258</v>
      </c>
      <c r="G183" s="4">
        <v>315.75910010496096</v>
      </c>
      <c r="H183" s="4">
        <v>335.43952693948688</v>
      </c>
      <c r="I183" s="4">
        <v>356.98558426776657</v>
      </c>
      <c r="J183" s="4">
        <v>380.27738222749679</v>
      </c>
      <c r="K183" s="4">
        <v>405.65957584889543</v>
      </c>
      <c r="L183" s="4">
        <v>433.22660686130814</v>
      </c>
      <c r="M183" s="4">
        <v>463.31590598468125</v>
      </c>
      <c r="N183" s="4">
        <v>496.43300052445505</v>
      </c>
      <c r="O183" s="11">
        <f t="shared" si="2"/>
        <v>6.6773232209530811E-2</v>
      </c>
      <c r="P183"/>
      <c r="Q183" s="11"/>
    </row>
    <row r="184" spans="1:17" x14ac:dyDescent="0.35">
      <c r="A184" s="2" t="s">
        <v>34</v>
      </c>
      <c r="O184" s="11" t="str">
        <f t="shared" si="2"/>
        <v/>
      </c>
      <c r="P184"/>
      <c r="Q184" s="11"/>
    </row>
    <row r="185" spans="1:17" x14ac:dyDescent="0.35">
      <c r="A185" s="3" t="s">
        <v>36</v>
      </c>
      <c r="B185" s="4">
        <v>1475.8646942557737</v>
      </c>
      <c r="C185" s="4">
        <v>1575.4110007074573</v>
      </c>
      <c r="D185" s="4">
        <v>1686.5984493587273</v>
      </c>
      <c r="E185" s="4">
        <v>1806.9165232889993</v>
      </c>
      <c r="F185" s="4">
        <v>1937.7102356213011</v>
      </c>
      <c r="G185" s="4">
        <v>2079.7409072526848</v>
      </c>
      <c r="H185" s="4">
        <v>2234.2415111435553</v>
      </c>
      <c r="I185" s="4">
        <v>2403.6973569734232</v>
      </c>
      <c r="J185" s="4">
        <v>2588.5258647782316</v>
      </c>
      <c r="K185" s="4">
        <v>2791.265515945925</v>
      </c>
      <c r="L185" s="4">
        <v>3012.6531443648482</v>
      </c>
      <c r="M185" s="4">
        <v>3255.2184462587838</v>
      </c>
      <c r="N185" s="4">
        <v>3523.4456019741738</v>
      </c>
      <c r="O185" s="11">
        <f t="shared" si="2"/>
        <v>7.8222359735562588E-2</v>
      </c>
      <c r="P185"/>
      <c r="Q185" s="11"/>
    </row>
    <row r="186" spans="1:17" x14ac:dyDescent="0.35">
      <c r="A186" s="3" t="s">
        <v>37</v>
      </c>
      <c r="B186" s="4">
        <v>914.6912963668816</v>
      </c>
      <c r="C186" s="4">
        <v>969.3008263128288</v>
      </c>
      <c r="D186" s="4">
        <v>1028.7270128010568</v>
      </c>
      <c r="E186" s="4">
        <v>1093.1613335059467</v>
      </c>
      <c r="F186" s="4">
        <v>1162.7487351140796</v>
      </c>
      <c r="G186" s="4">
        <v>1239.0684508561826</v>
      </c>
      <c r="H186" s="4">
        <v>1321.3286665713767</v>
      </c>
      <c r="I186" s="4">
        <v>1411.8051279241461</v>
      </c>
      <c r="J186" s="4">
        <v>1510.6819802034779</v>
      </c>
      <c r="K186" s="4">
        <v>1618.781257996123</v>
      </c>
      <c r="L186" s="4">
        <v>1737.8340072976946</v>
      </c>
      <c r="M186" s="4">
        <v>1868.8733828000877</v>
      </c>
      <c r="N186" s="4">
        <v>2013.215665561683</v>
      </c>
      <c r="O186" s="11">
        <f t="shared" si="2"/>
        <v>7.1799553332758281E-2</v>
      </c>
      <c r="P186"/>
      <c r="Q186" s="11"/>
    </row>
    <row r="187" spans="1:17" x14ac:dyDescent="0.35">
      <c r="A187" s="3" t="s">
        <v>35</v>
      </c>
      <c r="B187" s="4">
        <v>1486.6774227701965</v>
      </c>
      <c r="C187" s="4">
        <v>1568.0444634742539</v>
      </c>
      <c r="D187" s="4">
        <v>1656.8174090196073</v>
      </c>
      <c r="E187" s="4">
        <v>1751.1994286702552</v>
      </c>
      <c r="F187" s="4">
        <v>1851.5805407646676</v>
      </c>
      <c r="G187" s="4">
        <v>1958.2560060796991</v>
      </c>
      <c r="H187" s="4">
        <v>2071.4496375062781</v>
      </c>
      <c r="I187" s="4">
        <v>2190.6552447932045</v>
      </c>
      <c r="J187" s="4">
        <v>2319.2667262382906</v>
      </c>
      <c r="K187" s="4">
        <v>2457.3587085588447</v>
      </c>
      <c r="L187" s="4">
        <v>2606.0132230237327</v>
      </c>
      <c r="M187" s="4">
        <v>2764.4308564479434</v>
      </c>
      <c r="N187" s="4">
        <v>2932.7305519561287</v>
      </c>
      <c r="O187" s="11">
        <f t="shared" si="2"/>
        <v>5.939404661635253E-2</v>
      </c>
      <c r="P187"/>
      <c r="Q187" s="11"/>
    </row>
    <row r="188" spans="1:17" x14ac:dyDescent="0.35">
      <c r="A188" s="3" t="s">
        <v>38</v>
      </c>
      <c r="B188" s="4">
        <v>378.38708526655921</v>
      </c>
      <c r="C188" s="4">
        <v>398.75570027986089</v>
      </c>
      <c r="D188" s="4">
        <v>421.39346270664595</v>
      </c>
      <c r="E188" s="4">
        <v>445.62265203702765</v>
      </c>
      <c r="F188" s="4">
        <v>471.69932382756951</v>
      </c>
      <c r="G188" s="4">
        <v>499.77330019835438</v>
      </c>
      <c r="H188" s="4">
        <v>530.0797960004162</v>
      </c>
      <c r="I188" s="4">
        <v>563.20996317015727</v>
      </c>
      <c r="J188" s="4">
        <v>598.98759898517437</v>
      </c>
      <c r="K188" s="4">
        <v>637.88926894036479</v>
      </c>
      <c r="L188" s="4">
        <v>680.05189602976577</v>
      </c>
      <c r="M188" s="4">
        <v>725.93112254316202</v>
      </c>
      <c r="N188" s="4">
        <v>776.3285876818079</v>
      </c>
      <c r="O188" s="11">
        <f t="shared" si="2"/>
        <v>6.4938791364947471E-2</v>
      </c>
      <c r="P188"/>
      <c r="Q188" s="11"/>
    </row>
    <row r="189" spans="1:17" x14ac:dyDescent="0.35">
      <c r="A189" s="2" t="s">
        <v>22</v>
      </c>
      <c r="O189" s="11" t="str">
        <f t="shared" si="2"/>
        <v/>
      </c>
      <c r="P189"/>
      <c r="Q189" s="11"/>
    </row>
    <row r="190" spans="1:17" x14ac:dyDescent="0.35">
      <c r="A190" s="3" t="s">
        <v>39</v>
      </c>
      <c r="B190" s="4">
        <v>1089.8791378681519</v>
      </c>
      <c r="C190" s="4">
        <v>1159.748765960491</v>
      </c>
      <c r="D190" s="4">
        <v>1239.3459106382397</v>
      </c>
      <c r="E190" s="4">
        <v>1325.4051034047855</v>
      </c>
      <c r="F190" s="4">
        <v>1418.4855427791008</v>
      </c>
      <c r="G190" s="4">
        <v>1518.5743246636798</v>
      </c>
      <c r="H190" s="4">
        <v>1625.0937542861809</v>
      </c>
      <c r="I190" s="4">
        <v>1737.633530457653</v>
      </c>
      <c r="J190" s="4">
        <v>1859.5809785727668</v>
      </c>
      <c r="K190" s="4">
        <v>1992.5908138764205</v>
      </c>
      <c r="L190" s="4">
        <v>2136.1853552532098</v>
      </c>
      <c r="M190" s="4">
        <v>2289.9402394039416</v>
      </c>
      <c r="N190" s="4">
        <v>2455.3456917505264</v>
      </c>
      <c r="O190" s="11">
        <f t="shared" si="2"/>
        <v>7.1052950319525576E-2</v>
      </c>
      <c r="P190"/>
      <c r="Q190" s="11"/>
    </row>
    <row r="191" spans="1:17" x14ac:dyDescent="0.35">
      <c r="A191" s="3" t="s">
        <v>41</v>
      </c>
      <c r="B191" s="4">
        <v>801.73858566655201</v>
      </c>
      <c r="C191" s="4">
        <v>840.21682847961904</v>
      </c>
      <c r="D191" s="4">
        <v>881.66644647690077</v>
      </c>
      <c r="E191" s="4">
        <v>925.83755700089898</v>
      </c>
      <c r="F191" s="4">
        <v>973.30707759922302</v>
      </c>
      <c r="G191" s="4">
        <v>1024.4738858671933</v>
      </c>
      <c r="H191" s="4">
        <v>1079.2696911555752</v>
      </c>
      <c r="I191" s="4">
        <v>1139.0186944686236</v>
      </c>
      <c r="J191" s="4">
        <v>1203.6943742199257</v>
      </c>
      <c r="K191" s="4">
        <v>1273.2791151943138</v>
      </c>
      <c r="L191" s="4">
        <v>1349.0860358232871</v>
      </c>
      <c r="M191" s="4">
        <v>1431.0428285855191</v>
      </c>
      <c r="N191" s="4">
        <v>1520.1971055517245</v>
      </c>
      <c r="O191" s="11">
        <f t="shared" si="2"/>
        <v>5.7999768505026861E-2</v>
      </c>
      <c r="P191"/>
      <c r="Q191" s="11"/>
    </row>
    <row r="192" spans="1:17" x14ac:dyDescent="0.35">
      <c r="A192" s="3" t="s">
        <v>40</v>
      </c>
      <c r="B192" s="4">
        <v>1129.9995608055685</v>
      </c>
      <c r="C192" s="4">
        <v>1193.9158675210117</v>
      </c>
      <c r="D192" s="4">
        <v>1262.8617304088016</v>
      </c>
      <c r="E192" s="4">
        <v>1336.7612666877562</v>
      </c>
      <c r="F192" s="4">
        <v>1415.806750306682</v>
      </c>
      <c r="G192" s="4">
        <v>1500.9567644739177</v>
      </c>
      <c r="H192" s="4">
        <v>1593.1906216099467</v>
      </c>
      <c r="I192" s="4">
        <v>1693.053547251782</v>
      </c>
      <c r="J192" s="4">
        <v>1801.5963987657199</v>
      </c>
      <c r="K192" s="4">
        <v>1919.3380379911866</v>
      </c>
      <c r="L192" s="4">
        <v>2046.9513480487576</v>
      </c>
      <c r="M192" s="4">
        <v>2185.9270921344137</v>
      </c>
      <c r="N192" s="4">
        <v>2337.8945937260028</v>
      </c>
      <c r="O192" s="11">
        <f t="shared" si="2"/>
        <v>6.5353705087382447E-2</v>
      </c>
      <c r="P192"/>
      <c r="Q192" s="11"/>
    </row>
    <row r="193" spans="1:17" x14ac:dyDescent="0.35">
      <c r="A193" s="3" t="s">
        <v>42</v>
      </c>
      <c r="B193" s="4">
        <v>1234.0032143191384</v>
      </c>
      <c r="C193" s="4">
        <v>1317.6305288132792</v>
      </c>
      <c r="D193" s="4">
        <v>1409.6622463620954</v>
      </c>
      <c r="E193" s="4">
        <v>1508.896010408788</v>
      </c>
      <c r="F193" s="4">
        <v>1616.1394646426108</v>
      </c>
      <c r="G193" s="4">
        <v>1732.8336893821293</v>
      </c>
      <c r="H193" s="4">
        <v>1859.545544169923</v>
      </c>
      <c r="I193" s="4">
        <v>1999.6619206828732</v>
      </c>
      <c r="J193" s="4">
        <v>2152.5904186467628</v>
      </c>
      <c r="K193" s="4">
        <v>2320.0867843793376</v>
      </c>
      <c r="L193" s="4">
        <v>2504.3295315907862</v>
      </c>
      <c r="M193" s="4">
        <v>2707.5436479261048</v>
      </c>
      <c r="N193" s="4">
        <v>2932.283016145539</v>
      </c>
      <c r="O193" s="11">
        <f t="shared" si="2"/>
        <v>7.8041728550786171E-2</v>
      </c>
      <c r="P193"/>
      <c r="Q193" s="11"/>
    </row>
    <row r="194" spans="1:17" x14ac:dyDescent="0.35">
      <c r="A194" s="2" t="s">
        <v>48</v>
      </c>
      <c r="O194" s="11" t="str">
        <f t="shared" si="2"/>
        <v/>
      </c>
      <c r="P194"/>
      <c r="Q194" s="11"/>
    </row>
    <row r="195" spans="1:17" x14ac:dyDescent="0.35">
      <c r="A195" s="3" t="s">
        <v>88</v>
      </c>
      <c r="B195" s="4">
        <v>44.783338672463962</v>
      </c>
      <c r="C195" s="4">
        <v>46.270544693243437</v>
      </c>
      <c r="D195" s="4">
        <v>47.830080742551637</v>
      </c>
      <c r="E195" s="4">
        <v>49.470171812981732</v>
      </c>
      <c r="F195" s="4">
        <v>51.210752843428246</v>
      </c>
      <c r="G195" s="4">
        <v>53.047800668160264</v>
      </c>
      <c r="H195" s="4">
        <v>54.965889161377021</v>
      </c>
      <c r="I195" s="4">
        <v>57.000743243744679</v>
      </c>
      <c r="J195" s="4">
        <v>59.196998536161495</v>
      </c>
      <c r="K195" s="4">
        <v>61.520450543435977</v>
      </c>
      <c r="L195" s="4">
        <v>64.014200515701603</v>
      </c>
      <c r="M195" s="4">
        <v>66.672580778164942</v>
      </c>
      <c r="N195" s="4">
        <v>69.511466715102998</v>
      </c>
      <c r="O195" s="11">
        <f t="shared" si="2"/>
        <v>3.9369257384095281E-2</v>
      </c>
      <c r="P195"/>
      <c r="Q195" s="11"/>
    </row>
    <row r="196" spans="1:17" x14ac:dyDescent="0.35">
      <c r="A196" s="3" t="s">
        <v>89</v>
      </c>
      <c r="B196" s="4">
        <v>2330.4434414931748</v>
      </c>
      <c r="C196" s="4">
        <v>2487.00873764484</v>
      </c>
      <c r="D196" s="4">
        <v>2659.9016148238147</v>
      </c>
      <c r="E196" s="4">
        <v>2846.7708571761659</v>
      </c>
      <c r="F196" s="4">
        <v>3048.9401932152796</v>
      </c>
      <c r="G196" s="4">
        <v>3267.7396996930174</v>
      </c>
      <c r="H196" s="4">
        <v>3503.3929065401653</v>
      </c>
      <c r="I196" s="4">
        <v>3758.5855637755699</v>
      </c>
      <c r="J196" s="4">
        <v>4036.5417742827631</v>
      </c>
      <c r="K196" s="4">
        <v>4340.7228296851017</v>
      </c>
      <c r="L196" s="4">
        <v>4672.1731081438566</v>
      </c>
      <c r="M196" s="4">
        <v>5032.4996388210211</v>
      </c>
      <c r="N196" s="4">
        <v>5425.613549906323</v>
      </c>
      <c r="O196" s="11">
        <f t="shared" si="2"/>
        <v>7.5120995933740664E-2</v>
      </c>
      <c r="P196"/>
      <c r="Q196" s="11"/>
    </row>
    <row r="197" spans="1:17" x14ac:dyDescent="0.35">
      <c r="A197" s="3" t="s">
        <v>90</v>
      </c>
      <c r="B197" s="4">
        <v>364.72069346868017</v>
      </c>
      <c r="C197" s="4">
        <v>385.2777541831237</v>
      </c>
      <c r="D197" s="4">
        <v>407.89938256795057</v>
      </c>
      <c r="E197" s="4">
        <v>431.97310636792668</v>
      </c>
      <c r="F197" s="4">
        <v>457.69610353813999</v>
      </c>
      <c r="G197" s="4">
        <v>485.41517481941969</v>
      </c>
      <c r="H197" s="4">
        <v>515.62372541262766</v>
      </c>
      <c r="I197" s="4">
        <v>548.79337449423383</v>
      </c>
      <c r="J197" s="4">
        <v>584.63906245095154</v>
      </c>
      <c r="K197" s="4">
        <v>623.41719097923374</v>
      </c>
      <c r="L197" s="4">
        <v>665.95352504200787</v>
      </c>
      <c r="M197" s="4">
        <v>712.66968193846958</v>
      </c>
      <c r="N197" s="4">
        <v>764.15437453345999</v>
      </c>
      <c r="O197" s="11">
        <f t="shared" si="2"/>
        <v>6.6970805468189246E-2</v>
      </c>
      <c r="P197"/>
      <c r="Q197" s="11"/>
    </row>
    <row r="198" spans="1:17" x14ac:dyDescent="0.35">
      <c r="A198" s="3" t="s">
        <v>91</v>
      </c>
      <c r="B198" s="4">
        <v>85.66205536496777</v>
      </c>
      <c r="C198" s="4">
        <v>88.70803134664159</v>
      </c>
      <c r="D198" s="4">
        <v>92.194527075455881</v>
      </c>
      <c r="E198" s="4">
        <v>95.883779620718116</v>
      </c>
      <c r="F198" s="4">
        <v>99.820959644026132</v>
      </c>
      <c r="G198" s="4">
        <v>104.00212880319418</v>
      </c>
      <c r="H198" s="4">
        <v>108.4712952176412</v>
      </c>
      <c r="I198" s="4">
        <v>113.32109261843542</v>
      </c>
      <c r="J198" s="4">
        <v>118.47826784455297</v>
      </c>
      <c r="K198" s="4">
        <v>124.04813561411903</v>
      </c>
      <c r="L198" s="4">
        <v>129.97789765319845</v>
      </c>
      <c r="M198" s="4">
        <v>136.35264314061482</v>
      </c>
      <c r="N198" s="4">
        <v>143.32252774911353</v>
      </c>
      <c r="O198" s="11">
        <f t="shared" si="2"/>
        <v>4.6877902688418273E-2</v>
      </c>
      <c r="P198"/>
      <c r="Q198" s="11"/>
    </row>
    <row r="199" spans="1:17" x14ac:dyDescent="0.35">
      <c r="A199" s="3" t="s">
        <v>92</v>
      </c>
      <c r="B199" s="4">
        <v>121.91567019069625</v>
      </c>
      <c r="C199" s="4">
        <v>127.35029432687018</v>
      </c>
      <c r="D199" s="4">
        <v>133.08751578515646</v>
      </c>
      <c r="E199" s="4">
        <v>139.15863106485133</v>
      </c>
      <c r="F199" s="4">
        <v>145.63057839849907</v>
      </c>
      <c r="G199" s="4">
        <v>152.51126971321654</v>
      </c>
      <c r="H199" s="4">
        <v>159.7780709917069</v>
      </c>
      <c r="I199" s="4">
        <v>167.55231751008978</v>
      </c>
      <c r="J199" s="4">
        <v>175.957869087978</v>
      </c>
      <c r="K199" s="4">
        <v>184.9034519767763</v>
      </c>
      <c r="L199" s="4">
        <v>194.55899595184215</v>
      </c>
      <c r="M199" s="4">
        <v>204.93496785865395</v>
      </c>
      <c r="N199" s="4">
        <v>216.09895928754972</v>
      </c>
      <c r="O199" s="11">
        <f t="shared" si="2"/>
        <v>5.104554100992903E-2</v>
      </c>
      <c r="P199"/>
      <c r="Q199" s="11"/>
    </row>
    <row r="200" spans="1:17" x14ac:dyDescent="0.35">
      <c r="A200" s="3" t="s">
        <v>93</v>
      </c>
      <c r="B200" s="4">
        <v>72.731552776541164</v>
      </c>
      <c r="C200" s="4">
        <v>74.922480540062139</v>
      </c>
      <c r="D200" s="4">
        <v>77.286549704503216</v>
      </c>
      <c r="E200" s="4">
        <v>79.864424744029108</v>
      </c>
      <c r="F200" s="4">
        <v>82.617347360686963</v>
      </c>
      <c r="G200" s="4">
        <v>85.674504961098037</v>
      </c>
      <c r="H200" s="4">
        <v>88.889277973973407</v>
      </c>
      <c r="I200" s="4">
        <v>92.44194854315154</v>
      </c>
      <c r="J200" s="4">
        <v>96.285908975630207</v>
      </c>
      <c r="K200" s="4">
        <v>100.441956451324</v>
      </c>
      <c r="L200" s="4">
        <v>105.00050307520684</v>
      </c>
      <c r="M200" s="4">
        <v>110.00567631896138</v>
      </c>
      <c r="N200" s="4">
        <v>115.44732428974973</v>
      </c>
      <c r="O200" s="11">
        <f t="shared" si="2"/>
        <v>4.3529208985794036E-2</v>
      </c>
      <c r="P200"/>
      <c r="Q200" s="11"/>
    </row>
    <row r="201" spans="1:17" x14ac:dyDescent="0.35">
      <c r="A201" s="3" t="s">
        <v>94</v>
      </c>
      <c r="B201" s="4">
        <v>206.58501101383717</v>
      </c>
      <c r="C201" s="4">
        <v>216.29688764274482</v>
      </c>
      <c r="D201" s="4">
        <v>226.97250633408061</v>
      </c>
      <c r="E201" s="4">
        <v>238.33788995371887</v>
      </c>
      <c r="F201" s="4">
        <v>250.45258812489126</v>
      </c>
      <c r="G201" s="4">
        <v>263.36277757714174</v>
      </c>
      <c r="H201" s="4">
        <v>277.0303467705898</v>
      </c>
      <c r="I201" s="4">
        <v>291.60139311339697</v>
      </c>
      <c r="J201" s="4">
        <v>307.26059826998886</v>
      </c>
      <c r="K201" s="4">
        <v>324.19102266455599</v>
      </c>
      <c r="L201" s="4">
        <v>342.37338057389053</v>
      </c>
      <c r="M201" s="4">
        <v>361.82961202205615</v>
      </c>
      <c r="N201" s="4">
        <v>382.74678469021057</v>
      </c>
      <c r="O201" s="11">
        <f t="shared" si="2"/>
        <v>5.4857705369613513E-2</v>
      </c>
      <c r="P201"/>
      <c r="Q201" s="11"/>
    </row>
    <row r="202" spans="1:17" x14ac:dyDescent="0.35">
      <c r="A202" s="3" t="s">
        <v>95</v>
      </c>
      <c r="B202" s="4">
        <v>277.62740563568002</v>
      </c>
      <c r="C202" s="4">
        <v>292.13285153985754</v>
      </c>
      <c r="D202" s="4">
        <v>308.13291999469783</v>
      </c>
      <c r="E202" s="4">
        <v>325.09711144822535</v>
      </c>
      <c r="F202" s="4">
        <v>343.17205665195763</v>
      </c>
      <c r="G202" s="4">
        <v>362.60964833081363</v>
      </c>
      <c r="H202" s="4">
        <v>383.74763274398646</v>
      </c>
      <c r="I202" s="4">
        <v>406.99829887718084</v>
      </c>
      <c r="J202" s="4">
        <v>432.03497581826167</v>
      </c>
      <c r="K202" s="4">
        <v>459.03480964407447</v>
      </c>
      <c r="L202" s="4">
        <v>488.6151351823882</v>
      </c>
      <c r="M202" s="4">
        <v>521.0909968564165</v>
      </c>
      <c r="N202" s="4">
        <v>556.82341902455391</v>
      </c>
      <c r="O202" s="11">
        <f t="shared" si="2"/>
        <v>6.3190683756285213E-2</v>
      </c>
      <c r="P202"/>
      <c r="Q202" s="11"/>
    </row>
    <row r="203" spans="1:17" x14ac:dyDescent="0.35">
      <c r="A203" s="3" t="s">
        <v>96</v>
      </c>
      <c r="B203" s="4">
        <v>206.73816291229704</v>
      </c>
      <c r="C203" s="4">
        <v>216.966473902855</v>
      </c>
      <c r="D203" s="4">
        <v>228.19286984133362</v>
      </c>
      <c r="E203" s="4">
        <v>240.16621909954139</v>
      </c>
      <c r="F203" s="4">
        <v>252.95311316607427</v>
      </c>
      <c r="G203" s="4">
        <v>266.72280739329352</v>
      </c>
      <c r="H203" s="4">
        <v>281.45299061604936</v>
      </c>
      <c r="I203" s="4">
        <v>297.30274221791842</v>
      </c>
      <c r="J203" s="4">
        <v>314.50783659992447</v>
      </c>
      <c r="K203" s="4">
        <v>332.98145808236654</v>
      </c>
      <c r="L203" s="4">
        <v>352.95425433320162</v>
      </c>
      <c r="M203" s="4">
        <v>374.55845719920899</v>
      </c>
      <c r="N203" s="4">
        <v>398.14373825194434</v>
      </c>
      <c r="O203" s="11">
        <f t="shared" si="2"/>
        <v>5.8898292559324834E-2</v>
      </c>
      <c r="P203"/>
      <c r="Q203" s="11"/>
    </row>
    <row r="204" spans="1:17" x14ac:dyDescent="0.35">
      <c r="A204" s="3" t="s">
        <v>97</v>
      </c>
      <c r="B204" s="4">
        <v>507.07164686514733</v>
      </c>
      <c r="C204" s="4">
        <v>538.23578468226538</v>
      </c>
      <c r="D204" s="4">
        <v>572.62607758548336</v>
      </c>
      <c r="E204" s="4">
        <v>609.64121433314199</v>
      </c>
      <c r="F204" s="4">
        <v>649.53638469770112</v>
      </c>
      <c r="G204" s="4">
        <v>692.80721801919628</v>
      </c>
      <c r="H204" s="4">
        <v>739.46146984960149</v>
      </c>
      <c r="I204" s="4">
        <v>790.05501659808658</v>
      </c>
      <c r="J204" s="4">
        <v>845.30951459039397</v>
      </c>
      <c r="K204" s="4">
        <v>905.1502860112721</v>
      </c>
      <c r="L204" s="4">
        <v>970.31868757575751</v>
      </c>
      <c r="M204" s="4">
        <v>1041.3611355681167</v>
      </c>
      <c r="N204" s="4">
        <v>1119.3641122725312</v>
      </c>
      <c r="O204" s="11">
        <f t="shared" si="2"/>
        <v>7.0941055324749577E-2</v>
      </c>
      <c r="P204"/>
      <c r="Q204" s="11"/>
    </row>
    <row r="205" spans="1:17" x14ac:dyDescent="0.35">
      <c r="A205" s="3" t="s">
        <v>98</v>
      </c>
      <c r="B205" s="4">
        <v>37.34152026592529</v>
      </c>
      <c r="C205" s="4">
        <v>38.342150271897374</v>
      </c>
      <c r="D205" s="4">
        <v>39.412289431009498</v>
      </c>
      <c r="E205" s="4">
        <v>40.536531880928486</v>
      </c>
      <c r="F205" s="4">
        <v>41.708757686932771</v>
      </c>
      <c r="G205" s="4">
        <v>42.945634408368761</v>
      </c>
      <c r="H205" s="4">
        <v>44.286005943907178</v>
      </c>
      <c r="I205" s="4">
        <v>45.715201869123646</v>
      </c>
      <c r="J205" s="4">
        <v>47.249363748568442</v>
      </c>
      <c r="K205" s="4">
        <v>48.883159788998078</v>
      </c>
      <c r="L205" s="4">
        <v>50.612582668989816</v>
      </c>
      <c r="M205" s="4">
        <v>52.478417548294154</v>
      </c>
      <c r="N205" s="4">
        <v>54.494150453253738</v>
      </c>
      <c r="O205" s="11">
        <f t="shared" si="2"/>
        <v>3.4608013004730098E-2</v>
      </c>
      <c r="P205"/>
      <c r="Q205" s="11"/>
    </row>
    <row r="206" spans="1:17" x14ac:dyDescent="0.35">
      <c r="A206" s="1" t="s">
        <v>49</v>
      </c>
      <c r="O206" s="11" t="str">
        <f t="shared" si="2"/>
        <v/>
      </c>
      <c r="P206"/>
      <c r="Q206" s="11"/>
    </row>
    <row r="207" spans="1:17" x14ac:dyDescent="0.35">
      <c r="A207" s="2" t="s">
        <v>24</v>
      </c>
      <c r="O207" s="11" t="str">
        <f t="shared" si="2"/>
        <v/>
      </c>
      <c r="P207"/>
      <c r="Q207" s="11"/>
    </row>
    <row r="208" spans="1:17" x14ac:dyDescent="0.35">
      <c r="A208" s="3" t="s">
        <v>25</v>
      </c>
      <c r="B208" s="4">
        <v>24.597646451144815</v>
      </c>
      <c r="C208" s="4">
        <v>25.50966360043682</v>
      </c>
      <c r="D208" s="4">
        <v>26.484569161373297</v>
      </c>
      <c r="E208" s="4">
        <v>27.514336017245753</v>
      </c>
      <c r="F208" s="4">
        <v>28.620396121217464</v>
      </c>
      <c r="G208" s="4">
        <v>29.811624008182136</v>
      </c>
      <c r="H208" s="4">
        <v>31.07890716033376</v>
      </c>
      <c r="I208" s="4">
        <v>32.467307268376921</v>
      </c>
      <c r="J208" s="4">
        <v>33.961589978420328</v>
      </c>
      <c r="K208" s="4">
        <v>35.556000000282587</v>
      </c>
      <c r="L208" s="4">
        <v>37.292908383484281</v>
      </c>
      <c r="M208" s="4">
        <v>39.15121240428951</v>
      </c>
      <c r="N208" s="4">
        <v>41.161119914128626</v>
      </c>
      <c r="O208" s="11">
        <f t="shared" si="2"/>
        <v>4.7163525953018905E-2</v>
      </c>
      <c r="P208"/>
      <c r="Q208" s="11"/>
    </row>
    <row r="209" spans="1:17" x14ac:dyDescent="0.35">
      <c r="A209" s="3" t="s">
        <v>26</v>
      </c>
      <c r="B209" s="4">
        <v>221.88618349242594</v>
      </c>
      <c r="C209" s="4">
        <v>231.46477640603047</v>
      </c>
      <c r="D209" s="4">
        <v>242.38358312720706</v>
      </c>
      <c r="E209" s="4">
        <v>253.99114904649772</v>
      </c>
      <c r="F209" s="4">
        <v>266.43523399442648</v>
      </c>
      <c r="G209" s="4">
        <v>279.71057243160305</v>
      </c>
      <c r="H209" s="4">
        <v>293.93820711810599</v>
      </c>
      <c r="I209" s="4">
        <v>309.42038802054805</v>
      </c>
      <c r="J209" s="4">
        <v>325.94946507816763</v>
      </c>
      <c r="K209" s="4">
        <v>343.86389247921835</v>
      </c>
      <c r="L209" s="4">
        <v>363.03591957940256</v>
      </c>
      <c r="M209" s="4">
        <v>383.72012253899845</v>
      </c>
      <c r="N209" s="4">
        <v>406.39541218253589</v>
      </c>
      <c r="O209" s="11">
        <f t="shared" si="2"/>
        <v>5.4817024628535695E-2</v>
      </c>
      <c r="P209"/>
      <c r="Q209" s="11"/>
    </row>
    <row r="210" spans="1:17" x14ac:dyDescent="0.35">
      <c r="A210" s="2" t="s">
        <v>27</v>
      </c>
      <c r="O210" s="11" t="str">
        <f t="shared" si="2"/>
        <v/>
      </c>
      <c r="P210"/>
      <c r="Q210" s="11"/>
    </row>
    <row r="211" spans="1:17" x14ac:dyDescent="0.35">
      <c r="A211" s="3" t="s">
        <v>30</v>
      </c>
      <c r="B211" s="4">
        <v>45.86211491366241</v>
      </c>
      <c r="C211" s="4">
        <v>48.494600291814166</v>
      </c>
      <c r="D211" s="4">
        <v>51.380364455577322</v>
      </c>
      <c r="E211" s="4">
        <v>54.442390824244626</v>
      </c>
      <c r="F211" s="4">
        <v>57.712881250619958</v>
      </c>
      <c r="G211" s="4">
        <v>61.232518769011051</v>
      </c>
      <c r="H211" s="4">
        <v>65.014821037749854</v>
      </c>
      <c r="I211" s="4">
        <v>69.210626819311088</v>
      </c>
      <c r="J211" s="4">
        <v>73.734417260875929</v>
      </c>
      <c r="K211" s="4">
        <v>78.647612880643905</v>
      </c>
      <c r="L211" s="4">
        <v>84.026204346404839</v>
      </c>
      <c r="M211" s="4">
        <v>89.926066556394701</v>
      </c>
      <c r="N211" s="4">
        <v>96.411063054316841</v>
      </c>
      <c r="O211" s="11">
        <f t="shared" si="2"/>
        <v>6.6997827884924976E-2</v>
      </c>
      <c r="P211"/>
      <c r="Q211" s="11"/>
    </row>
    <row r="212" spans="1:17" x14ac:dyDescent="0.35">
      <c r="A212" s="3" t="s">
        <v>32</v>
      </c>
      <c r="B212" s="4">
        <v>23.100550708934158</v>
      </c>
      <c r="C212" s="4">
        <v>23.826531644651084</v>
      </c>
      <c r="D212" s="4">
        <v>24.598479931877996</v>
      </c>
      <c r="E212" s="4">
        <v>25.411081463326365</v>
      </c>
      <c r="F212" s="4">
        <v>26.259951080292311</v>
      </c>
      <c r="G212" s="4">
        <v>27.155611379938694</v>
      </c>
      <c r="H212" s="4">
        <v>28.12347566720095</v>
      </c>
      <c r="I212" s="4">
        <v>29.152581546993154</v>
      </c>
      <c r="J212" s="4">
        <v>30.257621689658727</v>
      </c>
      <c r="K212" s="4">
        <v>31.435399646436213</v>
      </c>
      <c r="L212" s="4">
        <v>32.68092816684922</v>
      </c>
      <c r="M212" s="4">
        <v>34.022736255002549</v>
      </c>
      <c r="N212" s="4">
        <v>35.470476086081582</v>
      </c>
      <c r="O212" s="11">
        <f t="shared" si="2"/>
        <v>3.8896995738272717E-2</v>
      </c>
      <c r="P212"/>
      <c r="Q212" s="11"/>
    </row>
    <row r="213" spans="1:17" x14ac:dyDescent="0.35">
      <c r="A213" s="3" t="s">
        <v>29</v>
      </c>
      <c r="B213" s="4">
        <v>52.386028890236403</v>
      </c>
      <c r="C213" s="4">
        <v>55.320273459844188</v>
      </c>
      <c r="D213" s="4">
        <v>58.434014943102447</v>
      </c>
      <c r="E213" s="4">
        <v>61.757028915241861</v>
      </c>
      <c r="F213" s="4">
        <v>65.325316507603574</v>
      </c>
      <c r="G213" s="4">
        <v>69.145728310028304</v>
      </c>
      <c r="H213" s="4">
        <v>73.208722135008742</v>
      </c>
      <c r="I213" s="4">
        <v>77.576076630763936</v>
      </c>
      <c r="J213" s="4">
        <v>82.324575023137996</v>
      </c>
      <c r="K213" s="4">
        <v>87.416737368495859</v>
      </c>
      <c r="L213" s="4">
        <v>92.939856201122154</v>
      </c>
      <c r="M213" s="4">
        <v>98.907691309795581</v>
      </c>
      <c r="N213" s="4">
        <v>105.36372590345314</v>
      </c>
      <c r="O213" s="11">
        <f t="shared" ref="O213:O276" si="3">IFERROR(RATE(2033-2026,,-G213,N213),"")</f>
        <v>6.2018915704733092E-2</v>
      </c>
      <c r="P213"/>
      <c r="Q213" s="11"/>
    </row>
    <row r="214" spans="1:17" x14ac:dyDescent="0.35">
      <c r="A214" s="3" t="s">
        <v>31</v>
      </c>
      <c r="B214" s="4">
        <v>30.252540844975723</v>
      </c>
      <c r="C214" s="4">
        <v>31.659549400205186</v>
      </c>
      <c r="D214" s="4">
        <v>33.198700258191337</v>
      </c>
      <c r="E214" s="4">
        <v>34.815610987304588</v>
      </c>
      <c r="F214" s="4">
        <v>36.527887008316725</v>
      </c>
      <c r="G214" s="4">
        <v>38.3577177509096</v>
      </c>
      <c r="H214" s="4">
        <v>40.309292327449832</v>
      </c>
      <c r="I214" s="4">
        <v>42.471680940879494</v>
      </c>
      <c r="J214" s="4">
        <v>44.785174141099013</v>
      </c>
      <c r="K214" s="4">
        <v>47.281609657234938</v>
      </c>
      <c r="L214" s="4">
        <v>50.000172809051804</v>
      </c>
      <c r="M214" s="4">
        <v>52.966349280568416</v>
      </c>
      <c r="N214" s="4">
        <v>56.209136211579782</v>
      </c>
      <c r="O214" s="11">
        <f t="shared" si="3"/>
        <v>5.610654974719536E-2</v>
      </c>
      <c r="P214"/>
      <c r="Q214" s="11"/>
    </row>
    <row r="215" spans="1:17" x14ac:dyDescent="0.35">
      <c r="A215" s="3" t="s">
        <v>28</v>
      </c>
      <c r="B215" s="4">
        <v>83.185160368366496</v>
      </c>
      <c r="C215" s="4">
        <v>85.547957064423684</v>
      </c>
      <c r="D215" s="4">
        <v>88.668602006289262</v>
      </c>
      <c r="E215" s="4">
        <v>91.987119119193096</v>
      </c>
      <c r="F215" s="4">
        <v>95.598024157468672</v>
      </c>
      <c r="G215" s="4">
        <v>99.400572701286052</v>
      </c>
      <c r="H215" s="4">
        <v>103.49830504152115</v>
      </c>
      <c r="I215" s="4">
        <v>107.91516764065909</v>
      </c>
      <c r="J215" s="4">
        <v>112.49059130050108</v>
      </c>
      <c r="K215" s="4">
        <v>117.49871373788</v>
      </c>
      <c r="L215" s="4">
        <v>122.63995057032764</v>
      </c>
      <c r="M215" s="4">
        <v>128.01422698717806</v>
      </c>
      <c r="N215" s="4">
        <v>133.98532530731427</v>
      </c>
      <c r="O215" s="11">
        <f t="shared" si="3"/>
        <v>4.357592086721486E-2</v>
      </c>
      <c r="P215"/>
      <c r="Q215" s="11"/>
    </row>
    <row r="216" spans="1:17" x14ac:dyDescent="0.35">
      <c r="A216" s="3" t="s">
        <v>33</v>
      </c>
      <c r="B216" s="4">
        <v>11.697434217395571</v>
      </c>
      <c r="C216" s="4">
        <v>12.125528145528969</v>
      </c>
      <c r="D216" s="4">
        <v>12.587990693541986</v>
      </c>
      <c r="E216" s="4">
        <v>13.092253754432967</v>
      </c>
      <c r="F216" s="4">
        <v>13.631570111342752</v>
      </c>
      <c r="G216" s="4">
        <v>14.230047528611497</v>
      </c>
      <c r="H216" s="4">
        <v>14.86249806950922</v>
      </c>
      <c r="I216" s="4">
        <v>15.561561710318223</v>
      </c>
      <c r="J216" s="4">
        <v>16.318675641315192</v>
      </c>
      <c r="K216" s="4">
        <v>17.139819188810087</v>
      </c>
      <c r="L216" s="4">
        <v>18.041715869131238</v>
      </c>
      <c r="M216" s="4">
        <v>19.034264554348599</v>
      </c>
      <c r="N216" s="4">
        <v>20.116805533918853</v>
      </c>
      <c r="O216" s="11">
        <f t="shared" si="3"/>
        <v>5.0700532681469013E-2</v>
      </c>
      <c r="P216"/>
      <c r="Q216" s="11"/>
    </row>
    <row r="217" spans="1:17" x14ac:dyDescent="0.35">
      <c r="A217" s="2" t="s">
        <v>34</v>
      </c>
      <c r="O217" s="11" t="str">
        <f t="shared" si="3"/>
        <v/>
      </c>
      <c r="P217"/>
      <c r="Q217" s="11"/>
    </row>
    <row r="218" spans="1:17" x14ac:dyDescent="0.35">
      <c r="A218" s="3" t="s">
        <v>36</v>
      </c>
      <c r="B218" s="4">
        <v>81.56239527977948</v>
      </c>
      <c r="C218" s="4">
        <v>86.217710008300074</v>
      </c>
      <c r="D218" s="4">
        <v>91.162337246349324</v>
      </c>
      <c r="E218" s="4">
        <v>96.443605064867626</v>
      </c>
      <c r="F218" s="4">
        <v>102.11875358302437</v>
      </c>
      <c r="G218" s="4">
        <v>108.19968314555535</v>
      </c>
      <c r="H218" s="4">
        <v>114.67268898410327</v>
      </c>
      <c r="I218" s="4">
        <v>121.63572537524375</v>
      </c>
      <c r="J218" s="4">
        <v>129.21066575482538</v>
      </c>
      <c r="K218" s="4">
        <v>137.34053191817748</v>
      </c>
      <c r="L218" s="4">
        <v>146.1641448187402</v>
      </c>
      <c r="M218" s="4">
        <v>155.70523698962126</v>
      </c>
      <c r="N218" s="4">
        <v>166.03442552138307</v>
      </c>
      <c r="O218" s="11">
        <f t="shared" si="3"/>
        <v>6.3083679009245733E-2</v>
      </c>
      <c r="P218"/>
      <c r="Q218" s="11"/>
    </row>
    <row r="219" spans="1:17" x14ac:dyDescent="0.35">
      <c r="A219" s="3" t="s">
        <v>37</v>
      </c>
      <c r="B219" s="4">
        <v>52.084411763858753</v>
      </c>
      <c r="C219" s="4">
        <v>54.548960920616373</v>
      </c>
      <c r="D219" s="4">
        <v>57.245058676355249</v>
      </c>
      <c r="E219" s="4">
        <v>60.079469223988383</v>
      </c>
      <c r="F219" s="4">
        <v>63.082893718724677</v>
      </c>
      <c r="G219" s="4">
        <v>66.294044326612948</v>
      </c>
      <c r="H219" s="4">
        <v>69.720642119648502</v>
      </c>
      <c r="I219" s="4">
        <v>73.517245337640446</v>
      </c>
      <c r="J219" s="4">
        <v>77.581353731560768</v>
      </c>
      <c r="K219" s="4">
        <v>81.968737952786967</v>
      </c>
      <c r="L219" s="4">
        <v>86.748077202440811</v>
      </c>
      <c r="M219" s="4">
        <v>91.964491992317761</v>
      </c>
      <c r="N219" s="4">
        <v>97.669336553132737</v>
      </c>
      <c r="O219" s="11">
        <f t="shared" si="3"/>
        <v>5.6916144643857636E-2</v>
      </c>
      <c r="P219"/>
      <c r="Q219" s="11"/>
    </row>
    <row r="220" spans="1:17" x14ac:dyDescent="0.35">
      <c r="A220" s="3" t="s">
        <v>35</v>
      </c>
      <c r="B220" s="4">
        <v>91.159094389509193</v>
      </c>
      <c r="C220" s="4">
        <v>93.605909350537843</v>
      </c>
      <c r="D220" s="4">
        <v>96.873624758674737</v>
      </c>
      <c r="E220" s="4">
        <v>100.35205683045547</v>
      </c>
      <c r="F220" s="4">
        <v>104.12513186781075</v>
      </c>
      <c r="G220" s="4">
        <v>108.134067842608</v>
      </c>
      <c r="H220" s="4">
        <v>112.46977633767355</v>
      </c>
      <c r="I220" s="4">
        <v>117.23534351247929</v>
      </c>
      <c r="J220" s="4">
        <v>122.17125776449561</v>
      </c>
      <c r="K220" s="4">
        <v>127.61177838653876</v>
      </c>
      <c r="L220" s="4">
        <v>133.26631105940794</v>
      </c>
      <c r="M220" s="4">
        <v>139.2669014174005</v>
      </c>
      <c r="N220" s="4">
        <v>145.98672039060597</v>
      </c>
      <c r="O220" s="11">
        <f t="shared" si="3"/>
        <v>4.3810219393132725E-2</v>
      </c>
      <c r="P220"/>
      <c r="Q220" s="11"/>
    </row>
    <row r="221" spans="1:17" x14ac:dyDescent="0.35">
      <c r="A221" s="3" t="s">
        <v>38</v>
      </c>
      <c r="B221" s="4">
        <v>21.677928510423335</v>
      </c>
      <c r="C221" s="4">
        <v>22.601859727012975</v>
      </c>
      <c r="D221" s="4">
        <v>23.587131607201016</v>
      </c>
      <c r="E221" s="4">
        <v>24.630353944432002</v>
      </c>
      <c r="F221" s="4">
        <v>25.728850946084155</v>
      </c>
      <c r="G221" s="4">
        <v>26.894401125008887</v>
      </c>
      <c r="H221" s="4">
        <v>28.154006837014418</v>
      </c>
      <c r="I221" s="4">
        <v>29.499381063561501</v>
      </c>
      <c r="J221" s="4">
        <v>30.947777805706188</v>
      </c>
      <c r="K221" s="4">
        <v>32.498844221997757</v>
      </c>
      <c r="L221" s="4">
        <v>34.150294882297892</v>
      </c>
      <c r="M221" s="4">
        <v>35.934704543948406</v>
      </c>
      <c r="N221" s="4">
        <v>37.866049631542765</v>
      </c>
      <c r="O221" s="11">
        <f t="shared" si="3"/>
        <v>5.009085068657837E-2</v>
      </c>
      <c r="P221"/>
      <c r="Q221" s="11"/>
    </row>
    <row r="222" spans="1:17" x14ac:dyDescent="0.35">
      <c r="A222" s="2" t="s">
        <v>22</v>
      </c>
      <c r="O222" s="11" t="str">
        <f t="shared" si="3"/>
        <v/>
      </c>
      <c r="P222"/>
      <c r="Q222" s="11"/>
    </row>
    <row r="223" spans="1:17" x14ac:dyDescent="0.35">
      <c r="A223" s="3" t="s">
        <v>39</v>
      </c>
      <c r="B223" s="4">
        <v>74.132776840583233</v>
      </c>
      <c r="C223" s="4">
        <v>76.638901114126213</v>
      </c>
      <c r="D223" s="4">
        <v>80.059351184359798</v>
      </c>
      <c r="E223" s="4">
        <v>83.716223548359011</v>
      </c>
      <c r="F223" s="4">
        <v>87.749544396392537</v>
      </c>
      <c r="G223" s="4">
        <v>92.087475408339344</v>
      </c>
      <c r="H223" s="4">
        <v>96.707889300533338</v>
      </c>
      <c r="I223" s="4">
        <v>101.95963398027979</v>
      </c>
      <c r="J223" s="4">
        <v>107.41412019533612</v>
      </c>
      <c r="K223" s="4">
        <v>113.39759117644854</v>
      </c>
      <c r="L223" s="4">
        <v>119.76182459216511</v>
      </c>
      <c r="M223" s="4">
        <v>126.64040124067918</v>
      </c>
      <c r="N223" s="4">
        <v>134.32911651124425</v>
      </c>
      <c r="O223" s="11">
        <f t="shared" si="3"/>
        <v>5.5417345364917117E-2</v>
      </c>
      <c r="P223"/>
      <c r="Q223" s="11"/>
    </row>
    <row r="224" spans="1:17" x14ac:dyDescent="0.35">
      <c r="A224" s="3" t="s">
        <v>41</v>
      </c>
      <c r="B224" s="4">
        <v>42.755666552574148</v>
      </c>
      <c r="C224" s="4">
        <v>44.315048001824415</v>
      </c>
      <c r="D224" s="4">
        <v>45.943434479257107</v>
      </c>
      <c r="E224" s="4">
        <v>47.65839990168481</v>
      </c>
      <c r="F224" s="4">
        <v>49.480829170393491</v>
      </c>
      <c r="G224" s="4">
        <v>51.40775238335403</v>
      </c>
      <c r="H224" s="4">
        <v>53.423955389923982</v>
      </c>
      <c r="I224" s="4">
        <v>55.567119396147085</v>
      </c>
      <c r="J224" s="4">
        <v>57.882646664163758</v>
      </c>
      <c r="K224" s="4">
        <v>60.331931308638055</v>
      </c>
      <c r="L224" s="4">
        <v>62.964903464589014</v>
      </c>
      <c r="M224" s="4">
        <v>65.777656078367926</v>
      </c>
      <c r="N224" s="4">
        <v>68.785884630692735</v>
      </c>
      <c r="O224" s="11">
        <f t="shared" si="3"/>
        <v>4.2478830038721167E-2</v>
      </c>
      <c r="P224"/>
      <c r="Q224" s="11"/>
    </row>
    <row r="225" spans="1:17" x14ac:dyDescent="0.35">
      <c r="A225" s="3" t="s">
        <v>40</v>
      </c>
      <c r="B225" s="4">
        <v>58.926422878895913</v>
      </c>
      <c r="C225" s="4">
        <v>61.470703359578508</v>
      </c>
      <c r="D225" s="4">
        <v>64.14919859953153</v>
      </c>
      <c r="E225" s="4">
        <v>66.965406975359983</v>
      </c>
      <c r="F225" s="4">
        <v>69.928184337407615</v>
      </c>
      <c r="G225" s="4">
        <v>73.067376713854657</v>
      </c>
      <c r="H225" s="4">
        <v>76.428981896180062</v>
      </c>
      <c r="I225" s="4">
        <v>79.989306787362537</v>
      </c>
      <c r="J225" s="4">
        <v>83.834867933729484</v>
      </c>
      <c r="K225" s="4">
        <v>87.996814184415342</v>
      </c>
      <c r="L225" s="4">
        <v>92.480858893480914</v>
      </c>
      <c r="M225" s="4">
        <v>97.255914725200157</v>
      </c>
      <c r="N225" s="4">
        <v>102.4477256430918</v>
      </c>
      <c r="O225" s="11">
        <f t="shared" si="3"/>
        <v>4.9466067015269365E-2</v>
      </c>
      <c r="P225"/>
      <c r="Q225" s="11"/>
    </row>
    <row r="226" spans="1:17" x14ac:dyDescent="0.35">
      <c r="A226" s="3" t="s">
        <v>42</v>
      </c>
      <c r="B226" s="4">
        <v>70.668963671517474</v>
      </c>
      <c r="C226" s="4">
        <v>74.549787530938119</v>
      </c>
      <c r="D226" s="4">
        <v>78.716168025431912</v>
      </c>
      <c r="E226" s="4">
        <v>83.165454638339696</v>
      </c>
      <c r="F226" s="4">
        <v>87.897072211450336</v>
      </c>
      <c r="G226" s="4">
        <v>92.959591934237196</v>
      </c>
      <c r="H226" s="4">
        <v>98.456287691802359</v>
      </c>
      <c r="I226" s="4">
        <v>104.37163512513558</v>
      </c>
      <c r="J226" s="4">
        <v>110.7794202633586</v>
      </c>
      <c r="K226" s="4">
        <v>117.69355580999903</v>
      </c>
      <c r="L226" s="4">
        <v>125.12124101265181</v>
      </c>
      <c r="M226" s="4">
        <v>133.19736289904068</v>
      </c>
      <c r="N226" s="4">
        <v>141.99380531163573</v>
      </c>
      <c r="O226" s="11">
        <f t="shared" si="3"/>
        <v>6.2385586441365409E-2</v>
      </c>
      <c r="P226"/>
      <c r="Q226" s="11"/>
    </row>
    <row r="227" spans="1:17" x14ac:dyDescent="0.35">
      <c r="A227" s="1" t="s">
        <v>50</v>
      </c>
      <c r="O227" s="11" t="str">
        <f t="shared" si="3"/>
        <v/>
      </c>
      <c r="P227"/>
      <c r="Q227" s="11"/>
    </row>
    <row r="228" spans="1:17" x14ac:dyDescent="0.35">
      <c r="A228" s="2" t="s">
        <v>24</v>
      </c>
      <c r="O228" s="11" t="str">
        <f t="shared" si="3"/>
        <v/>
      </c>
      <c r="P228"/>
      <c r="Q228" s="11"/>
    </row>
    <row r="229" spans="1:17" x14ac:dyDescent="0.35">
      <c r="A229" s="3" t="s">
        <v>25</v>
      </c>
      <c r="B229" s="4">
        <v>7.0592992293474399</v>
      </c>
      <c r="C229" s="4">
        <v>7.2842291787338231</v>
      </c>
      <c r="D229" s="4">
        <v>7.5338657440944816</v>
      </c>
      <c r="E229" s="4">
        <v>7.7963878673593259</v>
      </c>
      <c r="F229" s="4">
        <v>8.0735221908253507</v>
      </c>
      <c r="G229" s="4">
        <v>8.3645863155465925</v>
      </c>
      <c r="H229" s="4">
        <v>8.6688117582990856</v>
      </c>
      <c r="I229" s="4">
        <v>8.9885077986091879</v>
      </c>
      <c r="J229" s="4">
        <v>9.3294075745952671</v>
      </c>
      <c r="K229" s="4">
        <v>9.6960095669720765</v>
      </c>
      <c r="L229" s="4">
        <v>10.085305235874937</v>
      </c>
      <c r="M229" s="4">
        <v>10.496122929443878</v>
      </c>
      <c r="N229" s="4">
        <v>10.933104498454579</v>
      </c>
      <c r="O229" s="11">
        <f t="shared" si="3"/>
        <v>3.899665036683559E-2</v>
      </c>
      <c r="P229"/>
      <c r="Q229" s="11"/>
    </row>
    <row r="230" spans="1:17" x14ac:dyDescent="0.35">
      <c r="A230" s="3" t="s">
        <v>26</v>
      </c>
      <c r="B230" s="4">
        <v>79.78213884317627</v>
      </c>
      <c r="C230" s="4">
        <v>82.574677583520895</v>
      </c>
      <c r="D230" s="4">
        <v>85.795565335118212</v>
      </c>
      <c r="E230" s="4">
        <v>89.203566672784689</v>
      </c>
      <c r="F230" s="4">
        <v>92.845505194491537</v>
      </c>
      <c r="G230" s="4">
        <v>96.713343892714391</v>
      </c>
      <c r="H230" s="4">
        <v>100.84287468468882</v>
      </c>
      <c r="I230" s="4">
        <v>105.33085221133283</v>
      </c>
      <c r="J230" s="4">
        <v>110.09734604898425</v>
      </c>
      <c r="K230" s="4">
        <v>115.24922563269206</v>
      </c>
      <c r="L230" s="4">
        <v>120.73368318424647</v>
      </c>
      <c r="M230" s="4">
        <v>126.62654268396496</v>
      </c>
      <c r="N230" s="4">
        <v>133.07517797407985</v>
      </c>
      <c r="O230" s="11">
        <f t="shared" si="3"/>
        <v>4.6650107348656059E-2</v>
      </c>
      <c r="P230"/>
      <c r="Q230" s="11"/>
    </row>
    <row r="231" spans="1:17" x14ac:dyDescent="0.35">
      <c r="A231" s="2" t="s">
        <v>27</v>
      </c>
      <c r="O231" s="11" t="str">
        <f t="shared" si="3"/>
        <v/>
      </c>
      <c r="P231"/>
      <c r="Q231" s="11"/>
    </row>
    <row r="232" spans="1:17" x14ac:dyDescent="0.35">
      <c r="A232" s="3" t="s">
        <v>30</v>
      </c>
      <c r="B232" s="4">
        <v>15.085536921692048</v>
      </c>
      <c r="C232" s="4">
        <v>15.768734369982452</v>
      </c>
      <c r="D232" s="4">
        <v>16.507193213219303</v>
      </c>
      <c r="E232" s="4">
        <v>17.311919719298032</v>
      </c>
      <c r="F232" s="4">
        <v>18.175516832095568</v>
      </c>
      <c r="G232" s="4">
        <v>19.131453941258702</v>
      </c>
      <c r="H232" s="4">
        <v>20.148017448383104</v>
      </c>
      <c r="I232" s="4">
        <v>21.270793896660368</v>
      </c>
      <c r="J232" s="4">
        <v>22.490542394219091</v>
      </c>
      <c r="K232" s="4">
        <v>23.817714777574757</v>
      </c>
      <c r="L232" s="4">
        <v>25.278001651259469</v>
      </c>
      <c r="M232" s="4">
        <v>26.888338960297517</v>
      </c>
      <c r="N232" s="4">
        <v>28.651253213387399</v>
      </c>
      <c r="O232" s="11">
        <f t="shared" si="3"/>
        <v>5.9391589868164861E-2</v>
      </c>
      <c r="P232"/>
      <c r="Q232" s="11"/>
    </row>
    <row r="233" spans="1:17" x14ac:dyDescent="0.35">
      <c r="A233" s="3" t="s">
        <v>32</v>
      </c>
      <c r="B233" s="4">
        <v>6.493212124439129</v>
      </c>
      <c r="C233" s="4">
        <v>6.6573862297225155</v>
      </c>
      <c r="D233" s="4">
        <v>6.8275337869270922</v>
      </c>
      <c r="E233" s="4">
        <v>7.0060041010200038</v>
      </c>
      <c r="F233" s="4">
        <v>7.1955266525730934</v>
      </c>
      <c r="G233" s="4">
        <v>7.3952374699595262</v>
      </c>
      <c r="H233" s="4">
        <v>7.6025397155744949</v>
      </c>
      <c r="I233" s="4">
        <v>7.8224674665480736</v>
      </c>
      <c r="J233" s="4">
        <v>8.0609185754389561</v>
      </c>
      <c r="K233" s="4">
        <v>8.3118283375065474</v>
      </c>
      <c r="L233" s="4">
        <v>8.5815760121059412</v>
      </c>
      <c r="M233" s="4">
        <v>8.8689196730598052</v>
      </c>
      <c r="N233" s="4">
        <v>9.1752993652093071</v>
      </c>
      <c r="O233" s="11">
        <f t="shared" si="3"/>
        <v>3.1290838783289143E-2</v>
      </c>
      <c r="P233"/>
      <c r="Q233" s="11"/>
    </row>
    <row r="234" spans="1:17" x14ac:dyDescent="0.35">
      <c r="A234" s="3" t="s">
        <v>29</v>
      </c>
      <c r="B234" s="4">
        <v>17.573490484262457</v>
      </c>
      <c r="C234" s="4">
        <v>18.361046323589566</v>
      </c>
      <c r="D234" s="4">
        <v>19.222581683031279</v>
      </c>
      <c r="E234" s="4">
        <v>20.126240174865138</v>
      </c>
      <c r="F234" s="4">
        <v>21.081984820792698</v>
      </c>
      <c r="G234" s="4">
        <v>22.102359106590665</v>
      </c>
      <c r="H234" s="4">
        <v>23.189452497152399</v>
      </c>
      <c r="I234" s="4">
        <v>24.394170886394285</v>
      </c>
      <c r="J234" s="4">
        <v>25.681637882919038</v>
      </c>
      <c r="K234" s="4">
        <v>27.069696340103611</v>
      </c>
      <c r="L234" s="4">
        <v>28.580279661760748</v>
      </c>
      <c r="M234" s="4">
        <v>30.227348134767308</v>
      </c>
      <c r="N234" s="4">
        <v>32.026774620852088</v>
      </c>
      <c r="O234" s="11">
        <f t="shared" si="3"/>
        <v>5.4412760842818965E-2</v>
      </c>
      <c r="P234"/>
      <c r="Q234" s="11"/>
    </row>
    <row r="235" spans="1:17" x14ac:dyDescent="0.35">
      <c r="A235" s="3" t="s">
        <v>31</v>
      </c>
      <c r="B235" s="4">
        <v>10.951296784408832</v>
      </c>
      <c r="C235" s="4">
        <v>11.413568243014508</v>
      </c>
      <c r="D235" s="4">
        <v>11.899875900221074</v>
      </c>
      <c r="E235" s="4">
        <v>12.410799955965627</v>
      </c>
      <c r="F235" s="4">
        <v>12.947911213536155</v>
      </c>
      <c r="G235" s="4">
        <v>13.516661044501005</v>
      </c>
      <c r="H235" s="4">
        <v>14.125468389359803</v>
      </c>
      <c r="I235" s="4">
        <v>14.769840750519412</v>
      </c>
      <c r="J235" s="4">
        <v>15.465651935109008</v>
      </c>
      <c r="K235" s="4">
        <v>16.218502903572453</v>
      </c>
      <c r="L235" s="4">
        <v>17.029285776792609</v>
      </c>
      <c r="M235" s="4">
        <v>17.892112672210502</v>
      </c>
      <c r="N235" s="4">
        <v>18.829969147728072</v>
      </c>
      <c r="O235" s="11">
        <f t="shared" si="3"/>
        <v>4.8500393749654494E-2</v>
      </c>
      <c r="P235"/>
      <c r="Q235" s="11"/>
    </row>
    <row r="236" spans="1:17" x14ac:dyDescent="0.35">
      <c r="A236" s="3" t="s">
        <v>28</v>
      </c>
      <c r="B236" s="4">
        <v>33.043072182838245</v>
      </c>
      <c r="C236" s="4">
        <v>33.831715755980127</v>
      </c>
      <c r="D236" s="4">
        <v>34.905757157112603</v>
      </c>
      <c r="E236" s="4">
        <v>36.03082062094439</v>
      </c>
      <c r="F236" s="4">
        <v>37.24921300792046</v>
      </c>
      <c r="G236" s="4">
        <v>38.499824903311278</v>
      </c>
      <c r="H236" s="4">
        <v>39.837233128685682</v>
      </c>
      <c r="I236" s="4">
        <v>41.265112263021834</v>
      </c>
      <c r="J236" s="4">
        <v>42.729061794372555</v>
      </c>
      <c r="K236" s="4">
        <v>44.312985202059096</v>
      </c>
      <c r="L236" s="4">
        <v>45.906841625685871</v>
      </c>
      <c r="M236" s="4">
        <v>47.556617801101567</v>
      </c>
      <c r="N236" s="4">
        <v>49.369684044598088</v>
      </c>
      <c r="O236" s="11">
        <f t="shared" si="3"/>
        <v>3.6164715237169423E-2</v>
      </c>
      <c r="P236"/>
      <c r="Q236" s="11"/>
    </row>
    <row r="237" spans="1:17" x14ac:dyDescent="0.35">
      <c r="A237" s="3" t="s">
        <v>33</v>
      </c>
      <c r="B237" s="4">
        <v>3.6948295748830016</v>
      </c>
      <c r="C237" s="4">
        <v>3.8264558399655479</v>
      </c>
      <c r="D237" s="4">
        <v>3.9664893387013413</v>
      </c>
      <c r="E237" s="4">
        <v>4.1141699680508248</v>
      </c>
      <c r="F237" s="4">
        <v>4.2688748583989042</v>
      </c>
      <c r="G237" s="4">
        <v>4.4323937426398103</v>
      </c>
      <c r="H237" s="4">
        <v>4.6089752638324164</v>
      </c>
      <c r="I237" s="4">
        <v>4.796974746798047</v>
      </c>
      <c r="J237" s="4">
        <v>4.9989410415208706</v>
      </c>
      <c r="K237" s="4">
        <v>5.2145076388476674</v>
      </c>
      <c r="L237" s="4">
        <v>5.4430036925167613</v>
      </c>
      <c r="M237" s="4">
        <v>5.689328371972123</v>
      </c>
      <c r="N237" s="4">
        <v>5.9553020807594823</v>
      </c>
      <c r="O237" s="11">
        <f t="shared" si="3"/>
        <v>4.3094456910183605E-2</v>
      </c>
      <c r="P237"/>
      <c r="Q237" s="11"/>
    </row>
    <row r="238" spans="1:17" x14ac:dyDescent="0.35">
      <c r="A238" s="2" t="s">
        <v>34</v>
      </c>
      <c r="O238" s="11" t="str">
        <f t="shared" si="3"/>
        <v/>
      </c>
      <c r="P238"/>
      <c r="Q238" s="11"/>
    </row>
    <row r="239" spans="1:17" x14ac:dyDescent="0.35">
      <c r="A239" s="3" t="s">
        <v>36</v>
      </c>
      <c r="B239" s="4">
        <v>31.900688531211113</v>
      </c>
      <c r="C239" s="4">
        <v>33.310890091861943</v>
      </c>
      <c r="D239" s="4">
        <v>34.821395183244498</v>
      </c>
      <c r="E239" s="4">
        <v>36.423539536862798</v>
      </c>
      <c r="F239" s="4">
        <v>38.147392351649778</v>
      </c>
      <c r="G239" s="4">
        <v>40.007086059252622</v>
      </c>
      <c r="H239" s="4">
        <v>41.992968791110478</v>
      </c>
      <c r="I239" s="4">
        <v>44.168287096414154</v>
      </c>
      <c r="J239" s="4">
        <v>46.515955353805722</v>
      </c>
      <c r="K239" s="4">
        <v>49.031353338103187</v>
      </c>
      <c r="L239" s="4">
        <v>51.776055628998002</v>
      </c>
      <c r="M239" s="4">
        <v>54.72514381078711</v>
      </c>
      <c r="N239" s="4">
        <v>57.92468327730284</v>
      </c>
      <c r="O239" s="11">
        <f t="shared" si="3"/>
        <v>5.4292128232429161E-2</v>
      </c>
      <c r="P239"/>
      <c r="Q239" s="11"/>
    </row>
    <row r="240" spans="1:17" x14ac:dyDescent="0.35">
      <c r="A240" s="3" t="s">
        <v>37</v>
      </c>
      <c r="B240" s="4">
        <v>18.848362347799995</v>
      </c>
      <c r="C240" s="4">
        <v>19.636898589248421</v>
      </c>
      <c r="D240" s="4">
        <v>20.4662056244503</v>
      </c>
      <c r="E240" s="4">
        <v>21.337236402347575</v>
      </c>
      <c r="F240" s="4">
        <v>22.252645538462371</v>
      </c>
      <c r="G240" s="4">
        <v>23.221753022402019</v>
      </c>
      <c r="H240" s="4">
        <v>24.258963676071261</v>
      </c>
      <c r="I240" s="4">
        <v>25.356487539259295</v>
      </c>
      <c r="J240" s="4">
        <v>26.541510137711942</v>
      </c>
      <c r="K240" s="4">
        <v>27.823548054141458</v>
      </c>
      <c r="L240" s="4">
        <v>29.204025945544892</v>
      </c>
      <c r="M240" s="4">
        <v>30.672739124160902</v>
      </c>
      <c r="N240" s="4">
        <v>32.26899560374423</v>
      </c>
      <c r="O240" s="11">
        <f t="shared" si="3"/>
        <v>4.8124616089246147E-2</v>
      </c>
      <c r="P240"/>
      <c r="Q240" s="11"/>
    </row>
    <row r="241" spans="1:17" x14ac:dyDescent="0.35">
      <c r="A241" s="3" t="s">
        <v>35</v>
      </c>
      <c r="B241" s="4">
        <v>27.095948983760692</v>
      </c>
      <c r="C241" s="4">
        <v>27.642364140867471</v>
      </c>
      <c r="D241" s="4">
        <v>28.468828451966615</v>
      </c>
      <c r="E241" s="4">
        <v>29.349080801662026</v>
      </c>
      <c r="F241" s="4">
        <v>30.295892021072135</v>
      </c>
      <c r="G241" s="4">
        <v>31.271048094102994</v>
      </c>
      <c r="H241" s="4">
        <v>32.296199414255767</v>
      </c>
      <c r="I241" s="4">
        <v>33.406813140447298</v>
      </c>
      <c r="J241" s="4">
        <v>34.53027748998683</v>
      </c>
      <c r="K241" s="4">
        <v>35.770956316896175</v>
      </c>
      <c r="L241" s="4">
        <v>36.995551956966594</v>
      </c>
      <c r="M241" s="4">
        <v>38.308997579873534</v>
      </c>
      <c r="N241" s="4">
        <v>39.772432317076721</v>
      </c>
      <c r="O241" s="11">
        <f t="shared" si="3"/>
        <v>3.4951406627266889E-2</v>
      </c>
      <c r="P241"/>
      <c r="Q241" s="11"/>
    </row>
    <row r="242" spans="1:17" x14ac:dyDescent="0.35">
      <c r="A242" s="3" t="s">
        <v>38</v>
      </c>
      <c r="B242" s="4">
        <v>8.9964382097519167</v>
      </c>
      <c r="C242" s="4">
        <v>9.268753940276877</v>
      </c>
      <c r="D242" s="4">
        <v>9.5730018195512852</v>
      </c>
      <c r="E242" s="4">
        <v>9.8900977992716115</v>
      </c>
      <c r="F242" s="4">
        <v>10.223097474132601</v>
      </c>
      <c r="G242" s="4">
        <v>10.578043032503341</v>
      </c>
      <c r="H242" s="4">
        <v>10.963554561550396</v>
      </c>
      <c r="I242" s="4">
        <v>11.387772233821268</v>
      </c>
      <c r="J242" s="4">
        <v>11.83901064207503</v>
      </c>
      <c r="K242" s="4">
        <v>12.319377490523326</v>
      </c>
      <c r="L242" s="4">
        <v>12.843354888611907</v>
      </c>
      <c r="M242" s="4">
        <v>13.415785098587278</v>
      </c>
      <c r="N242" s="4">
        <v>14.042171274410629</v>
      </c>
      <c r="O242" s="11">
        <f t="shared" si="3"/>
        <v>4.1299266209592338E-2</v>
      </c>
      <c r="P242"/>
      <c r="Q242" s="11"/>
    </row>
    <row r="243" spans="1:17" x14ac:dyDescent="0.35">
      <c r="A243" s="2" t="s">
        <v>22</v>
      </c>
      <c r="O243" s="11" t="str">
        <f t="shared" si="3"/>
        <v/>
      </c>
      <c r="P243"/>
      <c r="Q243" s="11"/>
    </row>
    <row r="244" spans="1:17" x14ac:dyDescent="0.35">
      <c r="A244" s="3" t="s">
        <v>39</v>
      </c>
      <c r="B244" s="4">
        <v>24.497402859111503</v>
      </c>
      <c r="C244" s="4">
        <v>25.246626126851581</v>
      </c>
      <c r="D244" s="4">
        <v>26.308432899051553</v>
      </c>
      <c r="E244" s="4">
        <v>27.43195381875104</v>
      </c>
      <c r="F244" s="4">
        <v>28.620636166475876</v>
      </c>
      <c r="G244" s="4">
        <v>29.854054631674231</v>
      </c>
      <c r="H244" s="4">
        <v>31.18998047217552</v>
      </c>
      <c r="I244" s="4">
        <v>32.638155885114884</v>
      </c>
      <c r="J244" s="4">
        <v>34.119165343058313</v>
      </c>
      <c r="K244" s="4">
        <v>35.775805227686547</v>
      </c>
      <c r="L244" s="4">
        <v>37.459338114575786</v>
      </c>
      <c r="M244" s="4">
        <v>39.276611685611925</v>
      </c>
      <c r="N244" s="4">
        <v>41.325680415070849</v>
      </c>
      <c r="O244" s="11">
        <f t="shared" si="3"/>
        <v>4.7547712421743035E-2</v>
      </c>
      <c r="P244"/>
      <c r="Q244" s="11"/>
    </row>
    <row r="245" spans="1:17" x14ac:dyDescent="0.35">
      <c r="A245" s="3" t="s">
        <v>41</v>
      </c>
      <c r="B245" s="4">
        <v>16.666382117396029</v>
      </c>
      <c r="C245" s="4">
        <v>17.076713930486129</v>
      </c>
      <c r="D245" s="4">
        <v>17.516610451252365</v>
      </c>
      <c r="E245" s="4">
        <v>17.979481299867828</v>
      </c>
      <c r="F245" s="4">
        <v>18.47827391425152</v>
      </c>
      <c r="G245" s="4">
        <v>19.017184571789294</v>
      </c>
      <c r="H245" s="4">
        <v>19.588700652451713</v>
      </c>
      <c r="I245" s="4">
        <v>20.219776166741038</v>
      </c>
      <c r="J245" s="4">
        <v>20.89849623769198</v>
      </c>
      <c r="K245" s="4">
        <v>21.619292963678085</v>
      </c>
      <c r="L245" s="4">
        <v>22.406080684757228</v>
      </c>
      <c r="M245" s="4">
        <v>23.243460246983862</v>
      </c>
      <c r="N245" s="4">
        <v>24.14716500214497</v>
      </c>
      <c r="O245" s="11">
        <f t="shared" si="3"/>
        <v>3.4706393438003802E-2</v>
      </c>
      <c r="P245"/>
      <c r="Q245" s="11"/>
    </row>
    <row r="246" spans="1:17" x14ac:dyDescent="0.35">
      <c r="A246" s="3" t="s">
        <v>40</v>
      </c>
      <c r="B246" s="4">
        <v>21.313748466811859</v>
      </c>
      <c r="C246" s="4">
        <v>21.987423555416882</v>
      </c>
      <c r="D246" s="4">
        <v>22.707450756650296</v>
      </c>
      <c r="E246" s="4">
        <v>23.466149579734825</v>
      </c>
      <c r="F246" s="4">
        <v>24.281117988907241</v>
      </c>
      <c r="G246" s="4">
        <v>25.15892323187283</v>
      </c>
      <c r="H246" s="4">
        <v>26.090805226138002</v>
      </c>
      <c r="I246" s="4">
        <v>27.11365638504607</v>
      </c>
      <c r="J246" s="4">
        <v>28.213233050477662</v>
      </c>
      <c r="K246" s="4">
        <v>29.383449423901734</v>
      </c>
      <c r="L246" s="4">
        <v>30.658105201744842</v>
      </c>
      <c r="M246" s="4">
        <v>32.018101158746916</v>
      </c>
      <c r="N246" s="4">
        <v>33.486680704358989</v>
      </c>
      <c r="O246" s="11">
        <f t="shared" si="3"/>
        <v>4.1693627301770689E-2</v>
      </c>
      <c r="P246"/>
      <c r="Q246" s="11"/>
    </row>
    <row r="247" spans="1:17" x14ac:dyDescent="0.35">
      <c r="A247" s="3" t="s">
        <v>42</v>
      </c>
      <c r="B247" s="4">
        <v>24.363904629204328</v>
      </c>
      <c r="C247" s="4">
        <v>25.548143149500124</v>
      </c>
      <c r="D247" s="4">
        <v>26.796936972258475</v>
      </c>
      <c r="E247" s="4">
        <v>28.12236984179032</v>
      </c>
      <c r="F247" s="4">
        <v>29.538999315682254</v>
      </c>
      <c r="G247" s="4">
        <v>31.047767772924637</v>
      </c>
      <c r="H247" s="4">
        <v>32.64220009222268</v>
      </c>
      <c r="I247" s="4">
        <v>34.347771573040013</v>
      </c>
      <c r="J247" s="4">
        <v>36.195858992351567</v>
      </c>
      <c r="K247" s="4">
        <v>38.166687584397778</v>
      </c>
      <c r="L247" s="4">
        <v>40.295464419043533</v>
      </c>
      <c r="M247" s="4">
        <v>42.584492522066128</v>
      </c>
      <c r="N247" s="4">
        <v>45.048756350959628</v>
      </c>
      <c r="O247" s="11">
        <f t="shared" si="3"/>
        <v>5.4613201637925622E-2</v>
      </c>
      <c r="P247"/>
      <c r="Q247" s="11"/>
    </row>
    <row r="248" spans="1:17" x14ac:dyDescent="0.35">
      <c r="A248" s="1" t="s">
        <v>51</v>
      </c>
      <c r="O248" s="11" t="str">
        <f t="shared" si="3"/>
        <v/>
      </c>
      <c r="P248"/>
      <c r="Q248" s="11"/>
    </row>
    <row r="249" spans="1:17" x14ac:dyDescent="0.35">
      <c r="A249" s="2" t="s">
        <v>24</v>
      </c>
      <c r="O249" s="11" t="str">
        <f t="shared" si="3"/>
        <v/>
      </c>
      <c r="P249"/>
      <c r="Q249" s="11"/>
    </row>
    <row r="250" spans="1:17" x14ac:dyDescent="0.35">
      <c r="A250" s="3" t="s">
        <v>25</v>
      </c>
      <c r="B250" s="4">
        <v>42.556732360863819</v>
      </c>
      <c r="C250" s="4">
        <v>44.492273190066314</v>
      </c>
      <c r="D250" s="4">
        <v>46.528025075649772</v>
      </c>
      <c r="E250" s="4">
        <v>48.684006210318032</v>
      </c>
      <c r="F250" s="4">
        <v>50.984272631290558</v>
      </c>
      <c r="G250" s="4">
        <v>53.429086997441331</v>
      </c>
      <c r="H250" s="4">
        <v>56.005935767172751</v>
      </c>
      <c r="I250" s="4">
        <v>58.757264409293249</v>
      </c>
      <c r="J250" s="4">
        <v>61.735101217702237</v>
      </c>
      <c r="K250" s="4">
        <v>64.903603588190478</v>
      </c>
      <c r="L250" s="4">
        <v>68.320839125888256</v>
      </c>
      <c r="M250" s="4">
        <v>71.988387394819938</v>
      </c>
      <c r="N250" s="4">
        <v>75.929232514618576</v>
      </c>
      <c r="O250" s="11">
        <f t="shared" si="3"/>
        <v>5.1488350084284963E-2</v>
      </c>
      <c r="P250"/>
      <c r="Q250" s="11"/>
    </row>
    <row r="251" spans="1:17" x14ac:dyDescent="0.35">
      <c r="A251" s="3" t="s">
        <v>26</v>
      </c>
      <c r="B251" s="4">
        <v>429.54231143505768</v>
      </c>
      <c r="C251" s="4">
        <v>451.73752411658484</v>
      </c>
      <c r="D251" s="4">
        <v>475.51855063844562</v>
      </c>
      <c r="E251" s="4">
        <v>500.85389352742544</v>
      </c>
      <c r="F251" s="4">
        <v>527.72483782603695</v>
      </c>
      <c r="G251" s="4">
        <v>556.40786402261949</v>
      </c>
      <c r="H251" s="4">
        <v>587.50337745663796</v>
      </c>
      <c r="I251" s="4">
        <v>620.89541873883832</v>
      </c>
      <c r="J251" s="4">
        <v>657.00059389023511</v>
      </c>
      <c r="K251" s="4">
        <v>695.87517243141644</v>
      </c>
      <c r="L251" s="4">
        <v>737.5348672343149</v>
      </c>
      <c r="M251" s="4">
        <v>782.74767860709721</v>
      </c>
      <c r="N251" s="4">
        <v>831.90180934363582</v>
      </c>
      <c r="O251" s="11">
        <f t="shared" si="3"/>
        <v>5.9141818097337956E-2</v>
      </c>
      <c r="P251"/>
      <c r="Q251" s="11"/>
    </row>
    <row r="252" spans="1:17" x14ac:dyDescent="0.35">
      <c r="A252" s="2" t="s">
        <v>27</v>
      </c>
      <c r="O252" s="11" t="str">
        <f t="shared" si="3"/>
        <v/>
      </c>
      <c r="P252"/>
      <c r="Q252" s="11"/>
    </row>
    <row r="253" spans="1:17" x14ac:dyDescent="0.35">
      <c r="A253" s="3" t="s">
        <v>30</v>
      </c>
      <c r="B253" s="4">
        <v>81.666312549131789</v>
      </c>
      <c r="C253" s="4">
        <v>86.924238822693482</v>
      </c>
      <c r="D253" s="4">
        <v>92.605149650944455</v>
      </c>
      <c r="E253" s="4">
        <v>98.716226151201738</v>
      </c>
      <c r="F253" s="4">
        <v>105.26718719218788</v>
      </c>
      <c r="G253" s="4">
        <v>112.32677483976254</v>
      </c>
      <c r="H253" s="4">
        <v>120.03210665062645</v>
      </c>
      <c r="I253" s="4">
        <v>128.38015571861342</v>
      </c>
      <c r="J253" s="4">
        <v>137.47735954742168</v>
      </c>
      <c r="K253" s="4">
        <v>147.35937705776155</v>
      </c>
      <c r="L253" s="4">
        <v>158.05441083379287</v>
      </c>
      <c r="M253" s="4">
        <v>169.75263195939112</v>
      </c>
      <c r="N253" s="4">
        <v>182.5703444272747</v>
      </c>
      <c r="O253" s="11">
        <f t="shared" si="3"/>
        <v>7.1853123607225552E-2</v>
      </c>
      <c r="P253"/>
      <c r="Q253" s="11"/>
    </row>
    <row r="254" spans="1:17" x14ac:dyDescent="0.35">
      <c r="A254" s="3" t="s">
        <v>32</v>
      </c>
      <c r="B254" s="4">
        <v>45.350879608368565</v>
      </c>
      <c r="C254" s="4">
        <v>46.834864133683659</v>
      </c>
      <c r="D254" s="4">
        <v>48.487109915384167</v>
      </c>
      <c r="E254" s="4">
        <v>50.212135395972972</v>
      </c>
      <c r="F254" s="4">
        <v>52.025949030113736</v>
      </c>
      <c r="G254" s="4">
        <v>53.959907929577689</v>
      </c>
      <c r="H254" s="4">
        <v>56.058813920899112</v>
      </c>
      <c r="I254" s="4">
        <v>58.365434986597272</v>
      </c>
      <c r="J254" s="4">
        <v>60.821325460428646</v>
      </c>
      <c r="K254" s="4">
        <v>63.438340576239121</v>
      </c>
      <c r="L254" s="4">
        <v>66.292164257791612</v>
      </c>
      <c r="M254" s="4">
        <v>69.409430746390541</v>
      </c>
      <c r="N254" s="4">
        <v>72.820435147142518</v>
      </c>
      <c r="O254" s="11">
        <f t="shared" si="3"/>
        <v>4.375228329353658E-2</v>
      </c>
      <c r="P254"/>
      <c r="Q254" s="11"/>
    </row>
    <row r="255" spans="1:17" x14ac:dyDescent="0.35">
      <c r="A255" s="3" t="s">
        <v>29</v>
      </c>
      <c r="B255" s="4">
        <v>96.543262833456126</v>
      </c>
      <c r="C255" s="4">
        <v>101.63793234601307</v>
      </c>
      <c r="D255" s="4">
        <v>107.15821104823911</v>
      </c>
      <c r="E255" s="4">
        <v>113.18400155953051</v>
      </c>
      <c r="F255" s="4">
        <v>119.67704404257533</v>
      </c>
      <c r="G255" s="4">
        <v>126.86692626783206</v>
      </c>
      <c r="H255" s="4">
        <v>134.55738602711995</v>
      </c>
      <c r="I255" s="4">
        <v>143.06262395779311</v>
      </c>
      <c r="J255" s="4">
        <v>152.33686152071283</v>
      </c>
      <c r="K255" s="4">
        <v>162.46617298374235</v>
      </c>
      <c r="L255" s="4">
        <v>173.64279922127068</v>
      </c>
      <c r="M255" s="4">
        <v>186.00402898348017</v>
      </c>
      <c r="N255" s="4">
        <v>199.59104112746624</v>
      </c>
      <c r="O255" s="11">
        <f t="shared" si="3"/>
        <v>6.6874247751182753E-2</v>
      </c>
      <c r="P255"/>
      <c r="Q255" s="11"/>
    </row>
    <row r="256" spans="1:17" x14ac:dyDescent="0.35">
      <c r="A256" s="3" t="s">
        <v>31</v>
      </c>
      <c r="B256" s="4">
        <v>60.479405648574705</v>
      </c>
      <c r="C256" s="4">
        <v>63.803047044198244</v>
      </c>
      <c r="D256" s="4">
        <v>67.326805201336597</v>
      </c>
      <c r="E256" s="4">
        <v>71.084365499551325</v>
      </c>
      <c r="F256" s="4">
        <v>75.11644253736111</v>
      </c>
      <c r="G256" s="4">
        <v>79.430066399431908</v>
      </c>
      <c r="H256" s="4">
        <v>84.013405832326654</v>
      </c>
      <c r="I256" s="4">
        <v>88.936521241799056</v>
      </c>
      <c r="J256" s="4">
        <v>94.286392788153492</v>
      </c>
      <c r="K256" s="4">
        <v>100.01878538771808</v>
      </c>
      <c r="L256" s="4">
        <v>106.23239643586061</v>
      </c>
      <c r="M256" s="4">
        <v>112.94147756817449</v>
      </c>
      <c r="N256" s="4">
        <v>120.19416052798516</v>
      </c>
      <c r="O256" s="11">
        <f t="shared" si="3"/>
        <v>6.096187374202814E-2</v>
      </c>
      <c r="P256"/>
      <c r="Q256" s="11"/>
    </row>
    <row r="257" spans="1:17" x14ac:dyDescent="0.35">
      <c r="A257" s="3" t="s">
        <v>28</v>
      </c>
      <c r="B257" s="4">
        <v>162.90816001775539</v>
      </c>
      <c r="C257" s="4">
        <v>170.83611719234921</v>
      </c>
      <c r="D257" s="4">
        <v>179.14951094281031</v>
      </c>
      <c r="E257" s="4">
        <v>187.79433074269878</v>
      </c>
      <c r="F257" s="4">
        <v>196.76109755549129</v>
      </c>
      <c r="G257" s="4">
        <v>205.93587097331221</v>
      </c>
      <c r="H257" s="4">
        <v>215.98624665232467</v>
      </c>
      <c r="I257" s="4">
        <v>226.3413934606603</v>
      </c>
      <c r="J257" s="4">
        <v>237.39760975202938</v>
      </c>
      <c r="K257" s="4">
        <v>249.07070860625561</v>
      </c>
      <c r="L257" s="4">
        <v>261.00003378069255</v>
      </c>
      <c r="M257" s="4">
        <v>273.56186683009378</v>
      </c>
      <c r="N257" s="4">
        <v>286.92998799274073</v>
      </c>
      <c r="O257" s="11">
        <f t="shared" si="3"/>
        <v>4.8522382396693473E-2</v>
      </c>
      <c r="P257"/>
      <c r="Q257" s="11"/>
    </row>
    <row r="258" spans="1:17" x14ac:dyDescent="0.35">
      <c r="A258" s="3" t="s">
        <v>33</v>
      </c>
      <c r="B258" s="4">
        <v>25.151023138634923</v>
      </c>
      <c r="C258" s="4">
        <v>26.193597767713456</v>
      </c>
      <c r="D258" s="4">
        <v>27.319788955380758</v>
      </c>
      <c r="E258" s="4">
        <v>28.546840388788155</v>
      </c>
      <c r="F258" s="4">
        <v>29.861390099598097</v>
      </c>
      <c r="G258" s="4">
        <v>31.317404610144411</v>
      </c>
      <c r="H258" s="4">
        <v>32.861354140513932</v>
      </c>
      <c r="I258" s="4">
        <v>34.566553782668457</v>
      </c>
      <c r="J258" s="4">
        <v>36.416146039191311</v>
      </c>
      <c r="K258" s="4">
        <v>38.425391407890174</v>
      </c>
      <c r="L258" s="4">
        <v>40.633901830794763</v>
      </c>
      <c r="M258" s="4">
        <v>43.066629914387001</v>
      </c>
      <c r="N258" s="4">
        <v>45.725072635644985</v>
      </c>
      <c r="O258" s="11">
        <f t="shared" si="3"/>
        <v>5.5555892290433048E-2</v>
      </c>
      <c r="P258"/>
      <c r="Q258" s="11"/>
    </row>
    <row r="259" spans="1:17" x14ac:dyDescent="0.35">
      <c r="A259" s="2" t="s">
        <v>34</v>
      </c>
      <c r="O259" s="11" t="str">
        <f t="shared" si="3"/>
        <v/>
      </c>
      <c r="P259"/>
      <c r="Q259" s="11"/>
    </row>
    <row r="260" spans="1:17" x14ac:dyDescent="0.35">
      <c r="A260" s="3" t="s">
        <v>36</v>
      </c>
      <c r="B260" s="4">
        <v>171.58791582423962</v>
      </c>
      <c r="C260" s="4">
        <v>181.78168399965111</v>
      </c>
      <c r="D260" s="4">
        <v>192.75768295830554</v>
      </c>
      <c r="E260" s="4">
        <v>204.51899614089413</v>
      </c>
      <c r="F260" s="4">
        <v>217.07378733254353</v>
      </c>
      <c r="G260" s="4">
        <v>230.55165842797385</v>
      </c>
      <c r="H260" s="4">
        <v>245.22000980063538</v>
      </c>
      <c r="I260" s="4">
        <v>261.05480861873411</v>
      </c>
      <c r="J260" s="4">
        <v>278.25488135331193</v>
      </c>
      <c r="K260" s="4">
        <v>296.87192242573428</v>
      </c>
      <c r="L260" s="4">
        <v>316.94143655915934</v>
      </c>
      <c r="M260" s="4">
        <v>338.82283976266046</v>
      </c>
      <c r="N260" s="4">
        <v>362.72122025214878</v>
      </c>
      <c r="O260" s="11">
        <f t="shared" si="3"/>
        <v>6.6878489750330519E-2</v>
      </c>
      <c r="P260"/>
      <c r="Q260" s="11"/>
    </row>
    <row r="261" spans="1:17" x14ac:dyDescent="0.35">
      <c r="A261" s="3" t="s">
        <v>37</v>
      </c>
      <c r="B261" s="4">
        <v>101.91533963139528</v>
      </c>
      <c r="C261" s="4">
        <v>106.97858156763333</v>
      </c>
      <c r="D261" s="4">
        <v>112.56678865298166</v>
      </c>
      <c r="E261" s="4">
        <v>118.48054857154148</v>
      </c>
      <c r="F261" s="4">
        <v>124.76968421459982</v>
      </c>
      <c r="G261" s="4">
        <v>131.52365958784657</v>
      </c>
      <c r="H261" s="4">
        <v>138.87005607147461</v>
      </c>
      <c r="I261" s="4">
        <v>146.93910379197473</v>
      </c>
      <c r="J261" s="4">
        <v>155.61385921368984</v>
      </c>
      <c r="K261" s="4">
        <v>164.94858910069192</v>
      </c>
      <c r="L261" s="4">
        <v>175.16622414920423</v>
      </c>
      <c r="M261" s="4">
        <v>186.37366152577579</v>
      </c>
      <c r="N261" s="4">
        <v>198.69329896659443</v>
      </c>
      <c r="O261" s="11">
        <f t="shared" si="3"/>
        <v>6.0710939760888157E-2</v>
      </c>
      <c r="P261"/>
      <c r="Q261" s="11"/>
    </row>
    <row r="262" spans="1:17" x14ac:dyDescent="0.35">
      <c r="A262" s="3" t="s">
        <v>35</v>
      </c>
      <c r="B262" s="4">
        <v>152.58171137225338</v>
      </c>
      <c r="C262" s="4">
        <v>159.624909532765</v>
      </c>
      <c r="D262" s="4">
        <v>166.9003212105373</v>
      </c>
      <c r="E262" s="4">
        <v>174.56207416607543</v>
      </c>
      <c r="F262" s="4">
        <v>182.58272434928682</v>
      </c>
      <c r="G262" s="4">
        <v>190.92260035511953</v>
      </c>
      <c r="H262" s="4">
        <v>199.87298512831853</v>
      </c>
      <c r="I262" s="4">
        <v>209.12206879609465</v>
      </c>
      <c r="J262" s="4">
        <v>219.08848369426335</v>
      </c>
      <c r="K262" s="4">
        <v>229.66036333874865</v>
      </c>
      <c r="L262" s="4">
        <v>240.58297499515493</v>
      </c>
      <c r="M262" s="4">
        <v>252.11635038070006</v>
      </c>
      <c r="N262" s="4">
        <v>264.34340066116249</v>
      </c>
      <c r="O262" s="11">
        <f t="shared" si="3"/>
        <v>4.7580255957878619E-2</v>
      </c>
      <c r="P262"/>
      <c r="Q262" s="11"/>
    </row>
    <row r="263" spans="1:17" x14ac:dyDescent="0.35">
      <c r="A263" s="3" t="s">
        <v>38</v>
      </c>
      <c r="B263" s="4">
        <v>46.014076968033251</v>
      </c>
      <c r="C263" s="4">
        <v>47.84462220660177</v>
      </c>
      <c r="D263" s="4">
        <v>49.821782892270903</v>
      </c>
      <c r="E263" s="4">
        <v>51.976280859232396</v>
      </c>
      <c r="F263" s="4">
        <v>54.282914560897318</v>
      </c>
      <c r="G263" s="4">
        <v>56.839032649120902</v>
      </c>
      <c r="H263" s="4">
        <v>59.546262223382172</v>
      </c>
      <c r="I263" s="4">
        <v>62.53670194132809</v>
      </c>
      <c r="J263" s="4">
        <v>65.778470846672249</v>
      </c>
      <c r="K263" s="4">
        <v>69.297901154431983</v>
      </c>
      <c r="L263" s="4">
        <v>73.165070656684577</v>
      </c>
      <c r="M263" s="4">
        <v>77.42321433278083</v>
      </c>
      <c r="N263" s="4">
        <v>82.073121978348652</v>
      </c>
      <c r="O263" s="11">
        <f t="shared" si="3"/>
        <v>5.3885593949039655E-2</v>
      </c>
      <c r="P263"/>
      <c r="Q263" s="11"/>
    </row>
    <row r="264" spans="1:17" x14ac:dyDescent="0.35">
      <c r="A264" s="2" t="s">
        <v>22</v>
      </c>
      <c r="O264" s="11" t="str">
        <f t="shared" si="3"/>
        <v/>
      </c>
      <c r="P264"/>
      <c r="Q264" s="11"/>
    </row>
    <row r="265" spans="1:17" x14ac:dyDescent="0.35">
      <c r="A265" s="3" t="s">
        <v>39</v>
      </c>
      <c r="B265" s="4">
        <v>127.51070815605203</v>
      </c>
      <c r="C265" s="4">
        <v>135.12163628376754</v>
      </c>
      <c r="D265" s="4">
        <v>142.93949814678115</v>
      </c>
      <c r="E265" s="4">
        <v>151.25292582746192</v>
      </c>
      <c r="F265" s="4">
        <v>159.89732721935957</v>
      </c>
      <c r="G265" s="4">
        <v>169.00241609756165</v>
      </c>
      <c r="H265" s="4">
        <v>178.93660925956647</v>
      </c>
      <c r="I265" s="4">
        <v>189.3040986171826</v>
      </c>
      <c r="J265" s="4">
        <v>200.56654925222279</v>
      </c>
      <c r="K265" s="4">
        <v>212.59924550840128</v>
      </c>
      <c r="L265" s="4">
        <v>225.28056510093847</v>
      </c>
      <c r="M265" s="4">
        <v>239.09743747857124</v>
      </c>
      <c r="N265" s="4">
        <v>253.96074183480209</v>
      </c>
      <c r="O265" s="11">
        <f t="shared" si="3"/>
        <v>5.9906773653963769E-2</v>
      </c>
      <c r="P265"/>
      <c r="Q265" s="11"/>
    </row>
    <row r="266" spans="1:17" x14ac:dyDescent="0.35">
      <c r="A266" s="3" t="s">
        <v>41</v>
      </c>
      <c r="B266" s="4">
        <v>89.618526566367606</v>
      </c>
      <c r="C266" s="4">
        <v>92.792043910901285</v>
      </c>
      <c r="D266" s="4">
        <v>96.449451653645028</v>
      </c>
      <c r="E266" s="4">
        <v>100.32013140434688</v>
      </c>
      <c r="F266" s="4">
        <v>104.45699443754761</v>
      </c>
      <c r="G266" s="4">
        <v>108.85131351052409</v>
      </c>
      <c r="H266" s="4">
        <v>113.54367707579596</v>
      </c>
      <c r="I266" s="4">
        <v>118.64337790549929</v>
      </c>
      <c r="J266" s="4">
        <v>124.06086399126484</v>
      </c>
      <c r="K266" s="4">
        <v>129.91693405340433</v>
      </c>
      <c r="L266" s="4">
        <v>136.15257638773207</v>
      </c>
      <c r="M266" s="4">
        <v>142.85374598170984</v>
      </c>
      <c r="N266" s="4">
        <v>150.18725084796799</v>
      </c>
      <c r="O266" s="11">
        <f t="shared" si="3"/>
        <v>4.705945282962759E-2</v>
      </c>
      <c r="P266"/>
      <c r="Q266" s="11"/>
    </row>
    <row r="267" spans="1:17" x14ac:dyDescent="0.35">
      <c r="A267" s="3" t="s">
        <v>40</v>
      </c>
      <c r="B267" s="4">
        <v>117.36990520145724</v>
      </c>
      <c r="C267" s="4">
        <v>122.52954806055597</v>
      </c>
      <c r="D267" s="4">
        <v>128.05565754888789</v>
      </c>
      <c r="E267" s="4">
        <v>133.91610921389375</v>
      </c>
      <c r="F267" s="4">
        <v>140.22121746381043</v>
      </c>
      <c r="G267" s="4">
        <v>147.02261309593314</v>
      </c>
      <c r="H267" s="4">
        <v>154.28447312522511</v>
      </c>
      <c r="I267" s="4">
        <v>162.23884065212923</v>
      </c>
      <c r="J267" s="4">
        <v>170.8224658816616</v>
      </c>
      <c r="K267" s="4">
        <v>180.01793502727537</v>
      </c>
      <c r="L267" s="4">
        <v>190.05088346858787</v>
      </c>
      <c r="M267" s="4">
        <v>200.82925226059317</v>
      </c>
      <c r="N267" s="4">
        <v>212.52156255790948</v>
      </c>
      <c r="O267" s="11">
        <f t="shared" si="3"/>
        <v>5.4046662774522629E-2</v>
      </c>
      <c r="P267"/>
      <c r="Q267" s="11"/>
    </row>
    <row r="268" spans="1:17" x14ac:dyDescent="0.35">
      <c r="A268" s="3" t="s">
        <v>42</v>
      </c>
      <c r="B268" s="4">
        <v>137.59990387204459</v>
      </c>
      <c r="C268" s="4">
        <v>145.78656905142637</v>
      </c>
      <c r="D268" s="4">
        <v>154.6019683647813</v>
      </c>
      <c r="E268" s="4">
        <v>164.04873329204096</v>
      </c>
      <c r="F268" s="4">
        <v>174.13357133660983</v>
      </c>
      <c r="G268" s="4">
        <v>184.96060831604191</v>
      </c>
      <c r="H268" s="4">
        <v>196.74455376322322</v>
      </c>
      <c r="I268" s="4">
        <v>209.46636597332048</v>
      </c>
      <c r="J268" s="4">
        <v>223.28581598278817</v>
      </c>
      <c r="K268" s="4">
        <v>238.24466143052584</v>
      </c>
      <c r="L268" s="4">
        <v>254.37168140294477</v>
      </c>
      <c r="M268" s="4">
        <v>271.95563028104294</v>
      </c>
      <c r="N268" s="4">
        <v>291.16148661757478</v>
      </c>
      <c r="O268" s="11">
        <f t="shared" si="3"/>
        <v>6.6966217708106554E-2</v>
      </c>
      <c r="P268"/>
      <c r="Q268" s="11"/>
    </row>
    <row r="269" spans="1:17" x14ac:dyDescent="0.35">
      <c r="A269" s="1" t="s">
        <v>52</v>
      </c>
      <c r="O269" s="11" t="str">
        <f t="shared" si="3"/>
        <v/>
      </c>
      <c r="P269"/>
      <c r="Q269" s="11"/>
    </row>
    <row r="270" spans="1:17" x14ac:dyDescent="0.35">
      <c r="A270" s="2" t="s">
        <v>24</v>
      </c>
      <c r="O270" s="11" t="str">
        <f t="shared" si="3"/>
        <v/>
      </c>
      <c r="P270"/>
      <c r="Q270" s="11"/>
    </row>
    <row r="271" spans="1:17" x14ac:dyDescent="0.35">
      <c r="A271" s="3" t="s">
        <v>25</v>
      </c>
      <c r="B271" s="4">
        <v>7.6967706926844706</v>
      </c>
      <c r="C271" s="4">
        <v>7.9786567389446637</v>
      </c>
      <c r="D271" s="4">
        <v>8.274028361320438</v>
      </c>
      <c r="E271" s="4">
        <v>8.5830435207356128</v>
      </c>
      <c r="F271" s="4">
        <v>8.9065392487850641</v>
      </c>
      <c r="G271" s="4">
        <v>9.2480013176271356</v>
      </c>
      <c r="H271" s="4">
        <v>9.6128684220729035</v>
      </c>
      <c r="I271" s="4">
        <v>9.9976728344603973</v>
      </c>
      <c r="J271" s="4">
        <v>10.412802550036854</v>
      </c>
      <c r="K271" s="4">
        <v>10.861503410222694</v>
      </c>
      <c r="L271" s="4">
        <v>11.343793180837901</v>
      </c>
      <c r="M271" s="4">
        <v>11.855166883082617</v>
      </c>
      <c r="N271" s="4">
        <v>12.410340530027067</v>
      </c>
      <c r="O271" s="11">
        <f t="shared" si="3"/>
        <v>4.2912742138830638E-2</v>
      </c>
      <c r="P271"/>
      <c r="Q271" s="11"/>
    </row>
    <row r="272" spans="1:17" x14ac:dyDescent="0.35">
      <c r="A272" s="3" t="s">
        <v>26</v>
      </c>
      <c r="B272" s="4">
        <v>83.057971443950123</v>
      </c>
      <c r="C272" s="4">
        <v>86.665383406681826</v>
      </c>
      <c r="D272" s="4">
        <v>90.638155642577175</v>
      </c>
      <c r="E272" s="4">
        <v>94.845138069475283</v>
      </c>
      <c r="F272" s="4">
        <v>99.313864746173181</v>
      </c>
      <c r="G272" s="4">
        <v>104.04331225429522</v>
      </c>
      <c r="H272" s="4">
        <v>109.03116743020767</v>
      </c>
      <c r="I272" s="4">
        <v>114.31355381935293</v>
      </c>
      <c r="J272" s="4">
        <v>119.97158451605692</v>
      </c>
      <c r="K272" s="4">
        <v>126.07392039433782</v>
      </c>
      <c r="L272" s="4">
        <v>132.59441585583252</v>
      </c>
      <c r="M272" s="4">
        <v>139.5296096486496</v>
      </c>
      <c r="N272" s="4">
        <v>146.95289119406101</v>
      </c>
      <c r="O272" s="11">
        <f t="shared" si="3"/>
        <v>5.0566198864847381E-2</v>
      </c>
      <c r="P272"/>
      <c r="Q272" s="11"/>
    </row>
    <row r="273" spans="1:17" x14ac:dyDescent="0.35">
      <c r="A273" s="2" t="s">
        <v>27</v>
      </c>
      <c r="O273" s="11" t="str">
        <f t="shared" si="3"/>
        <v/>
      </c>
      <c r="P273"/>
      <c r="Q273" s="11"/>
    </row>
    <row r="274" spans="1:17" x14ac:dyDescent="0.35">
      <c r="A274" s="3" t="s">
        <v>30</v>
      </c>
      <c r="B274" s="4">
        <v>15.630740441601127</v>
      </c>
      <c r="C274" s="4">
        <v>16.435253569079322</v>
      </c>
      <c r="D274" s="4">
        <v>17.346976792529375</v>
      </c>
      <c r="E274" s="4">
        <v>18.321707321724329</v>
      </c>
      <c r="F274" s="4">
        <v>19.371452315097525</v>
      </c>
      <c r="G274" s="4">
        <v>20.497451787506517</v>
      </c>
      <c r="H274" s="4">
        <v>21.710215146954614</v>
      </c>
      <c r="I274" s="4">
        <v>23.03394196483756</v>
      </c>
      <c r="J274" s="4">
        <v>24.455607603722488</v>
      </c>
      <c r="K274" s="4">
        <v>26.002711763022408</v>
      </c>
      <c r="L274" s="4">
        <v>27.668333160570018</v>
      </c>
      <c r="M274" s="4">
        <v>29.47442846198657</v>
      </c>
      <c r="N274" s="4">
        <v>31.460836555383331</v>
      </c>
      <c r="O274" s="11">
        <f t="shared" si="3"/>
        <v>6.311803257670355E-2</v>
      </c>
      <c r="P274"/>
      <c r="Q274" s="11"/>
    </row>
    <row r="275" spans="1:17" x14ac:dyDescent="0.35">
      <c r="A275" s="3" t="s">
        <v>32</v>
      </c>
      <c r="B275" s="4">
        <v>7.9759691254989349</v>
      </c>
      <c r="C275" s="4">
        <v>8.1983672851869809</v>
      </c>
      <c r="D275" s="4">
        <v>8.4467075315507874</v>
      </c>
      <c r="E275" s="4">
        <v>8.7074253466164091</v>
      </c>
      <c r="F275" s="4">
        <v>8.9822935315815347</v>
      </c>
      <c r="G275" s="4">
        <v>9.2703762540762682</v>
      </c>
      <c r="H275" s="4">
        <v>9.5706553237157266</v>
      </c>
      <c r="I275" s="4">
        <v>9.8855248688612569</v>
      </c>
      <c r="J275" s="4">
        <v>10.22110661189118</v>
      </c>
      <c r="K275" s="4">
        <v>10.58207431800858</v>
      </c>
      <c r="L275" s="4">
        <v>10.964835253178256</v>
      </c>
      <c r="M275" s="4">
        <v>11.367846499279063</v>
      </c>
      <c r="N275" s="4">
        <v>11.795883026845605</v>
      </c>
      <c r="O275" s="11">
        <f t="shared" si="3"/>
        <v>3.5017243307224E-2</v>
      </c>
      <c r="P275"/>
      <c r="Q275" s="11"/>
    </row>
    <row r="276" spans="1:17" x14ac:dyDescent="0.35">
      <c r="A276" s="3" t="s">
        <v>29</v>
      </c>
      <c r="B276" s="4">
        <v>19.42845721109402</v>
      </c>
      <c r="C276" s="4">
        <v>20.441305702014738</v>
      </c>
      <c r="D276" s="4">
        <v>21.512552099815991</v>
      </c>
      <c r="E276" s="4">
        <v>22.652460239674308</v>
      </c>
      <c r="F276" s="4">
        <v>23.873421121287787</v>
      </c>
      <c r="G276" s="4">
        <v>25.176984238704534</v>
      </c>
      <c r="H276" s="4">
        <v>26.558699992644016</v>
      </c>
      <c r="I276" s="4">
        <v>28.040050011747574</v>
      </c>
      <c r="J276" s="4">
        <v>29.647617105765466</v>
      </c>
      <c r="K276" s="4">
        <v>31.366436275544856</v>
      </c>
      <c r="L276" s="4">
        <v>33.226520086784802</v>
      </c>
      <c r="M276" s="4">
        <v>35.23114390598775</v>
      </c>
      <c r="N276" s="4">
        <v>37.39410990134639</v>
      </c>
      <c r="O276" s="11">
        <f t="shared" si="3"/>
        <v>5.8139153588460543E-2</v>
      </c>
      <c r="P276"/>
      <c r="Q276" s="11"/>
    </row>
    <row r="277" spans="1:17" x14ac:dyDescent="0.35">
      <c r="A277" s="3" t="s">
        <v>31</v>
      </c>
      <c r="B277" s="4">
        <v>11.808340301178067</v>
      </c>
      <c r="C277" s="4">
        <v>12.34081416334754</v>
      </c>
      <c r="D277" s="4">
        <v>12.92701432170086</v>
      </c>
      <c r="E277" s="4">
        <v>13.548489706582213</v>
      </c>
      <c r="F277" s="4">
        <v>14.209339044538018</v>
      </c>
      <c r="G277" s="4">
        <v>14.909600755270523</v>
      </c>
      <c r="H277" s="4">
        <v>15.649128177685407</v>
      </c>
      <c r="I277" s="4">
        <v>16.433290019644645</v>
      </c>
      <c r="J277" s="4">
        <v>17.273956070066259</v>
      </c>
      <c r="K277" s="4">
        <v>18.181277796292289</v>
      </c>
      <c r="L277" s="4">
        <v>19.151797931208737</v>
      </c>
      <c r="M277" s="4">
        <v>20.185312971734927</v>
      </c>
      <c r="N277" s="4">
        <v>21.292735106711433</v>
      </c>
      <c r="O277" s="11">
        <f t="shared" ref="O277:O340" si="4">IFERROR(RATE(2033-2026,,-G277,N277),"")</f>
        <v>5.2226773734627446E-2</v>
      </c>
      <c r="P277"/>
      <c r="Q277" s="11"/>
    </row>
    <row r="278" spans="1:17" x14ac:dyDescent="0.35">
      <c r="A278" s="3" t="s">
        <v>28</v>
      </c>
      <c r="B278" s="4">
        <v>31.534016564032058</v>
      </c>
      <c r="C278" s="4">
        <v>32.690285053475016</v>
      </c>
      <c r="D278" s="4">
        <v>33.969044274382526</v>
      </c>
      <c r="E278" s="4">
        <v>35.306695257906782</v>
      </c>
      <c r="F278" s="4">
        <v>36.697538994690348</v>
      </c>
      <c r="G278" s="4">
        <v>38.140582024391435</v>
      </c>
      <c r="H278" s="4">
        <v>39.63568883811098</v>
      </c>
      <c r="I278" s="4">
        <v>41.15408159432873</v>
      </c>
      <c r="J278" s="4">
        <v>42.758437704834535</v>
      </c>
      <c r="K278" s="4">
        <v>44.494344000653982</v>
      </c>
      <c r="L278" s="4">
        <v>46.312131174623218</v>
      </c>
      <c r="M278" s="4">
        <v>48.184115269223398</v>
      </c>
      <c r="N278" s="4">
        <v>50.123738566373248</v>
      </c>
      <c r="O278" s="11">
        <f t="shared" si="4"/>
        <v>3.9802547589504043E-2</v>
      </c>
      <c r="P278"/>
      <c r="Q278" s="11"/>
    </row>
    <row r="279" spans="1:17" x14ac:dyDescent="0.35">
      <c r="A279" s="3" t="s">
        <v>33</v>
      </c>
      <c r="B279" s="4">
        <v>4.3772184932303873</v>
      </c>
      <c r="C279" s="4">
        <v>4.5380143725228947</v>
      </c>
      <c r="D279" s="4">
        <v>4.7098889839180726</v>
      </c>
      <c r="E279" s="4">
        <v>4.8914037177068526</v>
      </c>
      <c r="F279" s="4">
        <v>5.0863589877630391</v>
      </c>
      <c r="G279" s="4">
        <v>5.2963185119730678</v>
      </c>
      <c r="H279" s="4">
        <v>5.5196483731698454</v>
      </c>
      <c r="I279" s="4">
        <v>5.7643381943935799</v>
      </c>
      <c r="J279" s="4">
        <v>6.0276619698138658</v>
      </c>
      <c r="K279" s="4">
        <v>6.3085796510384018</v>
      </c>
      <c r="L279" s="4">
        <v>6.614591430305409</v>
      </c>
      <c r="M279" s="4">
        <v>6.9419294235204756</v>
      </c>
      <c r="N279" s="4">
        <v>7.2959285674280814</v>
      </c>
      <c r="O279" s="11">
        <f t="shared" si="4"/>
        <v>4.682082578016012E-2</v>
      </c>
      <c r="P279"/>
      <c r="Q279" s="11"/>
    </row>
    <row r="280" spans="1:17" x14ac:dyDescent="0.35">
      <c r="A280" s="2" t="s">
        <v>34</v>
      </c>
      <c r="O280" s="11" t="str">
        <f t="shared" si="4"/>
        <v/>
      </c>
      <c r="P280"/>
      <c r="Q280" s="11"/>
    </row>
    <row r="281" spans="1:17" x14ac:dyDescent="0.35">
      <c r="A281" s="3" t="s">
        <v>36</v>
      </c>
      <c r="B281" s="4">
        <v>32.622787348534651</v>
      </c>
      <c r="C281" s="4">
        <v>34.279424408271012</v>
      </c>
      <c r="D281" s="4">
        <v>36.053497033987817</v>
      </c>
      <c r="E281" s="4">
        <v>37.94231156402374</v>
      </c>
      <c r="F281" s="4">
        <v>39.944151114539089</v>
      </c>
      <c r="G281" s="4">
        <v>42.079647605128407</v>
      </c>
      <c r="H281" s="4">
        <v>44.393860109562958</v>
      </c>
      <c r="I281" s="4">
        <v>46.877563804943868</v>
      </c>
      <c r="J281" s="4">
        <v>49.561772657426765</v>
      </c>
      <c r="K281" s="4">
        <v>52.450212726877723</v>
      </c>
      <c r="L281" s="4">
        <v>55.543539507890401</v>
      </c>
      <c r="M281" s="4">
        <v>58.899059560128244</v>
      </c>
      <c r="N281" s="4">
        <v>62.545307304699385</v>
      </c>
      <c r="O281" s="11">
        <f t="shared" si="4"/>
        <v>5.8251634856863417E-2</v>
      </c>
      <c r="P281"/>
      <c r="Q281" s="11"/>
    </row>
    <row r="282" spans="1:17" x14ac:dyDescent="0.35">
      <c r="A282" s="3" t="s">
        <v>37</v>
      </c>
      <c r="B282" s="4">
        <v>21.092032087481204</v>
      </c>
      <c r="C282" s="4">
        <v>22.040126183031504</v>
      </c>
      <c r="D282" s="4">
        <v>23.083907834535719</v>
      </c>
      <c r="E282" s="4">
        <v>24.190389291349945</v>
      </c>
      <c r="F282" s="4">
        <v>25.366862696418213</v>
      </c>
      <c r="G282" s="4">
        <v>26.613367642978314</v>
      </c>
      <c r="H282" s="4">
        <v>27.929613314166662</v>
      </c>
      <c r="I282" s="4">
        <v>29.325152520914187</v>
      </c>
      <c r="J282" s="4">
        <v>30.821134011459314</v>
      </c>
      <c r="K282" s="4">
        <v>32.435629096112308</v>
      </c>
      <c r="L282" s="4">
        <v>34.162421102616484</v>
      </c>
      <c r="M282" s="4">
        <v>36.001100667843062</v>
      </c>
      <c r="N282" s="4">
        <v>37.971083773689955</v>
      </c>
      <c r="O282" s="11">
        <f t="shared" si="4"/>
        <v>5.2084085813549175E-2</v>
      </c>
      <c r="P282"/>
      <c r="Q282" s="11"/>
    </row>
    <row r="283" spans="1:17" x14ac:dyDescent="0.35">
      <c r="A283" s="3" t="s">
        <v>35</v>
      </c>
      <c r="B283" s="4">
        <v>28.763453686466633</v>
      </c>
      <c r="C283" s="4">
        <v>29.735262763060902</v>
      </c>
      <c r="D283" s="4">
        <v>30.852629780834349</v>
      </c>
      <c r="E283" s="4">
        <v>32.021830634705267</v>
      </c>
      <c r="F283" s="4">
        <v>33.266952188050169</v>
      </c>
      <c r="G283" s="4">
        <v>34.565638006861349</v>
      </c>
      <c r="H283" s="4">
        <v>35.866498206252885</v>
      </c>
      <c r="I283" s="4">
        <v>37.205400025654427</v>
      </c>
      <c r="J283" s="4">
        <v>38.615720015100308</v>
      </c>
      <c r="K283" s="4">
        <v>40.148196974658092</v>
      </c>
      <c r="L283" s="4">
        <v>41.783594403129896</v>
      </c>
      <c r="M283" s="4">
        <v>43.445651721179161</v>
      </c>
      <c r="N283" s="4">
        <v>45.17008913377208</v>
      </c>
      <c r="O283" s="11">
        <f t="shared" si="4"/>
        <v>3.8964981946761124E-2</v>
      </c>
      <c r="P283"/>
      <c r="Q283" s="11"/>
    </row>
    <row r="284" spans="1:17" x14ac:dyDescent="0.35">
      <c r="A284" s="3" t="s">
        <v>38</v>
      </c>
      <c r="B284" s="4">
        <v>8.2764690141521022</v>
      </c>
      <c r="C284" s="4">
        <v>8.5892267912630729</v>
      </c>
      <c r="D284" s="4">
        <v>8.9221493545397195</v>
      </c>
      <c r="E284" s="4">
        <v>9.27365010013194</v>
      </c>
      <c r="F284" s="4">
        <v>9.6424379959507789</v>
      </c>
      <c r="G284" s="4">
        <v>10.03266031695429</v>
      </c>
      <c r="H284" s="4">
        <v>10.454064222298079</v>
      </c>
      <c r="I284" s="4">
        <v>10.903110302300842</v>
      </c>
      <c r="J284" s="4">
        <v>11.385760382107387</v>
      </c>
      <c r="K284" s="4">
        <v>11.901385006912397</v>
      </c>
      <c r="L284" s="4">
        <v>12.448654023033658</v>
      </c>
      <c r="M284" s="4">
        <v>13.038964582581743</v>
      </c>
      <c r="N284" s="4">
        <v>13.676751511926655</v>
      </c>
      <c r="O284" s="11">
        <f t="shared" si="4"/>
        <v>4.5258806997126512E-2</v>
      </c>
      <c r="P284"/>
      <c r="Q284" s="11"/>
    </row>
    <row r="285" spans="1:17" x14ac:dyDescent="0.35">
      <c r="A285" s="2" t="s">
        <v>22</v>
      </c>
      <c r="O285" s="11" t="str">
        <f t="shared" si="4"/>
        <v/>
      </c>
      <c r="P285"/>
      <c r="Q285" s="11"/>
    </row>
    <row r="286" spans="1:17" x14ac:dyDescent="0.35">
      <c r="A286" s="3" t="s">
        <v>39</v>
      </c>
      <c r="B286" s="4">
        <v>22.228202028296536</v>
      </c>
      <c r="C286" s="4">
        <v>23.506526649987222</v>
      </c>
      <c r="D286" s="4">
        <v>24.852476177181586</v>
      </c>
      <c r="E286" s="4">
        <v>26.293925863288763</v>
      </c>
      <c r="F286" s="4">
        <v>27.823465867103778</v>
      </c>
      <c r="G286" s="4">
        <v>29.414394586846015</v>
      </c>
      <c r="H286" s="4">
        <v>31.037368302086975</v>
      </c>
      <c r="I286" s="4">
        <v>32.602363301155023</v>
      </c>
      <c r="J286" s="4">
        <v>34.299623170146404</v>
      </c>
      <c r="K286" s="4">
        <v>36.13636694416779</v>
      </c>
      <c r="L286" s="4">
        <v>38.038659280714313</v>
      </c>
      <c r="M286" s="4">
        <v>39.942940062901968</v>
      </c>
      <c r="N286" s="4">
        <v>41.855572644726493</v>
      </c>
      <c r="O286" s="11">
        <f t="shared" si="4"/>
        <v>5.1682791553865869E-2</v>
      </c>
      <c r="P286"/>
      <c r="Q286" s="11"/>
    </row>
    <row r="287" spans="1:17" x14ac:dyDescent="0.35">
      <c r="A287" s="3" t="s">
        <v>41</v>
      </c>
      <c r="B287" s="4">
        <v>18.609104984496977</v>
      </c>
      <c r="C287" s="4">
        <v>19.127947263740513</v>
      </c>
      <c r="D287" s="4">
        <v>19.710143191194071</v>
      </c>
      <c r="E287" s="4">
        <v>20.315950240448039</v>
      </c>
      <c r="F287" s="4">
        <v>20.951470213423917</v>
      </c>
      <c r="G287" s="4">
        <v>21.628868489290795</v>
      </c>
      <c r="H287" s="4">
        <v>22.365468137070476</v>
      </c>
      <c r="I287" s="4">
        <v>23.17745223397803</v>
      </c>
      <c r="J287" s="4">
        <v>24.040502537753071</v>
      </c>
      <c r="K287" s="4">
        <v>24.958530722136096</v>
      </c>
      <c r="L287" s="4">
        <v>25.960480890922266</v>
      </c>
      <c r="M287" s="4">
        <v>27.055544908254191</v>
      </c>
      <c r="N287" s="4">
        <v>28.254161055742696</v>
      </c>
      <c r="O287" s="11">
        <f t="shared" si="4"/>
        <v>3.8911069775436832E-2</v>
      </c>
      <c r="P287"/>
      <c r="Q287" s="11"/>
    </row>
    <row r="288" spans="1:17" x14ac:dyDescent="0.35">
      <c r="A288" s="3" t="s">
        <v>40</v>
      </c>
      <c r="B288" s="4">
        <v>24.369755269678009</v>
      </c>
      <c r="C288" s="4">
        <v>25.204426588230987</v>
      </c>
      <c r="D288" s="4">
        <v>26.168596664512336</v>
      </c>
      <c r="E288" s="4">
        <v>27.188402309983168</v>
      </c>
      <c r="F288" s="4">
        <v>28.277991563882587</v>
      </c>
      <c r="G288" s="4">
        <v>29.434762473591128</v>
      </c>
      <c r="H288" s="4">
        <v>30.669459735553271</v>
      </c>
      <c r="I288" s="4">
        <v>32.0113374836193</v>
      </c>
      <c r="J288" s="4">
        <v>33.435868605144549</v>
      </c>
      <c r="K288" s="4">
        <v>34.975326191867921</v>
      </c>
      <c r="L288" s="4">
        <v>36.613432153387869</v>
      </c>
      <c r="M288" s="4">
        <v>38.372963346336398</v>
      </c>
      <c r="N288" s="4">
        <v>40.298313422499675</v>
      </c>
      <c r="O288" s="11">
        <f t="shared" si="4"/>
        <v>4.58983464602538E-2</v>
      </c>
      <c r="P288"/>
      <c r="Q288" s="11"/>
    </row>
    <row r="289" spans="1:17" x14ac:dyDescent="0.35">
      <c r="A289" s="3" t="s">
        <v>42</v>
      </c>
      <c r="B289" s="4">
        <v>25.547679854163064</v>
      </c>
      <c r="C289" s="4">
        <v>26.805139643667768</v>
      </c>
      <c r="D289" s="4">
        <v>28.180967971009611</v>
      </c>
      <c r="E289" s="4">
        <v>29.62990317649092</v>
      </c>
      <c r="F289" s="4">
        <v>31.167476350547972</v>
      </c>
      <c r="G289" s="4">
        <v>32.813288022194413</v>
      </c>
      <c r="H289" s="4">
        <v>34.571739677569859</v>
      </c>
      <c r="I289" s="4">
        <v>36.520073635060982</v>
      </c>
      <c r="J289" s="4">
        <v>38.608392753049756</v>
      </c>
      <c r="K289" s="4">
        <v>40.865199946388707</v>
      </c>
      <c r="L289" s="4">
        <v>43.325636711645991</v>
      </c>
      <c r="M289" s="4">
        <v>46.01332821423965</v>
      </c>
      <c r="N289" s="4">
        <v>48.955184601119221</v>
      </c>
      <c r="O289" s="11">
        <f t="shared" si="4"/>
        <v>5.8817906585962761E-2</v>
      </c>
      <c r="P289"/>
      <c r="Q289" s="11"/>
    </row>
    <row r="290" spans="1:17" x14ac:dyDescent="0.35">
      <c r="A290" s="1" t="s">
        <v>53</v>
      </c>
      <c r="O290" s="11" t="str">
        <f t="shared" si="4"/>
        <v/>
      </c>
      <c r="P290"/>
      <c r="Q290" s="11"/>
    </row>
    <row r="291" spans="1:17" x14ac:dyDescent="0.35">
      <c r="A291" s="2" t="s">
        <v>24</v>
      </c>
      <c r="O291" s="11" t="str">
        <f t="shared" si="4"/>
        <v/>
      </c>
      <c r="P291"/>
      <c r="Q291" s="11"/>
    </row>
    <row r="292" spans="1:17" x14ac:dyDescent="0.35">
      <c r="A292" s="3" t="s">
        <v>25</v>
      </c>
      <c r="B292" s="4">
        <v>6.4592528997697336</v>
      </c>
      <c r="C292" s="4">
        <v>6.630214035096377</v>
      </c>
      <c r="D292" s="4">
        <v>6.8216649935187874</v>
      </c>
      <c r="E292" s="4">
        <v>7.0225651484776161</v>
      </c>
      <c r="F292" s="4">
        <v>7.2343039636903264</v>
      </c>
      <c r="G292" s="4">
        <v>7.4560816421383773</v>
      </c>
      <c r="H292" s="4">
        <v>7.6870364127014712</v>
      </c>
      <c r="I292" s="4">
        <v>7.9290518452053487</v>
      </c>
      <c r="J292" s="4">
        <v>8.1869909219554415</v>
      </c>
      <c r="K292" s="4">
        <v>8.4645300558390613</v>
      </c>
      <c r="L292" s="4">
        <v>8.7587130658977213</v>
      </c>
      <c r="M292" s="4">
        <v>9.0682371280144061</v>
      </c>
      <c r="N292" s="4">
        <v>9.3968461835199744</v>
      </c>
      <c r="O292" s="11">
        <f t="shared" si="4"/>
        <v>3.3601345908023335E-2</v>
      </c>
      <c r="P292"/>
      <c r="Q292" s="11"/>
    </row>
    <row r="293" spans="1:17" x14ac:dyDescent="0.35">
      <c r="A293" s="3" t="s">
        <v>26</v>
      </c>
      <c r="B293" s="4">
        <v>69.941110795065086</v>
      </c>
      <c r="C293" s="4">
        <v>71.840114013613928</v>
      </c>
      <c r="D293" s="4">
        <v>73.901479064624155</v>
      </c>
      <c r="E293" s="4">
        <v>76.16384483679839</v>
      </c>
      <c r="F293" s="4">
        <v>78.58187591401223</v>
      </c>
      <c r="G293" s="4">
        <v>81.289649104472119</v>
      </c>
      <c r="H293" s="4">
        <v>84.134700114426778</v>
      </c>
      <c r="I293" s="4">
        <v>87.297291149056136</v>
      </c>
      <c r="J293" s="4">
        <v>90.719958961167251</v>
      </c>
      <c r="K293" s="4">
        <v>94.427997633582251</v>
      </c>
      <c r="L293" s="4">
        <v>98.504848395664339</v>
      </c>
      <c r="M293" s="4">
        <v>102.99354734335652</v>
      </c>
      <c r="N293" s="4">
        <v>107.87827224623697</v>
      </c>
      <c r="O293" s="11">
        <f t="shared" si="4"/>
        <v>4.1254669269363588E-2</v>
      </c>
      <c r="P293"/>
      <c r="Q293" s="11"/>
    </row>
    <row r="294" spans="1:17" x14ac:dyDescent="0.35">
      <c r="A294" s="2" t="s">
        <v>27</v>
      </c>
      <c r="O294" s="11" t="str">
        <f t="shared" si="4"/>
        <v/>
      </c>
      <c r="P294"/>
      <c r="Q294" s="11"/>
    </row>
    <row r="295" spans="1:17" x14ac:dyDescent="0.35">
      <c r="A295" s="3" t="s">
        <v>30</v>
      </c>
      <c r="B295" s="4">
        <v>13.51911736007845</v>
      </c>
      <c r="C295" s="4">
        <v>14.098656799993666</v>
      </c>
      <c r="D295" s="4">
        <v>14.726747773101696</v>
      </c>
      <c r="E295" s="4">
        <v>15.407533858445108</v>
      </c>
      <c r="F295" s="4">
        <v>16.124860199020311</v>
      </c>
      <c r="G295" s="4">
        <v>16.916831022294939</v>
      </c>
      <c r="H295" s="4">
        <v>17.766566102979777</v>
      </c>
      <c r="I295" s="4">
        <v>18.687553892458823</v>
      </c>
      <c r="J295" s="4">
        <v>19.684741568179025</v>
      </c>
      <c r="K295" s="4">
        <v>20.766645320168944</v>
      </c>
      <c r="L295" s="4">
        <v>21.947627920876922</v>
      </c>
      <c r="M295" s="4">
        <v>23.249737008946521</v>
      </c>
      <c r="N295" s="4">
        <v>24.672315504192426</v>
      </c>
      <c r="O295" s="11">
        <f t="shared" si="4"/>
        <v>5.5390025991136273E-2</v>
      </c>
      <c r="P295"/>
      <c r="Q295" s="11"/>
    </row>
    <row r="296" spans="1:17" x14ac:dyDescent="0.35">
      <c r="A296" s="3" t="s">
        <v>32</v>
      </c>
      <c r="B296" s="4">
        <v>7.0937623976824566</v>
      </c>
      <c r="C296" s="4">
        <v>7.2121587477503279</v>
      </c>
      <c r="D296" s="4">
        <v>7.3524021622214581</v>
      </c>
      <c r="E296" s="4">
        <v>7.50380850016015</v>
      </c>
      <c r="F296" s="4">
        <v>7.6633848630788384</v>
      </c>
      <c r="G296" s="4">
        <v>7.8369113178331009</v>
      </c>
      <c r="H296" s="4">
        <v>8.0168666897300866</v>
      </c>
      <c r="I296" s="4">
        <v>8.208849128786003</v>
      </c>
      <c r="J296" s="4">
        <v>8.4142007539888883</v>
      </c>
      <c r="K296" s="4">
        <v>8.6364434883692116</v>
      </c>
      <c r="L296" s="4">
        <v>8.8744686628898588</v>
      </c>
      <c r="M296" s="4">
        <v>9.1320473898854129</v>
      </c>
      <c r="N296" s="4">
        <v>9.4058162538512153</v>
      </c>
      <c r="O296" s="11">
        <f t="shared" si="4"/>
        <v>2.6411835329412159E-2</v>
      </c>
      <c r="P296"/>
      <c r="Q296" s="11"/>
    </row>
    <row r="297" spans="1:17" x14ac:dyDescent="0.35">
      <c r="A297" s="3" t="s">
        <v>29</v>
      </c>
      <c r="B297" s="4">
        <v>15.470613302525997</v>
      </c>
      <c r="C297" s="4">
        <v>16.064148742162271</v>
      </c>
      <c r="D297" s="4">
        <v>16.705254082201037</v>
      </c>
      <c r="E297" s="4">
        <v>17.397606455156147</v>
      </c>
      <c r="F297" s="4">
        <v>18.124377190170783</v>
      </c>
      <c r="G297" s="4">
        <v>18.924315273233898</v>
      </c>
      <c r="H297" s="4">
        <v>19.780665012190223</v>
      </c>
      <c r="I297" s="4">
        <v>20.705575285861912</v>
      </c>
      <c r="J297" s="4">
        <v>21.705263329399745</v>
      </c>
      <c r="K297" s="4">
        <v>22.787956310967605</v>
      </c>
      <c r="L297" s="4">
        <v>23.966958154930506</v>
      </c>
      <c r="M297" s="4">
        <v>25.262124744759472</v>
      </c>
      <c r="N297" s="4">
        <v>26.674240315209151</v>
      </c>
      <c r="O297" s="11">
        <f t="shared" si="4"/>
        <v>5.0257964292613581E-2</v>
      </c>
      <c r="P297"/>
      <c r="Q297" s="11"/>
    </row>
    <row r="298" spans="1:17" x14ac:dyDescent="0.35">
      <c r="A298" s="3" t="s">
        <v>31</v>
      </c>
      <c r="B298" s="4">
        <v>10.720923711725366</v>
      </c>
      <c r="C298" s="4">
        <v>11.077643657799264</v>
      </c>
      <c r="D298" s="4">
        <v>11.460341931291229</v>
      </c>
      <c r="E298" s="4">
        <v>11.874788379525464</v>
      </c>
      <c r="F298" s="4">
        <v>12.314621812450319</v>
      </c>
      <c r="G298" s="4">
        <v>12.798118973293606</v>
      </c>
      <c r="H298" s="4">
        <v>13.304144301171359</v>
      </c>
      <c r="I298" s="4">
        <v>13.853025110330663</v>
      </c>
      <c r="J298" s="4">
        <v>14.446524722711098</v>
      </c>
      <c r="K298" s="4">
        <v>15.074941581466094</v>
      </c>
      <c r="L298" s="4">
        <v>15.757931315942404</v>
      </c>
      <c r="M298" s="4">
        <v>16.510963214866713</v>
      </c>
      <c r="N298" s="4">
        <v>17.31859702512028</v>
      </c>
      <c r="O298" s="11">
        <f t="shared" si="4"/>
        <v>4.4159038009583575E-2</v>
      </c>
      <c r="P298"/>
      <c r="Q298" s="11"/>
    </row>
    <row r="299" spans="1:17" x14ac:dyDescent="0.35">
      <c r="A299" s="3" t="s">
        <v>28</v>
      </c>
      <c r="B299" s="4">
        <v>26.471979788563942</v>
      </c>
      <c r="C299" s="4">
        <v>26.805081532432503</v>
      </c>
      <c r="D299" s="4">
        <v>27.17096022367739</v>
      </c>
      <c r="E299" s="4">
        <v>27.592801443957946</v>
      </c>
      <c r="F299" s="4">
        <v>28.070472437996507</v>
      </c>
      <c r="G299" s="4">
        <v>28.631969230507991</v>
      </c>
      <c r="H299" s="4">
        <v>29.191747330193223</v>
      </c>
      <c r="I299" s="4">
        <v>29.875144982540405</v>
      </c>
      <c r="J299" s="4">
        <v>30.61459193382143</v>
      </c>
      <c r="K299" s="4">
        <v>31.431396848787287</v>
      </c>
      <c r="L299" s="4">
        <v>32.354737593957282</v>
      </c>
      <c r="M299" s="4">
        <v>33.361678389534916</v>
      </c>
      <c r="N299" s="4">
        <v>34.46268388033414</v>
      </c>
      <c r="O299" s="11">
        <f t="shared" si="4"/>
        <v>2.6832714821962388E-2</v>
      </c>
      <c r="P299"/>
      <c r="Q299" s="11"/>
    </row>
    <row r="300" spans="1:17" x14ac:dyDescent="0.35">
      <c r="A300" s="3" t="s">
        <v>33</v>
      </c>
      <c r="B300" s="4">
        <v>3.1239671342586153</v>
      </c>
      <c r="C300" s="4">
        <v>3.2126385685722654</v>
      </c>
      <c r="D300" s="4">
        <v>3.3074378856501236</v>
      </c>
      <c r="E300" s="4">
        <v>3.4098713480311909</v>
      </c>
      <c r="F300" s="4">
        <v>3.5184633749858061</v>
      </c>
      <c r="G300" s="4">
        <v>3.6375849294469624</v>
      </c>
      <c r="H300" s="4">
        <v>3.7617470908635831</v>
      </c>
      <c r="I300" s="4">
        <v>3.8961945942836889</v>
      </c>
      <c r="J300" s="4">
        <v>4.0416275750225008</v>
      </c>
      <c r="K300" s="4">
        <v>4.1951441396621769</v>
      </c>
      <c r="L300" s="4">
        <v>4.3618378129650974</v>
      </c>
      <c r="M300" s="4">
        <v>4.5452337233778959</v>
      </c>
      <c r="N300" s="4">
        <v>4.7414654510497352</v>
      </c>
      <c r="O300" s="11">
        <f t="shared" si="4"/>
        <v>3.8586751597510301E-2</v>
      </c>
      <c r="P300"/>
      <c r="Q300" s="11"/>
    </row>
    <row r="301" spans="1:17" x14ac:dyDescent="0.35">
      <c r="A301" s="2" t="s">
        <v>34</v>
      </c>
      <c r="O301" s="11" t="str">
        <f t="shared" si="4"/>
        <v/>
      </c>
      <c r="P301"/>
      <c r="Q301" s="11"/>
    </row>
    <row r="302" spans="1:17" x14ac:dyDescent="0.35">
      <c r="A302" s="3" t="s">
        <v>36</v>
      </c>
      <c r="B302" s="4">
        <v>27.365589854512812</v>
      </c>
      <c r="C302" s="4">
        <v>28.327374707725195</v>
      </c>
      <c r="D302" s="4">
        <v>29.386302039412854</v>
      </c>
      <c r="E302" s="4">
        <v>30.549700976446644</v>
      </c>
      <c r="F302" s="4">
        <v>31.803476262676568</v>
      </c>
      <c r="G302" s="4">
        <v>33.202420703626593</v>
      </c>
      <c r="H302" s="4">
        <v>34.69742453031516</v>
      </c>
      <c r="I302" s="4">
        <v>36.372148005996088</v>
      </c>
      <c r="J302" s="4">
        <v>38.173757269364259</v>
      </c>
      <c r="K302" s="4">
        <v>40.125854511086338</v>
      </c>
      <c r="L302" s="4">
        <v>42.274765834774513</v>
      </c>
      <c r="M302" s="4">
        <v>44.665133878101038</v>
      </c>
      <c r="N302" s="4">
        <v>47.295248112138921</v>
      </c>
      <c r="O302" s="11">
        <f t="shared" si="4"/>
        <v>5.1839994174746079E-2</v>
      </c>
      <c r="P302"/>
      <c r="Q302" s="11"/>
    </row>
    <row r="303" spans="1:17" x14ac:dyDescent="0.35">
      <c r="A303" s="3" t="s">
        <v>37</v>
      </c>
      <c r="B303" s="4">
        <v>16.602113654538808</v>
      </c>
      <c r="C303" s="4">
        <v>17.159767275622013</v>
      </c>
      <c r="D303" s="4">
        <v>17.750808390356838</v>
      </c>
      <c r="E303" s="4">
        <v>18.396892493955278</v>
      </c>
      <c r="F303" s="4">
        <v>19.085518404801054</v>
      </c>
      <c r="G303" s="4">
        <v>19.846379718961519</v>
      </c>
      <c r="H303" s="4">
        <v>20.64390364331334</v>
      </c>
      <c r="I303" s="4">
        <v>21.509682222013044</v>
      </c>
      <c r="J303" s="4">
        <v>22.444333695558029</v>
      </c>
      <c r="K303" s="4">
        <v>23.451587978038585</v>
      </c>
      <c r="L303" s="4">
        <v>24.557768567977984</v>
      </c>
      <c r="M303" s="4">
        <v>25.767447047921717</v>
      </c>
      <c r="N303" s="4">
        <v>27.062308904685455</v>
      </c>
      <c r="O303" s="11">
        <f t="shared" si="4"/>
        <v>4.5298933352126224E-2</v>
      </c>
      <c r="P303"/>
      <c r="Q303" s="11"/>
    </row>
    <row r="304" spans="1:17" x14ac:dyDescent="0.35">
      <c r="A304" s="3" t="s">
        <v>35</v>
      </c>
      <c r="B304" s="4">
        <v>24.689047457703175</v>
      </c>
      <c r="C304" s="4">
        <v>25.029230001108459</v>
      </c>
      <c r="D304" s="4">
        <v>25.40721306370704</v>
      </c>
      <c r="E304" s="4">
        <v>25.815863654219186</v>
      </c>
      <c r="F304" s="4">
        <v>26.242587806601449</v>
      </c>
      <c r="G304" s="4">
        <v>26.725388336219083</v>
      </c>
      <c r="H304" s="4">
        <v>27.209579392681306</v>
      </c>
      <c r="I304" s="4">
        <v>27.750090000204594</v>
      </c>
      <c r="J304" s="4">
        <v>28.345704281057991</v>
      </c>
      <c r="K304" s="4">
        <v>28.996351291030564</v>
      </c>
      <c r="L304" s="4">
        <v>29.701133360781427</v>
      </c>
      <c r="M304" s="4">
        <v>30.451748786881836</v>
      </c>
      <c r="N304" s="4">
        <v>31.26277382685025</v>
      </c>
      <c r="O304" s="11">
        <f t="shared" si="4"/>
        <v>2.265481894256198E-2</v>
      </c>
      <c r="P304"/>
      <c r="Q304" s="11"/>
    </row>
    <row r="305" spans="1:17" x14ac:dyDescent="0.35">
      <c r="A305" s="3" t="s">
        <v>38</v>
      </c>
      <c r="B305" s="4">
        <v>7.7436127280800333</v>
      </c>
      <c r="C305" s="4">
        <v>7.9539560642546334</v>
      </c>
      <c r="D305" s="4">
        <v>8.1788205646662018</v>
      </c>
      <c r="E305" s="4">
        <v>8.4239528606548895</v>
      </c>
      <c r="F305" s="4">
        <v>8.6845974036234992</v>
      </c>
      <c r="G305" s="4">
        <v>8.9715419878032954</v>
      </c>
      <c r="H305" s="4">
        <v>9.2708289608184451</v>
      </c>
      <c r="I305" s="4">
        <v>9.5944227660477619</v>
      </c>
      <c r="J305" s="4">
        <v>9.9431546371424098</v>
      </c>
      <c r="K305" s="4">
        <v>10.318733909265834</v>
      </c>
      <c r="L305" s="4">
        <v>10.729893698028128</v>
      </c>
      <c r="M305" s="4">
        <v>11.177454758466345</v>
      </c>
      <c r="N305" s="4">
        <v>11.654787586082321</v>
      </c>
      <c r="O305" s="11">
        <f t="shared" si="4"/>
        <v>3.8087342135075086E-2</v>
      </c>
      <c r="P305"/>
      <c r="Q305" s="11"/>
    </row>
    <row r="306" spans="1:17" x14ac:dyDescent="0.35">
      <c r="A306" s="2" t="s">
        <v>22</v>
      </c>
      <c r="O306" s="11" t="str">
        <f t="shared" si="4"/>
        <v/>
      </c>
      <c r="P306"/>
      <c r="Q306" s="11"/>
    </row>
    <row r="307" spans="1:17" x14ac:dyDescent="0.35">
      <c r="A307" s="3" t="s">
        <v>39</v>
      </c>
      <c r="B307" s="4">
        <v>19.9010644062488</v>
      </c>
      <c r="C307" s="4">
        <v>20.310026948138741</v>
      </c>
      <c r="D307" s="4">
        <v>20.753415397029585</v>
      </c>
      <c r="E307" s="4">
        <v>21.27972128416944</v>
      </c>
      <c r="F307" s="4">
        <v>21.840217778875299</v>
      </c>
      <c r="G307" s="4">
        <v>22.533656255380393</v>
      </c>
      <c r="H307" s="4">
        <v>23.254354762349351</v>
      </c>
      <c r="I307" s="4">
        <v>24.099150056460914</v>
      </c>
      <c r="J307" s="4">
        <v>25.019945027917814</v>
      </c>
      <c r="K307" s="4">
        <v>26.045656630427558</v>
      </c>
      <c r="L307" s="4">
        <v>27.214542944242964</v>
      </c>
      <c r="M307" s="4">
        <v>28.549265200743164</v>
      </c>
      <c r="N307" s="4">
        <v>30.014724792485296</v>
      </c>
      <c r="O307" s="11">
        <f t="shared" si="4"/>
        <v>4.1804190756318915E-2</v>
      </c>
      <c r="P307"/>
      <c r="Q307" s="11"/>
    </row>
    <row r="308" spans="1:17" x14ac:dyDescent="0.35">
      <c r="A308" s="3" t="s">
        <v>41</v>
      </c>
      <c r="B308" s="4">
        <v>13.178955580557171</v>
      </c>
      <c r="C308" s="4">
        <v>13.408130847857244</v>
      </c>
      <c r="D308" s="4">
        <v>13.694973518439191</v>
      </c>
      <c r="E308" s="4">
        <v>13.997766378011066</v>
      </c>
      <c r="F308" s="4">
        <v>14.322720421588558</v>
      </c>
      <c r="G308" s="4">
        <v>14.667128864395766</v>
      </c>
      <c r="H308" s="4">
        <v>15.035069902638517</v>
      </c>
      <c r="I308" s="4">
        <v>15.439394339983448</v>
      </c>
      <c r="J308" s="4">
        <v>15.866139537311536</v>
      </c>
      <c r="K308" s="4">
        <v>16.329133960113893</v>
      </c>
      <c r="L308" s="4">
        <v>16.818603605895685</v>
      </c>
      <c r="M308" s="4">
        <v>17.343279736129897</v>
      </c>
      <c r="N308" s="4">
        <v>17.921051028418262</v>
      </c>
      <c r="O308" s="11">
        <f t="shared" si="4"/>
        <v>2.9037485795635358E-2</v>
      </c>
      <c r="P308"/>
      <c r="Q308" s="11"/>
    </row>
    <row r="309" spans="1:17" x14ac:dyDescent="0.35">
      <c r="A309" s="3" t="s">
        <v>40</v>
      </c>
      <c r="B309" s="4">
        <v>20.376621481502582</v>
      </c>
      <c r="C309" s="4">
        <v>20.823305448592983</v>
      </c>
      <c r="D309" s="4">
        <v>21.311897748711406</v>
      </c>
      <c r="E309" s="4">
        <v>21.852861987208872</v>
      </c>
      <c r="F309" s="4">
        <v>22.432349420031453</v>
      </c>
      <c r="G309" s="4">
        <v>23.088000375571074</v>
      </c>
      <c r="H309" s="4">
        <v>23.775304035257655</v>
      </c>
      <c r="I309" s="4">
        <v>24.544662205691537</v>
      </c>
      <c r="J309" s="4">
        <v>25.378615435874782</v>
      </c>
      <c r="K309" s="4">
        <v>26.283195484781515</v>
      </c>
      <c r="L309" s="4">
        <v>27.28048792710204</v>
      </c>
      <c r="M309" s="4">
        <v>28.380934807996333</v>
      </c>
      <c r="N309" s="4">
        <v>29.578537048991674</v>
      </c>
      <c r="O309" s="11">
        <f t="shared" si="4"/>
        <v>3.6024564363645095E-2</v>
      </c>
      <c r="P309"/>
      <c r="Q309" s="11"/>
    </row>
    <row r="310" spans="1:17" x14ac:dyDescent="0.35">
      <c r="A310" s="3" t="s">
        <v>42</v>
      </c>
      <c r="B310" s="4">
        <v>22.943722226526269</v>
      </c>
      <c r="C310" s="4">
        <v>23.928864804121329</v>
      </c>
      <c r="D310" s="4">
        <v>24.962857393962754</v>
      </c>
      <c r="E310" s="4">
        <v>26.05606033588662</v>
      </c>
      <c r="F310" s="4">
        <v>27.220892257207254</v>
      </c>
      <c r="G310" s="4">
        <v>28.456945251263253</v>
      </c>
      <c r="H310" s="4">
        <v>29.757007826882727</v>
      </c>
      <c r="I310" s="4">
        <v>31.143136392125584</v>
      </c>
      <c r="J310" s="4">
        <v>32.642249882018554</v>
      </c>
      <c r="K310" s="4">
        <v>34.234541614098347</v>
      </c>
      <c r="L310" s="4">
        <v>35.94992698432138</v>
      </c>
      <c r="M310" s="4">
        <v>37.788304726501543</v>
      </c>
      <c r="N310" s="4">
        <v>39.760805559861709</v>
      </c>
      <c r="O310" s="11">
        <f t="shared" si="4"/>
        <v>4.8944267236940758E-2</v>
      </c>
      <c r="P310"/>
      <c r="Q310" s="11"/>
    </row>
    <row r="311" spans="1:17" x14ac:dyDescent="0.35">
      <c r="A311" s="1" t="s">
        <v>54</v>
      </c>
      <c r="O311" s="11" t="str">
        <f t="shared" si="4"/>
        <v/>
      </c>
      <c r="P311"/>
      <c r="Q311" s="11"/>
    </row>
    <row r="312" spans="1:17" x14ac:dyDescent="0.35">
      <c r="A312" s="2" t="s">
        <v>24</v>
      </c>
      <c r="O312" s="11" t="str">
        <f t="shared" si="4"/>
        <v/>
      </c>
      <c r="P312"/>
      <c r="Q312" s="11"/>
    </row>
    <row r="313" spans="1:17" x14ac:dyDescent="0.35">
      <c r="A313" s="3" t="s">
        <v>25</v>
      </c>
      <c r="B313" s="4">
        <v>4.4962315338278049</v>
      </c>
      <c r="C313" s="4">
        <v>4.5754694264991143</v>
      </c>
      <c r="D313" s="4">
        <v>4.6744225597852651</v>
      </c>
      <c r="E313" s="4">
        <v>4.7788653949427227</v>
      </c>
      <c r="F313" s="4">
        <v>4.890922139883048</v>
      </c>
      <c r="G313" s="4">
        <v>5.0096736969647981</v>
      </c>
      <c r="H313" s="4">
        <v>5.1365175881085339</v>
      </c>
      <c r="I313" s="4">
        <v>5.2758496422393844</v>
      </c>
      <c r="J313" s="4">
        <v>5.4229071688489618</v>
      </c>
      <c r="K313" s="4">
        <v>5.5824218902139435</v>
      </c>
      <c r="L313" s="4">
        <v>5.7510608751355781</v>
      </c>
      <c r="M313" s="4">
        <v>5.931815966941361</v>
      </c>
      <c r="N313" s="4">
        <v>6.1308137722954292</v>
      </c>
      <c r="O313" s="11">
        <f t="shared" si="4"/>
        <v>2.9271179131383499E-2</v>
      </c>
      <c r="P313"/>
      <c r="Q313" s="11"/>
    </row>
    <row r="314" spans="1:17" x14ac:dyDescent="0.35">
      <c r="A314" s="3" t="s">
        <v>26</v>
      </c>
      <c r="B314" s="4">
        <v>40.257100135234602</v>
      </c>
      <c r="C314" s="4">
        <v>41.274664023686121</v>
      </c>
      <c r="D314" s="4">
        <v>42.483199963241901</v>
      </c>
      <c r="E314" s="4">
        <v>43.757565363472061</v>
      </c>
      <c r="F314" s="4">
        <v>45.118506693276956</v>
      </c>
      <c r="G314" s="4">
        <v>46.559296092271225</v>
      </c>
      <c r="H314" s="4">
        <v>48.09450710945471</v>
      </c>
      <c r="I314" s="4">
        <v>49.767197238497609</v>
      </c>
      <c r="J314" s="4">
        <v>51.535284774372272</v>
      </c>
      <c r="K314" s="4">
        <v>53.445617155616169</v>
      </c>
      <c r="L314" s="4">
        <v>55.469195496196789</v>
      </c>
      <c r="M314" s="4">
        <v>57.637115925436575</v>
      </c>
      <c r="N314" s="4">
        <v>60.011822044149717</v>
      </c>
      <c r="O314" s="11">
        <f t="shared" si="4"/>
        <v>3.6924655374280899E-2</v>
      </c>
      <c r="P314"/>
      <c r="Q314" s="11"/>
    </row>
    <row r="315" spans="1:17" x14ac:dyDescent="0.35">
      <c r="A315" s="2" t="s">
        <v>27</v>
      </c>
      <c r="O315" s="11" t="str">
        <f t="shared" si="4"/>
        <v/>
      </c>
      <c r="P315"/>
      <c r="Q315" s="11"/>
    </row>
    <row r="316" spans="1:17" x14ac:dyDescent="0.35">
      <c r="A316" s="3" t="s">
        <v>30</v>
      </c>
      <c r="B316" s="4">
        <v>8.0372225330583156</v>
      </c>
      <c r="C316" s="4">
        <v>8.3180915912640661</v>
      </c>
      <c r="D316" s="4">
        <v>8.6216051470290029</v>
      </c>
      <c r="E316" s="4">
        <v>8.9527424072594854</v>
      </c>
      <c r="F316" s="4">
        <v>9.3067547058510751</v>
      </c>
      <c r="G316" s="4">
        <v>9.6999889331143301</v>
      </c>
      <c r="H316" s="4">
        <v>10.115085495718752</v>
      </c>
      <c r="I316" s="4">
        <v>10.574150469195679</v>
      </c>
      <c r="J316" s="4">
        <v>11.07115255480187</v>
      </c>
      <c r="K316" s="4">
        <v>11.609963808067247</v>
      </c>
      <c r="L316" s="4">
        <v>12.201709140981343</v>
      </c>
      <c r="M316" s="4">
        <v>12.8528274849068</v>
      </c>
      <c r="N316" s="4">
        <v>13.562587100160576</v>
      </c>
      <c r="O316" s="11">
        <f t="shared" si="4"/>
        <v>4.904930459852138E-2</v>
      </c>
      <c r="P316"/>
      <c r="Q316" s="11"/>
    </row>
    <row r="317" spans="1:17" x14ac:dyDescent="0.35">
      <c r="A317" s="3" t="s">
        <v>32</v>
      </c>
      <c r="B317" s="4">
        <v>3.6364831418822887</v>
      </c>
      <c r="C317" s="4">
        <v>3.6777605668596722</v>
      </c>
      <c r="D317" s="4">
        <v>3.7272552669341454</v>
      </c>
      <c r="E317" s="4">
        <v>3.7777453485727595</v>
      </c>
      <c r="F317" s="4">
        <v>3.8307222486200554</v>
      </c>
      <c r="G317" s="4">
        <v>3.8879387652938204</v>
      </c>
      <c r="H317" s="4">
        <v>3.9490588053335101</v>
      </c>
      <c r="I317" s="4">
        <v>4.0220653008190146</v>
      </c>
      <c r="J317" s="4">
        <v>4.0997457644155739</v>
      </c>
      <c r="K317" s="4">
        <v>4.1841373909478632</v>
      </c>
      <c r="L317" s="4">
        <v>4.2776085472352516</v>
      </c>
      <c r="M317" s="4">
        <v>4.3809789691836016</v>
      </c>
      <c r="N317" s="4">
        <v>4.4951721514650957</v>
      </c>
      <c r="O317" s="11">
        <f t="shared" si="4"/>
        <v>2.0948521681498574E-2</v>
      </c>
      <c r="P317"/>
      <c r="Q317" s="11"/>
    </row>
    <row r="318" spans="1:17" x14ac:dyDescent="0.35">
      <c r="A318" s="3" t="s">
        <v>29</v>
      </c>
      <c r="B318" s="4">
        <v>9.6397355106454228</v>
      </c>
      <c r="C318" s="4">
        <v>9.952279544379472</v>
      </c>
      <c r="D318" s="4">
        <v>10.314802991228497</v>
      </c>
      <c r="E318" s="4">
        <v>10.697923285733877</v>
      </c>
      <c r="F318" s="4">
        <v>11.107094143844837</v>
      </c>
      <c r="G318" s="4">
        <v>11.541151433559172</v>
      </c>
      <c r="H318" s="4">
        <v>12.004171833883385</v>
      </c>
      <c r="I318" s="4">
        <v>12.507447608364942</v>
      </c>
      <c r="J318" s="4">
        <v>13.041177987954798</v>
      </c>
      <c r="K318" s="4">
        <v>13.617784201952375</v>
      </c>
      <c r="L318" s="4">
        <v>14.230696424386037</v>
      </c>
      <c r="M318" s="4">
        <v>14.888569570015875</v>
      </c>
      <c r="N318" s="4">
        <v>15.608384655392278</v>
      </c>
      <c r="O318" s="11">
        <f t="shared" si="4"/>
        <v>4.4070515318722518E-2</v>
      </c>
      <c r="P318"/>
      <c r="Q318" s="11"/>
    </row>
    <row r="319" spans="1:17" x14ac:dyDescent="0.35">
      <c r="A319" s="3" t="s">
        <v>31</v>
      </c>
      <c r="B319" s="4">
        <v>5.8352356457390924</v>
      </c>
      <c r="C319" s="4">
        <v>6.0228457921770824</v>
      </c>
      <c r="D319" s="4">
        <v>6.2181366133910494</v>
      </c>
      <c r="E319" s="4">
        <v>6.4233791974326504</v>
      </c>
      <c r="F319" s="4">
        <v>6.6412521490436482</v>
      </c>
      <c r="G319" s="4">
        <v>6.8711866016057233</v>
      </c>
      <c r="H319" s="4">
        <v>7.1109852008150538</v>
      </c>
      <c r="I319" s="4">
        <v>7.3655264079964251</v>
      </c>
      <c r="J319" s="4">
        <v>7.640629901642308</v>
      </c>
      <c r="K319" s="4">
        <v>7.9309279339567258</v>
      </c>
      <c r="L319" s="4">
        <v>8.2427780991811481</v>
      </c>
      <c r="M319" s="4">
        <v>8.575383121085828</v>
      </c>
      <c r="N319" s="4">
        <v>8.9305121935062424</v>
      </c>
      <c r="O319" s="11">
        <f t="shared" si="4"/>
        <v>3.8158150308792292E-2</v>
      </c>
      <c r="P319"/>
      <c r="Q319" s="11"/>
    </row>
    <row r="320" spans="1:17" x14ac:dyDescent="0.35">
      <c r="A320" s="3" t="s">
        <v>28</v>
      </c>
      <c r="B320" s="4">
        <v>14.942479270737518</v>
      </c>
      <c r="C320" s="4">
        <v>15.160797306737098</v>
      </c>
      <c r="D320" s="4">
        <v>15.489211576464111</v>
      </c>
      <c r="E320" s="4">
        <v>15.826066777425694</v>
      </c>
      <c r="F320" s="4">
        <v>16.188052113293892</v>
      </c>
      <c r="G320" s="4">
        <v>16.551656644967643</v>
      </c>
      <c r="H320" s="4">
        <v>16.947782539776654</v>
      </c>
      <c r="I320" s="4">
        <v>17.374914572534081</v>
      </c>
      <c r="J320" s="4">
        <v>17.806241220234583</v>
      </c>
      <c r="K320" s="4">
        <v>18.277449240897703</v>
      </c>
      <c r="L320" s="4">
        <v>18.744879876182836</v>
      </c>
      <c r="M320" s="4">
        <v>19.225611914930425</v>
      </c>
      <c r="N320" s="4">
        <v>19.765429034123997</v>
      </c>
      <c r="O320" s="11">
        <f t="shared" si="4"/>
        <v>2.5673780915177399E-2</v>
      </c>
      <c r="P320"/>
      <c r="Q320" s="11"/>
    </row>
    <row r="321" spans="1:17" x14ac:dyDescent="0.35">
      <c r="A321" s="3" t="s">
        <v>33</v>
      </c>
      <c r="B321" s="4">
        <v>2.662175566999768</v>
      </c>
      <c r="C321" s="4">
        <v>2.7183586487678442</v>
      </c>
      <c r="D321" s="4">
        <v>2.7866109279803588</v>
      </c>
      <c r="E321" s="4">
        <v>2.8585737419903134</v>
      </c>
      <c r="F321" s="4">
        <v>2.9355534725064922</v>
      </c>
      <c r="G321" s="4">
        <v>3.0170474106953327</v>
      </c>
      <c r="H321" s="4">
        <v>3.1039408220358875</v>
      </c>
      <c r="I321" s="4">
        <v>3.198942521826849</v>
      </c>
      <c r="J321" s="4">
        <v>3.2992445141721127</v>
      </c>
      <c r="K321" s="4">
        <v>3.4077764700082001</v>
      </c>
      <c r="L321" s="4">
        <v>3.5225842833657546</v>
      </c>
      <c r="M321" s="4">
        <v>3.6455608322554021</v>
      </c>
      <c r="N321" s="4">
        <v>3.7805506817969534</v>
      </c>
      <c r="O321" s="11">
        <f t="shared" si="4"/>
        <v>3.275220955668174E-2</v>
      </c>
      <c r="P321"/>
      <c r="Q321" s="11"/>
    </row>
    <row r="322" spans="1:17" x14ac:dyDescent="0.35">
      <c r="A322" s="2" t="s">
        <v>34</v>
      </c>
      <c r="O322" s="11" t="str">
        <f t="shared" si="4"/>
        <v/>
      </c>
      <c r="P322"/>
      <c r="Q322" s="11"/>
    </row>
    <row r="323" spans="1:17" x14ac:dyDescent="0.35">
      <c r="A323" s="3" t="s">
        <v>36</v>
      </c>
      <c r="B323" s="4">
        <v>16.055013002384481</v>
      </c>
      <c r="C323" s="4">
        <v>16.585571275847517</v>
      </c>
      <c r="D323" s="4">
        <v>17.200066208949938</v>
      </c>
      <c r="E323" s="4">
        <v>17.849653592801065</v>
      </c>
      <c r="F323" s="4">
        <v>18.543496211335725</v>
      </c>
      <c r="G323" s="4">
        <v>19.27973018337342</v>
      </c>
      <c r="H323" s="4">
        <v>20.065241932573137</v>
      </c>
      <c r="I323" s="4">
        <v>20.918995330458674</v>
      </c>
      <c r="J323" s="4">
        <v>21.824720977045843</v>
      </c>
      <c r="K323" s="4">
        <v>22.803299401621118</v>
      </c>
      <c r="L323" s="4">
        <v>23.843859981899538</v>
      </c>
      <c r="M323" s="4">
        <v>24.961015378939955</v>
      </c>
      <c r="N323" s="4">
        <v>26.183371904213168</v>
      </c>
      <c r="O323" s="11">
        <f t="shared" si="4"/>
        <v>4.4694316057637358E-2</v>
      </c>
      <c r="P323"/>
      <c r="Q323" s="11"/>
    </row>
    <row r="324" spans="1:17" x14ac:dyDescent="0.35">
      <c r="A324" s="3" t="s">
        <v>37</v>
      </c>
      <c r="B324" s="4">
        <v>9.4592217392808156</v>
      </c>
      <c r="C324" s="4">
        <v>9.7641680736689658</v>
      </c>
      <c r="D324" s="4">
        <v>10.082814631722103</v>
      </c>
      <c r="E324" s="4">
        <v>10.41516097867466</v>
      </c>
      <c r="F324" s="4">
        <v>10.762029084896032</v>
      </c>
      <c r="G324" s="4">
        <v>11.127425935729367</v>
      </c>
      <c r="H324" s="4">
        <v>11.51763888279147</v>
      </c>
      <c r="I324" s="4">
        <v>11.928175803499785</v>
      </c>
      <c r="J324" s="4">
        <v>12.37114878808417</v>
      </c>
      <c r="K324" s="4">
        <v>12.84997811528658</v>
      </c>
      <c r="L324" s="4">
        <v>13.364204033484299</v>
      </c>
      <c r="M324" s="4">
        <v>13.908042418095391</v>
      </c>
      <c r="N324" s="4">
        <v>14.498351682572439</v>
      </c>
      <c r="O324" s="11">
        <f t="shared" si="4"/>
        <v>3.8526786174728093E-2</v>
      </c>
      <c r="P324"/>
      <c r="Q324" s="11"/>
    </row>
    <row r="325" spans="1:17" x14ac:dyDescent="0.35">
      <c r="A325" s="3" t="s">
        <v>35</v>
      </c>
      <c r="B325" s="4">
        <v>15.185804815135928</v>
      </c>
      <c r="C325" s="4">
        <v>15.344096776045099</v>
      </c>
      <c r="D325" s="4">
        <v>15.611174435412316</v>
      </c>
      <c r="E325" s="4">
        <v>15.896614647787999</v>
      </c>
      <c r="F325" s="4">
        <v>16.213056827710474</v>
      </c>
      <c r="G325" s="4">
        <v>16.549143101992193</v>
      </c>
      <c r="H325" s="4">
        <v>16.905200386725568</v>
      </c>
      <c r="I325" s="4">
        <v>17.316245715762207</v>
      </c>
      <c r="J325" s="4">
        <v>17.734783602548305</v>
      </c>
      <c r="K325" s="4">
        <v>18.186944727308983</v>
      </c>
      <c r="L325" s="4">
        <v>18.65217954768449</v>
      </c>
      <c r="M325" s="4">
        <v>19.15832625485038</v>
      </c>
      <c r="N325" s="4">
        <v>19.7219829372332</v>
      </c>
      <c r="O325" s="11">
        <f t="shared" si="4"/>
        <v>2.5373649317211037E-2</v>
      </c>
      <c r="P325"/>
      <c r="Q325" s="11"/>
    </row>
    <row r="326" spans="1:17" x14ac:dyDescent="0.35">
      <c r="A326" s="3" t="s">
        <v>38</v>
      </c>
      <c r="B326" s="4">
        <v>4.0532921122611789</v>
      </c>
      <c r="C326" s="4">
        <v>4.1562973246236492</v>
      </c>
      <c r="D326" s="4">
        <v>4.2635672469428076</v>
      </c>
      <c r="E326" s="4">
        <v>4.3750015391510599</v>
      </c>
      <c r="F326" s="4">
        <v>4.4908467092177675</v>
      </c>
      <c r="G326" s="4">
        <v>4.6126705681410431</v>
      </c>
      <c r="H326" s="4">
        <v>4.7429434954730709</v>
      </c>
      <c r="I326" s="4">
        <v>4.8796300310163288</v>
      </c>
      <c r="J326" s="4">
        <v>5.0275385755429207</v>
      </c>
      <c r="K326" s="4">
        <v>5.1878168016134261</v>
      </c>
      <c r="L326" s="4">
        <v>5.3600128082640373</v>
      </c>
      <c r="M326" s="4">
        <v>5.5415478404922087</v>
      </c>
      <c r="N326" s="4">
        <v>5.7389292924263433</v>
      </c>
      <c r="O326" s="11">
        <f t="shared" si="4"/>
        <v>3.1701500449008074E-2</v>
      </c>
      <c r="P326"/>
      <c r="Q326" s="11"/>
    </row>
    <row r="327" spans="1:17" x14ac:dyDescent="0.35">
      <c r="A327" s="2" t="s">
        <v>22</v>
      </c>
      <c r="O327" s="11" t="str">
        <f t="shared" si="4"/>
        <v/>
      </c>
      <c r="P327"/>
      <c r="Q327" s="11"/>
    </row>
    <row r="328" spans="1:17" x14ac:dyDescent="0.35">
      <c r="A328" s="3" t="s">
        <v>39</v>
      </c>
      <c r="B328" s="4">
        <v>12.334588858000998</v>
      </c>
      <c r="C328" s="4">
        <v>12.614756396280519</v>
      </c>
      <c r="D328" s="4">
        <v>13.039154734558217</v>
      </c>
      <c r="E328" s="4">
        <v>13.47045314172253</v>
      </c>
      <c r="F328" s="4">
        <v>13.932626872918377</v>
      </c>
      <c r="G328" s="4">
        <v>14.393422980620798</v>
      </c>
      <c r="H328" s="4">
        <v>14.902307583946005</v>
      </c>
      <c r="I328" s="4">
        <v>15.463380211466131</v>
      </c>
      <c r="J328" s="4">
        <v>16.021579310649365</v>
      </c>
      <c r="K328" s="4">
        <v>16.642804990390943</v>
      </c>
      <c r="L328" s="4">
        <v>17.262832083090075</v>
      </c>
      <c r="M328" s="4">
        <v>17.909954482838103</v>
      </c>
      <c r="N328" s="4">
        <v>18.645477314395507</v>
      </c>
      <c r="O328" s="11">
        <f t="shared" si="4"/>
        <v>3.7668153362903897E-2</v>
      </c>
      <c r="P328"/>
      <c r="Q328" s="11"/>
    </row>
    <row r="329" spans="1:17" x14ac:dyDescent="0.35">
      <c r="A329" s="3" t="s">
        <v>41</v>
      </c>
      <c r="B329" s="4">
        <v>8.1401116121038601</v>
      </c>
      <c r="C329" s="4">
        <v>8.2633422140164736</v>
      </c>
      <c r="D329" s="4">
        <v>8.4085670935000714</v>
      </c>
      <c r="E329" s="4">
        <v>8.5627404442884316</v>
      </c>
      <c r="F329" s="4">
        <v>8.7266453313864201</v>
      </c>
      <c r="G329" s="4">
        <v>8.9044942142671122</v>
      </c>
      <c r="H329" s="4">
        <v>9.0927127267577923</v>
      </c>
      <c r="I329" s="4">
        <v>9.2951660038754085</v>
      </c>
      <c r="J329" s="4">
        <v>9.5166023909168374</v>
      </c>
      <c r="K329" s="4">
        <v>9.7509482779785284</v>
      </c>
      <c r="L329" s="4">
        <v>10.003094114552132</v>
      </c>
      <c r="M329" s="4">
        <v>10.274474261604366</v>
      </c>
      <c r="N329" s="4">
        <v>10.571246588790654</v>
      </c>
      <c r="O329" s="11">
        <f t="shared" si="4"/>
        <v>2.4814539240010931E-2</v>
      </c>
      <c r="P329"/>
      <c r="Q329" s="11"/>
    </row>
    <row r="330" spans="1:17" x14ac:dyDescent="0.35">
      <c r="A330" s="3" t="s">
        <v>40</v>
      </c>
      <c r="B330" s="4">
        <v>11.730584421342918</v>
      </c>
      <c r="C330" s="4">
        <v>11.938197748898482</v>
      </c>
      <c r="D330" s="4">
        <v>12.167898147527103</v>
      </c>
      <c r="E330" s="4">
        <v>12.425374190865044</v>
      </c>
      <c r="F330" s="4">
        <v>12.70239492362264</v>
      </c>
      <c r="G330" s="4">
        <v>13.020018194663537</v>
      </c>
      <c r="H330" s="4">
        <v>13.352626775192475</v>
      </c>
      <c r="I330" s="4">
        <v>13.728324567126146</v>
      </c>
      <c r="J330" s="4">
        <v>14.136797662337043</v>
      </c>
      <c r="K330" s="4">
        <v>14.580982426099238</v>
      </c>
      <c r="L330" s="4">
        <v>15.072670337002325</v>
      </c>
      <c r="M330" s="4">
        <v>15.617024492834975</v>
      </c>
      <c r="N330" s="4">
        <v>16.210073028717002</v>
      </c>
      <c r="O330" s="11">
        <f t="shared" si="4"/>
        <v>3.1801600453348171E-2</v>
      </c>
      <c r="P330"/>
      <c r="Q330" s="11"/>
    </row>
    <row r="331" spans="1:17" x14ac:dyDescent="0.35">
      <c r="A331" s="3" t="s">
        <v>42</v>
      </c>
      <c r="B331" s="4">
        <v>12.548046777614626</v>
      </c>
      <c r="C331" s="4">
        <v>13.033837090989758</v>
      </c>
      <c r="D331" s="4">
        <v>13.542002547441776</v>
      </c>
      <c r="E331" s="4">
        <v>14.077862981538779</v>
      </c>
      <c r="F331" s="4">
        <v>14.647761705232565</v>
      </c>
      <c r="G331" s="4">
        <v>15.251034399684574</v>
      </c>
      <c r="H331" s="4">
        <v>15.883377611666974</v>
      </c>
      <c r="I331" s="4">
        <v>16.556176098269308</v>
      </c>
      <c r="J331" s="4">
        <v>17.28321257931799</v>
      </c>
      <c r="K331" s="4">
        <v>18.0533033513614</v>
      </c>
      <c r="L331" s="4">
        <v>18.881659836687838</v>
      </c>
      <c r="M331" s="4">
        <v>19.76747865510049</v>
      </c>
      <c r="N331" s="4">
        <v>20.715838884541991</v>
      </c>
      <c r="O331" s="11">
        <f t="shared" si="4"/>
        <v>4.4721327165245212E-2</v>
      </c>
      <c r="P331"/>
      <c r="Q331" s="11"/>
    </row>
    <row r="332" spans="1:17" x14ac:dyDescent="0.35">
      <c r="A332" s="1" t="s">
        <v>55</v>
      </c>
      <c r="O332" s="11" t="str">
        <f t="shared" si="4"/>
        <v/>
      </c>
      <c r="P332"/>
      <c r="Q332" s="11"/>
    </row>
    <row r="333" spans="1:17" x14ac:dyDescent="0.35">
      <c r="A333" s="2" t="s">
        <v>24</v>
      </c>
      <c r="O333" s="11" t="str">
        <f t="shared" si="4"/>
        <v/>
      </c>
      <c r="P333"/>
      <c r="Q333" s="11"/>
    </row>
    <row r="334" spans="1:17" x14ac:dyDescent="0.35">
      <c r="A334" s="3" t="s">
        <v>25</v>
      </c>
      <c r="B334" s="4">
        <v>54.044429134482883</v>
      </c>
      <c r="C334" s="4">
        <v>56.315159051185837</v>
      </c>
      <c r="D334" s="4">
        <v>58.768152450348801</v>
      </c>
      <c r="E334" s="4">
        <v>61.440798350147126</v>
      </c>
      <c r="F334" s="4">
        <v>64.304694078319145</v>
      </c>
      <c r="G334" s="4">
        <v>67.476363108568535</v>
      </c>
      <c r="H334" s="4">
        <v>70.840967971881653</v>
      </c>
      <c r="I334" s="4">
        <v>74.55687010991231</v>
      </c>
      <c r="J334" s="4">
        <v>78.588276315383084</v>
      </c>
      <c r="K334" s="4">
        <v>82.96862858239237</v>
      </c>
      <c r="L334" s="4">
        <v>87.784019862111307</v>
      </c>
      <c r="M334" s="4">
        <v>93.089056641836834</v>
      </c>
      <c r="N334" s="4">
        <v>98.887761131007409</v>
      </c>
      <c r="O334" s="11">
        <f t="shared" si="4"/>
        <v>5.6119308137502433E-2</v>
      </c>
      <c r="P334"/>
      <c r="Q334" s="11"/>
    </row>
    <row r="335" spans="1:17" x14ac:dyDescent="0.35">
      <c r="A335" s="3" t="s">
        <v>26</v>
      </c>
      <c r="B335" s="4">
        <v>563.55709162726043</v>
      </c>
      <c r="C335" s="4">
        <v>594.04376527227464</v>
      </c>
      <c r="D335" s="4">
        <v>627.62670748052551</v>
      </c>
      <c r="E335" s="4">
        <v>663.58560775082969</v>
      </c>
      <c r="F335" s="4">
        <v>702.13981221869096</v>
      </c>
      <c r="G335" s="4">
        <v>743.80349955175461</v>
      </c>
      <c r="H335" s="4">
        <v>788.50285790207181</v>
      </c>
      <c r="I335" s="4">
        <v>836.77786047450331</v>
      </c>
      <c r="J335" s="4">
        <v>889.31155106070673</v>
      </c>
      <c r="K335" s="4">
        <v>945.85676669220152</v>
      </c>
      <c r="L335" s="4">
        <v>1007.1641543167076</v>
      </c>
      <c r="M335" s="4">
        <v>1073.7254190932003</v>
      </c>
      <c r="N335" s="4">
        <v>1146.5697545396768</v>
      </c>
      <c r="O335" s="11">
        <f t="shared" si="4"/>
        <v>6.3772832720412953E-2</v>
      </c>
      <c r="P335"/>
      <c r="Q335" s="11"/>
    </row>
    <row r="336" spans="1:17" x14ac:dyDescent="0.35">
      <c r="A336" s="2" t="s">
        <v>27</v>
      </c>
      <c r="O336" s="11" t="str">
        <f t="shared" si="4"/>
        <v/>
      </c>
      <c r="P336"/>
      <c r="Q336" s="11"/>
    </row>
    <row r="337" spans="1:17" x14ac:dyDescent="0.35">
      <c r="A337" s="3" t="s">
        <v>30</v>
      </c>
      <c r="B337" s="4">
        <v>105.34001339006116</v>
      </c>
      <c r="C337" s="4">
        <v>112.62236686041459</v>
      </c>
      <c r="D337" s="4">
        <v>120.67934643557608</v>
      </c>
      <c r="E337" s="4">
        <v>129.3820844999062</v>
      </c>
      <c r="F337" s="4">
        <v>138.80310009038851</v>
      </c>
      <c r="G337" s="4">
        <v>148.98023287340141</v>
      </c>
      <c r="H337" s="4">
        <v>159.95107825316802</v>
      </c>
      <c r="I337" s="4">
        <v>171.81110373098048</v>
      </c>
      <c r="J337" s="4">
        <v>184.73046291542457</v>
      </c>
      <c r="K337" s="4">
        <v>198.87421543444123</v>
      </c>
      <c r="L337" s="4">
        <v>214.27086731995712</v>
      </c>
      <c r="M337" s="4">
        <v>230.98468890582362</v>
      </c>
      <c r="N337" s="4">
        <v>249.20975481043823</v>
      </c>
      <c r="O337" s="11">
        <f t="shared" si="4"/>
        <v>7.6265661314539532E-2</v>
      </c>
      <c r="P337"/>
      <c r="Q337" s="11"/>
    </row>
    <row r="338" spans="1:17" x14ac:dyDescent="0.35">
      <c r="A338" s="3" t="s">
        <v>32</v>
      </c>
      <c r="B338" s="4">
        <v>53.801209195968326</v>
      </c>
      <c r="C338" s="4">
        <v>55.990642291969714</v>
      </c>
      <c r="D338" s="4">
        <v>58.323579504225279</v>
      </c>
      <c r="E338" s="4">
        <v>60.790812418909361</v>
      </c>
      <c r="F338" s="4">
        <v>63.38496067076273</v>
      </c>
      <c r="G338" s="4">
        <v>66.134304479256798</v>
      </c>
      <c r="H338" s="4">
        <v>69.104348556169029</v>
      </c>
      <c r="I338" s="4">
        <v>72.273493705565627</v>
      </c>
      <c r="J338" s="4">
        <v>75.682870500574296</v>
      </c>
      <c r="K338" s="4">
        <v>79.330245389018359</v>
      </c>
      <c r="L338" s="4">
        <v>83.208678518102602</v>
      </c>
      <c r="M338" s="4">
        <v>87.396213827704059</v>
      </c>
      <c r="N338" s="4">
        <v>91.925085539664607</v>
      </c>
      <c r="O338" s="11">
        <f t="shared" si="4"/>
        <v>4.8164888179283244E-2</v>
      </c>
      <c r="P338"/>
      <c r="Q338" s="11"/>
    </row>
    <row r="339" spans="1:17" x14ac:dyDescent="0.35">
      <c r="A339" s="3" t="s">
        <v>29</v>
      </c>
      <c r="B339" s="4">
        <v>137.29866431904125</v>
      </c>
      <c r="C339" s="4">
        <v>145.14986772800722</v>
      </c>
      <c r="D339" s="4">
        <v>153.67389849953679</v>
      </c>
      <c r="E339" s="4">
        <v>162.99348297551094</v>
      </c>
      <c r="F339" s="4">
        <v>173.06316952186489</v>
      </c>
      <c r="G339" s="4">
        <v>184.22399937185637</v>
      </c>
      <c r="H339" s="4">
        <v>196.20424569656873</v>
      </c>
      <c r="I339" s="4">
        <v>209.47188067800053</v>
      </c>
      <c r="J339" s="4">
        <v>223.97549724336346</v>
      </c>
      <c r="K339" s="4">
        <v>239.85656809790771</v>
      </c>
      <c r="L339" s="4">
        <v>257.4155336490013</v>
      </c>
      <c r="M339" s="4">
        <v>276.8762092483417</v>
      </c>
      <c r="N339" s="4">
        <v>298.32287929262117</v>
      </c>
      <c r="O339" s="11">
        <f t="shared" si="4"/>
        <v>7.1286828053726811E-2</v>
      </c>
      <c r="P339"/>
      <c r="Q339" s="11"/>
    </row>
    <row r="340" spans="1:17" x14ac:dyDescent="0.35">
      <c r="A340" s="3" t="s">
        <v>31</v>
      </c>
      <c r="B340" s="4">
        <v>75.186624024454758</v>
      </c>
      <c r="C340" s="4">
        <v>79.540258213787268</v>
      </c>
      <c r="D340" s="4">
        <v>84.223275154527926</v>
      </c>
      <c r="E340" s="4">
        <v>89.235570550525978</v>
      </c>
      <c r="F340" s="4">
        <v>94.579252077051052</v>
      </c>
      <c r="G340" s="4">
        <v>100.30932064172224</v>
      </c>
      <c r="H340" s="4">
        <v>106.54041372702255</v>
      </c>
      <c r="I340" s="4">
        <v>113.25989512591823</v>
      </c>
      <c r="J340" s="4">
        <v>120.55188092029813</v>
      </c>
      <c r="K340" s="4">
        <v>128.43626029137567</v>
      </c>
      <c r="L340" s="4">
        <v>136.92579678110562</v>
      </c>
      <c r="M340" s="4">
        <v>146.17310884313468</v>
      </c>
      <c r="N340" s="4">
        <v>156.26336581299643</v>
      </c>
      <c r="O340" s="11">
        <f t="shared" si="4"/>
        <v>6.5374430611151335E-2</v>
      </c>
      <c r="P340"/>
      <c r="Q340" s="11"/>
    </row>
    <row r="341" spans="1:17" x14ac:dyDescent="0.35">
      <c r="A341" s="3" t="s">
        <v>28</v>
      </c>
      <c r="B341" s="4">
        <v>216.74639429605452</v>
      </c>
      <c r="C341" s="4">
        <v>226.4148347082629</v>
      </c>
      <c r="D341" s="4">
        <v>237.25054476055891</v>
      </c>
      <c r="E341" s="4">
        <v>248.66998384673946</v>
      </c>
      <c r="F341" s="4">
        <v>260.82106549287255</v>
      </c>
      <c r="G341" s="4">
        <v>273.87124897390481</v>
      </c>
      <c r="H341" s="4">
        <v>287.66773781261202</v>
      </c>
      <c r="I341" s="4">
        <v>302.33660454919709</v>
      </c>
      <c r="J341" s="4">
        <v>318.30673742302702</v>
      </c>
      <c r="K341" s="4">
        <v>334.99157391018434</v>
      </c>
      <c r="L341" s="4">
        <v>352.90767888325468</v>
      </c>
      <c r="M341" s="4">
        <v>372.04463605483068</v>
      </c>
      <c r="N341" s="4">
        <v>392.97001946337195</v>
      </c>
      <c r="O341" s="11">
        <f t="shared" ref="O341:O404" si="5">IFERROR(RATE(2033-2026,,-G341,N341),"")</f>
        <v>5.2935707114431504E-2</v>
      </c>
      <c r="P341"/>
      <c r="Q341" s="11"/>
    </row>
    <row r="342" spans="1:17" x14ac:dyDescent="0.35">
      <c r="A342" s="3" t="s">
        <v>33</v>
      </c>
      <c r="B342" s="4">
        <v>29.228615536163293</v>
      </c>
      <c r="C342" s="4">
        <v>30.640954521018671</v>
      </c>
      <c r="D342" s="4">
        <v>32.244215576449314</v>
      </c>
      <c r="E342" s="4">
        <v>33.954471809384899</v>
      </c>
      <c r="F342" s="4">
        <v>35.792958444070365</v>
      </c>
      <c r="G342" s="4">
        <v>37.760756320181521</v>
      </c>
      <c r="H342" s="4">
        <v>39.876001828413266</v>
      </c>
      <c r="I342" s="4">
        <v>42.18175279475355</v>
      </c>
      <c r="J342" s="4">
        <v>44.652378373402335</v>
      </c>
      <c r="K342" s="4">
        <v>47.336532151666482</v>
      </c>
      <c r="L342" s="4">
        <v>50.219619027397513</v>
      </c>
      <c r="M342" s="4">
        <v>53.339618855202467</v>
      </c>
      <c r="N342" s="4">
        <v>56.766410751591827</v>
      </c>
      <c r="O342" s="11">
        <f t="shared" si="5"/>
        <v>5.9968512893279438E-2</v>
      </c>
      <c r="P342"/>
      <c r="Q342" s="11"/>
    </row>
    <row r="343" spans="1:17" x14ac:dyDescent="0.35">
      <c r="A343" s="2" t="s">
        <v>34</v>
      </c>
      <c r="O343" s="11" t="str">
        <f t="shared" si="5"/>
        <v/>
      </c>
      <c r="P343"/>
      <c r="Q343" s="11"/>
    </row>
    <row r="344" spans="1:17" x14ac:dyDescent="0.35">
      <c r="A344" s="3" t="s">
        <v>36</v>
      </c>
      <c r="B344" s="4">
        <v>221.07104864848765</v>
      </c>
      <c r="C344" s="4">
        <v>234.73930766216327</v>
      </c>
      <c r="D344" s="4">
        <v>249.8244432429484</v>
      </c>
      <c r="E344" s="4">
        <v>266.0690359478408</v>
      </c>
      <c r="F344" s="4">
        <v>283.58446732989376</v>
      </c>
      <c r="G344" s="4">
        <v>302.60412166844878</v>
      </c>
      <c r="H344" s="4">
        <v>323.12862019179693</v>
      </c>
      <c r="I344" s="4">
        <v>345.40969735447953</v>
      </c>
      <c r="J344" s="4">
        <v>369.76505634199134</v>
      </c>
      <c r="K344" s="4">
        <v>396.134376248558</v>
      </c>
      <c r="L344" s="4">
        <v>424.87287888524725</v>
      </c>
      <c r="M344" s="4">
        <v>456.23630761840025</v>
      </c>
      <c r="N344" s="4">
        <v>490.71554150491778</v>
      </c>
      <c r="O344" s="11">
        <f t="shared" si="5"/>
        <v>7.1503435093065129E-2</v>
      </c>
      <c r="P344"/>
      <c r="Q344" s="11"/>
    </row>
    <row r="345" spans="1:17" x14ac:dyDescent="0.35">
      <c r="A345" s="3" t="s">
        <v>37</v>
      </c>
      <c r="B345" s="4">
        <v>142.46216258813973</v>
      </c>
      <c r="C345" s="4">
        <v>150.11064053381514</v>
      </c>
      <c r="D345" s="4">
        <v>158.77074662180789</v>
      </c>
      <c r="E345" s="4">
        <v>168.04424096966096</v>
      </c>
      <c r="F345" s="4">
        <v>178.04505881279545</v>
      </c>
      <c r="G345" s="4">
        <v>188.7891165612352</v>
      </c>
      <c r="H345" s="4">
        <v>200.37782265417272</v>
      </c>
      <c r="I345" s="4">
        <v>213.03977493543695</v>
      </c>
      <c r="J345" s="4">
        <v>226.66118034951199</v>
      </c>
      <c r="K345" s="4">
        <v>241.50286125493014</v>
      </c>
      <c r="L345" s="4">
        <v>257.50810952191347</v>
      </c>
      <c r="M345" s="4">
        <v>274.88848427606126</v>
      </c>
      <c r="N345" s="4">
        <v>294.0240602861719</v>
      </c>
      <c r="O345" s="11">
        <f t="shared" si="5"/>
        <v>6.5335893230367162E-2</v>
      </c>
      <c r="P345"/>
      <c r="Q345" s="11"/>
    </row>
    <row r="346" spans="1:17" x14ac:dyDescent="0.35">
      <c r="A346" s="3" t="s">
        <v>35</v>
      </c>
      <c r="B346" s="4">
        <v>203.84035270911221</v>
      </c>
      <c r="C346" s="4">
        <v>212.6580261267992</v>
      </c>
      <c r="D346" s="4">
        <v>222.16780562606584</v>
      </c>
      <c r="E346" s="4">
        <v>232.33581079620802</v>
      </c>
      <c r="F346" s="4">
        <v>243.11619739741161</v>
      </c>
      <c r="G346" s="4">
        <v>254.86004403915297</v>
      </c>
      <c r="H346" s="4">
        <v>267.23099460414323</v>
      </c>
      <c r="I346" s="4">
        <v>280.46243544767242</v>
      </c>
      <c r="J346" s="4">
        <v>294.91394180436191</v>
      </c>
      <c r="K346" s="4">
        <v>310.13529140242667</v>
      </c>
      <c r="L346" s="4">
        <v>326.65103129218778</v>
      </c>
      <c r="M346" s="4">
        <v>344.56035669808875</v>
      </c>
      <c r="N346" s="4">
        <v>363.89960900367532</v>
      </c>
      <c r="O346" s="11">
        <f t="shared" si="5"/>
        <v>5.2197145592695809E-2</v>
      </c>
      <c r="P346"/>
      <c r="Q346" s="11"/>
    </row>
    <row r="347" spans="1:17" x14ac:dyDescent="0.35">
      <c r="A347" s="3" t="s">
        <v>38</v>
      </c>
      <c r="B347" s="4">
        <v>50.227956816003754</v>
      </c>
      <c r="C347" s="4">
        <v>52.850950000682829</v>
      </c>
      <c r="D347" s="4">
        <v>55.631864440052162</v>
      </c>
      <c r="E347" s="4">
        <v>58.577318387267056</v>
      </c>
      <c r="F347" s="4">
        <v>61.698782756909317</v>
      </c>
      <c r="G347" s="4">
        <v>65.026580391486121</v>
      </c>
      <c r="H347" s="4">
        <v>68.606388423840556</v>
      </c>
      <c r="I347" s="4">
        <v>72.422822846826719</v>
      </c>
      <c r="J347" s="4">
        <v>76.559648880224444</v>
      </c>
      <c r="K347" s="4">
        <v>81.052866368678963</v>
      </c>
      <c r="L347" s="4">
        <v>85.916154479470379</v>
      </c>
      <c r="M347" s="4">
        <v>91.129327142486886</v>
      </c>
      <c r="N347" s="4">
        <v>96.818304875919196</v>
      </c>
      <c r="O347" s="11">
        <f t="shared" si="5"/>
        <v>5.8510627364345653E-2</v>
      </c>
      <c r="P347"/>
      <c r="Q347" s="11"/>
    </row>
    <row r="348" spans="1:17" x14ac:dyDescent="0.35">
      <c r="A348" s="2" t="s">
        <v>22</v>
      </c>
      <c r="O348" s="11" t="str">
        <f t="shared" si="5"/>
        <v/>
      </c>
      <c r="P348"/>
      <c r="Q348" s="11"/>
    </row>
    <row r="349" spans="1:17" x14ac:dyDescent="0.35">
      <c r="A349" s="3" t="s">
        <v>39</v>
      </c>
      <c r="B349" s="4">
        <v>159.44156177997684</v>
      </c>
      <c r="C349" s="4">
        <v>167.55857341549483</v>
      </c>
      <c r="D349" s="4">
        <v>176.7179884805837</v>
      </c>
      <c r="E349" s="4">
        <v>186.65781772455489</v>
      </c>
      <c r="F349" s="4">
        <v>197.28281592085045</v>
      </c>
      <c r="G349" s="4">
        <v>209.10650429945429</v>
      </c>
      <c r="H349" s="4">
        <v>221.717622926491</v>
      </c>
      <c r="I349" s="4">
        <v>235.35751292110672</v>
      </c>
      <c r="J349" s="4">
        <v>250.41486750229581</v>
      </c>
      <c r="K349" s="4">
        <v>266.33209335072479</v>
      </c>
      <c r="L349" s="4">
        <v>283.74402301888676</v>
      </c>
      <c r="M349" s="4">
        <v>302.90084508735549</v>
      </c>
      <c r="N349" s="4">
        <v>323.88529897448109</v>
      </c>
      <c r="O349" s="11">
        <f t="shared" si="5"/>
        <v>6.4501412444331233E-2</v>
      </c>
      <c r="P349"/>
      <c r="Q349" s="11"/>
    </row>
    <row r="350" spans="1:17" x14ac:dyDescent="0.35">
      <c r="A350" s="3" t="s">
        <v>41</v>
      </c>
      <c r="B350" s="4">
        <v>120.25726572907068</v>
      </c>
      <c r="C350" s="4">
        <v>125.7189130551567</v>
      </c>
      <c r="D350" s="4">
        <v>131.47842868631201</v>
      </c>
      <c r="E350" s="4">
        <v>137.54484736391512</v>
      </c>
      <c r="F350" s="4">
        <v>143.93827828257849</v>
      </c>
      <c r="G350" s="4">
        <v>150.72220144680202</v>
      </c>
      <c r="H350" s="4">
        <v>157.99395088749844</v>
      </c>
      <c r="I350" s="4">
        <v>165.70761962511818</v>
      </c>
      <c r="J350" s="4">
        <v>174.04520809006695</v>
      </c>
      <c r="K350" s="4">
        <v>183.07531584821879</v>
      </c>
      <c r="L350" s="4">
        <v>192.81419322486911</v>
      </c>
      <c r="M350" s="4">
        <v>203.2014846631815</v>
      </c>
      <c r="N350" s="4">
        <v>214.50397820752647</v>
      </c>
      <c r="O350" s="11">
        <f t="shared" si="5"/>
        <v>5.1705190887803502E-2</v>
      </c>
      <c r="P350"/>
      <c r="Q350" s="11"/>
    </row>
    <row r="351" spans="1:17" x14ac:dyDescent="0.35">
      <c r="A351" s="3" t="s">
        <v>40</v>
      </c>
      <c r="B351" s="4">
        <v>148.82344534204228</v>
      </c>
      <c r="C351" s="4">
        <v>156.66427663063135</v>
      </c>
      <c r="D351" s="4">
        <v>164.96109304640731</v>
      </c>
      <c r="E351" s="4">
        <v>173.79332295535508</v>
      </c>
      <c r="F351" s="4">
        <v>183.25688145561512</v>
      </c>
      <c r="G351" s="4">
        <v>193.3646633504942</v>
      </c>
      <c r="H351" s="4">
        <v>204.08351573571719</v>
      </c>
      <c r="I351" s="4">
        <v>215.57947771346963</v>
      </c>
      <c r="J351" s="4">
        <v>228.058155614063</v>
      </c>
      <c r="K351" s="4">
        <v>241.40598781637934</v>
      </c>
      <c r="L351" s="4">
        <v>255.85533581723971</v>
      </c>
      <c r="M351" s="4">
        <v>271.43316103901066</v>
      </c>
      <c r="N351" s="4">
        <v>288.24758266672723</v>
      </c>
      <c r="O351" s="11">
        <f t="shared" si="5"/>
        <v>5.8692398069730249E-2</v>
      </c>
      <c r="P351"/>
      <c r="Q351" s="11"/>
    </row>
    <row r="352" spans="1:17" x14ac:dyDescent="0.35">
      <c r="A352" s="3" t="s">
        <v>42</v>
      </c>
      <c r="B352" s="4">
        <v>189.07924791065361</v>
      </c>
      <c r="C352" s="4">
        <v>200.41716122217755</v>
      </c>
      <c r="D352" s="4">
        <v>213.23734971757131</v>
      </c>
      <c r="E352" s="4">
        <v>227.03041805715179</v>
      </c>
      <c r="F352" s="4">
        <v>241.96653063796606</v>
      </c>
      <c r="G352" s="4">
        <v>258.08649356357256</v>
      </c>
      <c r="H352" s="4">
        <v>275.54873632424687</v>
      </c>
      <c r="I352" s="4">
        <v>294.69012032472114</v>
      </c>
      <c r="J352" s="4">
        <v>315.38159616966408</v>
      </c>
      <c r="K352" s="4">
        <v>338.01199825927091</v>
      </c>
      <c r="L352" s="4">
        <v>362.53462211782318</v>
      </c>
      <c r="M352" s="4">
        <v>389.27898494548941</v>
      </c>
      <c r="N352" s="4">
        <v>418.8206558219494</v>
      </c>
      <c r="O352" s="11">
        <f t="shared" si="5"/>
        <v>7.1611942788187194E-2</v>
      </c>
      <c r="P352"/>
      <c r="Q352" s="11"/>
    </row>
    <row r="353" spans="1:17" x14ac:dyDescent="0.35">
      <c r="A353" s="1" t="s">
        <v>56</v>
      </c>
      <c r="O353" s="11" t="str">
        <f t="shared" si="5"/>
        <v/>
      </c>
      <c r="P353"/>
      <c r="Q353" s="11"/>
    </row>
    <row r="354" spans="1:17" x14ac:dyDescent="0.35">
      <c r="A354" s="2" t="s">
        <v>24</v>
      </c>
      <c r="O354" s="11" t="str">
        <f t="shared" si="5"/>
        <v/>
      </c>
      <c r="P354"/>
      <c r="Q354" s="11"/>
    </row>
    <row r="355" spans="1:17" x14ac:dyDescent="0.35">
      <c r="A355" s="3" t="s">
        <v>25</v>
      </c>
      <c r="B355" s="4">
        <v>120.28275102539367</v>
      </c>
      <c r="C355" s="4">
        <v>126.79201206812093</v>
      </c>
      <c r="D355" s="4">
        <v>133.92067074855944</v>
      </c>
      <c r="E355" s="4">
        <v>141.46195719421613</v>
      </c>
      <c r="F355" s="4">
        <v>149.49541603149115</v>
      </c>
      <c r="G355" s="4">
        <v>158.12154563247958</v>
      </c>
      <c r="H355" s="4">
        <v>167.36941604280693</v>
      </c>
      <c r="I355" s="4">
        <v>177.62120672266005</v>
      </c>
      <c r="J355" s="4">
        <v>188.64775131625038</v>
      </c>
      <c r="K355" s="4">
        <v>200.59858845502586</v>
      </c>
      <c r="L355" s="4">
        <v>213.658523464246</v>
      </c>
      <c r="M355" s="4">
        <v>227.95887674612956</v>
      </c>
      <c r="N355" s="4">
        <v>243.64953425590028</v>
      </c>
      <c r="O355" s="11">
        <f t="shared" si="5"/>
        <v>6.3714142804511292E-2</v>
      </c>
      <c r="P355"/>
      <c r="Q355" s="11"/>
    </row>
    <row r="356" spans="1:17" x14ac:dyDescent="0.35">
      <c r="A356" s="3" t="s">
        <v>26</v>
      </c>
      <c r="B356" s="4">
        <v>1163.7651224272724</v>
      </c>
      <c r="C356" s="4">
        <v>1233.2645559050557</v>
      </c>
      <c r="D356" s="4">
        <v>1311.8520825745886</v>
      </c>
      <c r="E356" s="4">
        <v>1396.3875183711602</v>
      </c>
      <c r="F356" s="4">
        <v>1487.9133028238334</v>
      </c>
      <c r="G356" s="4">
        <v>1586.6754558439964</v>
      </c>
      <c r="H356" s="4">
        <v>1693.6428948308701</v>
      </c>
      <c r="I356" s="4">
        <v>1810.8803622548605</v>
      </c>
      <c r="J356" s="4">
        <v>1937.587666915058</v>
      </c>
      <c r="K356" s="4">
        <v>2076.1470246502586</v>
      </c>
      <c r="L356" s="4">
        <v>2226.2632865781165</v>
      </c>
      <c r="M356" s="4">
        <v>2389.9518727264472</v>
      </c>
      <c r="N356" s="4">
        <v>2570.7369713997991</v>
      </c>
      <c r="O356" s="11">
        <f t="shared" si="5"/>
        <v>7.1367593225047266E-2</v>
      </c>
      <c r="P356"/>
      <c r="Q356" s="11"/>
    </row>
    <row r="357" spans="1:17" x14ac:dyDescent="0.35">
      <c r="A357" s="2" t="s">
        <v>27</v>
      </c>
      <c r="O357" s="11" t="str">
        <f t="shared" si="5"/>
        <v/>
      </c>
      <c r="P357"/>
      <c r="Q357" s="11"/>
    </row>
    <row r="358" spans="1:17" x14ac:dyDescent="0.35">
      <c r="A358" s="3" t="s">
        <v>30</v>
      </c>
      <c r="B358" s="4">
        <v>220.02205396384363</v>
      </c>
      <c r="C358" s="4">
        <v>235.35083359876015</v>
      </c>
      <c r="D358" s="4">
        <v>252.1105469054109</v>
      </c>
      <c r="E358" s="4">
        <v>270.54766742626185</v>
      </c>
      <c r="F358" s="4">
        <v>290.64004759682012</v>
      </c>
      <c r="G358" s="4">
        <v>313.01230182633338</v>
      </c>
      <c r="H358" s="4">
        <v>337.27600166469711</v>
      </c>
      <c r="I358" s="4">
        <v>364.29431987833294</v>
      </c>
      <c r="J358" s="4">
        <v>394.06622262164899</v>
      </c>
      <c r="K358" s="4">
        <v>426.92791266533294</v>
      </c>
      <c r="L358" s="4">
        <v>463.51221995980501</v>
      </c>
      <c r="M358" s="4">
        <v>504.34121879721289</v>
      </c>
      <c r="N358" s="4">
        <v>549.70434739549478</v>
      </c>
      <c r="O358" s="11">
        <f t="shared" si="5"/>
        <v>8.3772812718256734E-2</v>
      </c>
      <c r="P358"/>
      <c r="Q358" s="11"/>
    </row>
    <row r="359" spans="1:17" x14ac:dyDescent="0.35">
      <c r="A359" s="3" t="s">
        <v>32</v>
      </c>
      <c r="B359" s="4">
        <v>95.085177588472348</v>
      </c>
      <c r="C359" s="4">
        <v>99.466148329571539</v>
      </c>
      <c r="D359" s="4">
        <v>104.2585356427895</v>
      </c>
      <c r="E359" s="4">
        <v>109.29103627168193</v>
      </c>
      <c r="F359" s="4">
        <v>114.61861031987273</v>
      </c>
      <c r="G359" s="4">
        <v>120.3105102120042</v>
      </c>
      <c r="H359" s="4">
        <v>126.37941445992703</v>
      </c>
      <c r="I359" s="4">
        <v>133.10410283641073</v>
      </c>
      <c r="J359" s="4">
        <v>140.29662637402842</v>
      </c>
      <c r="K359" s="4">
        <v>148.05613145450457</v>
      </c>
      <c r="L359" s="4">
        <v>156.50460832493718</v>
      </c>
      <c r="M359" s="4">
        <v>165.72096477191005</v>
      </c>
      <c r="N359" s="4">
        <v>175.79496475943915</v>
      </c>
      <c r="O359" s="11">
        <f t="shared" si="5"/>
        <v>5.5671945753391801E-2</v>
      </c>
      <c r="P359"/>
      <c r="Q359" s="11"/>
    </row>
    <row r="360" spans="1:17" x14ac:dyDescent="0.35">
      <c r="A360" s="3" t="s">
        <v>29</v>
      </c>
      <c r="B360" s="4">
        <v>276.13441869098608</v>
      </c>
      <c r="C360" s="4">
        <v>294.67566362873652</v>
      </c>
      <c r="D360" s="4">
        <v>315.64166745219558</v>
      </c>
      <c r="E360" s="4">
        <v>338.32557669921044</v>
      </c>
      <c r="F360" s="4">
        <v>363.01351297022546</v>
      </c>
      <c r="G360" s="4">
        <v>389.80483103257495</v>
      </c>
      <c r="H360" s="4">
        <v>418.97873448128536</v>
      </c>
      <c r="I360" s="4">
        <v>451.09275259339938</v>
      </c>
      <c r="J360" s="4">
        <v>486.00564351371122</v>
      </c>
      <c r="K360" s="4">
        <v>524.36972665801761</v>
      </c>
      <c r="L360" s="4">
        <v>566.17849678982986</v>
      </c>
      <c r="M360" s="4">
        <v>612.01201202596087</v>
      </c>
      <c r="N360" s="4">
        <v>662.85189788746743</v>
      </c>
      <c r="O360" s="11">
        <f t="shared" si="5"/>
        <v>7.8793868867907624E-2</v>
      </c>
      <c r="P360"/>
      <c r="Q360" s="11"/>
    </row>
    <row r="361" spans="1:17" x14ac:dyDescent="0.35">
      <c r="A361" s="3" t="s">
        <v>31</v>
      </c>
      <c r="B361" s="4">
        <v>164.10565699403696</v>
      </c>
      <c r="C361" s="4">
        <v>174.41071770763841</v>
      </c>
      <c r="D361" s="4">
        <v>185.56166218921527</v>
      </c>
      <c r="E361" s="4">
        <v>197.54887734925177</v>
      </c>
      <c r="F361" s="4">
        <v>210.57076124479474</v>
      </c>
      <c r="G361" s="4">
        <v>224.75049254755359</v>
      </c>
      <c r="H361" s="4">
        <v>240.08467108849132</v>
      </c>
      <c r="I361" s="4">
        <v>256.9845321544272</v>
      </c>
      <c r="J361" s="4">
        <v>275.42114003771422</v>
      </c>
      <c r="K361" s="4">
        <v>295.43470374181442</v>
      </c>
      <c r="L361" s="4">
        <v>317.4646204411747</v>
      </c>
      <c r="M361" s="4">
        <v>341.44838108954201</v>
      </c>
      <c r="N361" s="4">
        <v>367.75865500367132</v>
      </c>
      <c r="O361" s="11">
        <f t="shared" si="5"/>
        <v>7.288148354827656E-2</v>
      </c>
      <c r="P361"/>
      <c r="Q361" s="11"/>
    </row>
    <row r="362" spans="1:17" x14ac:dyDescent="0.35">
      <c r="A362" s="3" t="s">
        <v>28</v>
      </c>
      <c r="B362" s="4">
        <v>458.08242648353803</v>
      </c>
      <c r="C362" s="4">
        <v>481.1942669223024</v>
      </c>
      <c r="D362" s="4">
        <v>508.61326227384484</v>
      </c>
      <c r="E362" s="4">
        <v>537.58901948203049</v>
      </c>
      <c r="F362" s="4">
        <v>568.67204805845427</v>
      </c>
      <c r="G362" s="4">
        <v>601.27736672958804</v>
      </c>
      <c r="H362" s="4">
        <v>636.51022794964024</v>
      </c>
      <c r="I362" s="4">
        <v>674.61520362123247</v>
      </c>
      <c r="J362" s="4">
        <v>714.80766127587003</v>
      </c>
      <c r="K362" s="4">
        <v>758.53525755747341</v>
      </c>
      <c r="L362" s="4">
        <v>804.36853883727872</v>
      </c>
      <c r="M362" s="4">
        <v>853.30604663416602</v>
      </c>
      <c r="N362" s="4">
        <v>907.21578096873736</v>
      </c>
      <c r="O362" s="11">
        <f t="shared" si="5"/>
        <v>6.0521289923611006E-2</v>
      </c>
      <c r="P362"/>
      <c r="Q362" s="11"/>
    </row>
    <row r="363" spans="1:17" x14ac:dyDescent="0.35">
      <c r="A363" s="3" t="s">
        <v>33</v>
      </c>
      <c r="B363" s="4">
        <v>70.618139731789128</v>
      </c>
      <c r="C363" s="4">
        <v>74.958937786167837</v>
      </c>
      <c r="D363" s="4">
        <v>79.587078859691857</v>
      </c>
      <c r="E363" s="4">
        <v>84.547298336939974</v>
      </c>
      <c r="F363" s="4">
        <v>89.893738665157315</v>
      </c>
      <c r="G363" s="4">
        <v>95.641499128421955</v>
      </c>
      <c r="H363" s="4">
        <v>101.78326122963608</v>
      </c>
      <c r="I363" s="4">
        <v>108.41065789371787</v>
      </c>
      <c r="J363" s="4">
        <v>115.63812440833541</v>
      </c>
      <c r="K363" s="4">
        <v>123.42188102814164</v>
      </c>
      <c r="L363" s="4">
        <v>131.89332568933708</v>
      </c>
      <c r="M363" s="4">
        <v>141.08212615378494</v>
      </c>
      <c r="N363" s="4">
        <v>151.06085964088936</v>
      </c>
      <c r="O363" s="11">
        <f t="shared" si="5"/>
        <v>6.747555751593641E-2</v>
      </c>
      <c r="P363"/>
      <c r="Q363" s="11"/>
    </row>
    <row r="364" spans="1:17" x14ac:dyDescent="0.35">
      <c r="A364" s="2" t="s">
        <v>34</v>
      </c>
      <c r="O364" s="11" t="str">
        <f t="shared" si="5"/>
        <v/>
      </c>
      <c r="P364"/>
      <c r="Q364" s="11"/>
    </row>
    <row r="365" spans="1:17" x14ac:dyDescent="0.35">
      <c r="A365" s="3" t="s">
        <v>36</v>
      </c>
      <c r="B365" s="4">
        <v>454.31255495774155</v>
      </c>
      <c r="C365" s="4">
        <v>486.76515627055039</v>
      </c>
      <c r="D365" s="4">
        <v>522.00890607240672</v>
      </c>
      <c r="E365" s="4">
        <v>560.13641059835197</v>
      </c>
      <c r="F365" s="4">
        <v>601.25648156367515</v>
      </c>
      <c r="G365" s="4">
        <v>645.81727632866614</v>
      </c>
      <c r="H365" s="4">
        <v>694.67124579587733</v>
      </c>
      <c r="I365" s="4">
        <v>747.88149392263654</v>
      </c>
      <c r="J365" s="4">
        <v>806.14948125431863</v>
      </c>
      <c r="K365" s="4">
        <v>869.77912380993587</v>
      </c>
      <c r="L365" s="4">
        <v>939.03717486015501</v>
      </c>
      <c r="M365" s="4">
        <v>1015.1584949758109</v>
      </c>
      <c r="N365" s="4">
        <v>1098.967396233159</v>
      </c>
      <c r="O365" s="11">
        <f t="shared" si="5"/>
        <v>7.8902412482923678E-2</v>
      </c>
      <c r="P365"/>
      <c r="Q365" s="11"/>
    </row>
    <row r="366" spans="1:17" x14ac:dyDescent="0.35">
      <c r="A366" s="3" t="s">
        <v>37</v>
      </c>
      <c r="B366" s="4">
        <v>302.725947831638</v>
      </c>
      <c r="C366" s="4">
        <v>322.48329344497159</v>
      </c>
      <c r="D366" s="4">
        <v>343.84345117619984</v>
      </c>
      <c r="E366" s="4">
        <v>366.83709402825696</v>
      </c>
      <c r="F366" s="4">
        <v>391.50442467830811</v>
      </c>
      <c r="G366" s="4">
        <v>418.10529318118535</v>
      </c>
      <c r="H366" s="4">
        <v>447.15491616401039</v>
      </c>
      <c r="I366" s="4">
        <v>478.64813004704064</v>
      </c>
      <c r="J366" s="4">
        <v>512.98787357939523</v>
      </c>
      <c r="K366" s="4">
        <v>550.31430497402175</v>
      </c>
      <c r="L366" s="4">
        <v>590.74019481033179</v>
      </c>
      <c r="M366" s="4">
        <v>634.9840518986307</v>
      </c>
      <c r="N366" s="4">
        <v>683.4904339949702</v>
      </c>
      <c r="O366" s="11">
        <f t="shared" si="5"/>
        <v>7.2734866340507603E-2</v>
      </c>
      <c r="P366"/>
      <c r="Q366" s="11"/>
    </row>
    <row r="367" spans="1:17" x14ac:dyDescent="0.35">
      <c r="A367" s="3" t="s">
        <v>35</v>
      </c>
      <c r="B367" s="4">
        <v>397.91152628965119</v>
      </c>
      <c r="C367" s="4">
        <v>414.01336476402798</v>
      </c>
      <c r="D367" s="4">
        <v>434.91562871776068</v>
      </c>
      <c r="E367" s="4">
        <v>457.12097635648252</v>
      </c>
      <c r="F367" s="4">
        <v>481.56190421535098</v>
      </c>
      <c r="G367" s="4">
        <v>507.78562340617646</v>
      </c>
      <c r="H367" s="4">
        <v>535.28787140293844</v>
      </c>
      <c r="I367" s="4">
        <v>566.4831222007208</v>
      </c>
      <c r="J367" s="4">
        <v>598.99641156594475</v>
      </c>
      <c r="K367" s="4">
        <v>634.79749571515504</v>
      </c>
      <c r="L367" s="4">
        <v>673.33665788091707</v>
      </c>
      <c r="M367" s="4">
        <v>714.83939701733721</v>
      </c>
      <c r="N367" s="4">
        <v>761.33874126241017</v>
      </c>
      <c r="O367" s="11">
        <f t="shared" si="5"/>
        <v>5.9566498863552676E-2</v>
      </c>
      <c r="P367"/>
      <c r="Q367" s="11"/>
    </row>
    <row r="368" spans="1:17" x14ac:dyDescent="0.35">
      <c r="A368" s="3" t="s">
        <v>38</v>
      </c>
      <c r="B368" s="4">
        <v>129.09784437363544</v>
      </c>
      <c r="C368" s="4">
        <v>136.79475349362684</v>
      </c>
      <c r="D368" s="4">
        <v>145.00476735678083</v>
      </c>
      <c r="E368" s="4">
        <v>153.75499458228509</v>
      </c>
      <c r="F368" s="4">
        <v>163.08590839799032</v>
      </c>
      <c r="G368" s="4">
        <v>173.08880856044814</v>
      </c>
      <c r="H368" s="4">
        <v>183.89827751085087</v>
      </c>
      <c r="I368" s="4">
        <v>195.48882280712252</v>
      </c>
      <c r="J368" s="4">
        <v>208.10165183164986</v>
      </c>
      <c r="K368" s="4">
        <v>221.85468860617172</v>
      </c>
      <c r="L368" s="4">
        <v>236.80778249095897</v>
      </c>
      <c r="M368" s="4">
        <v>252.92880558079807</v>
      </c>
      <c r="N368" s="4">
        <v>270.58993416515978</v>
      </c>
      <c r="O368" s="11">
        <f t="shared" si="5"/>
        <v>6.5909611535502108E-2</v>
      </c>
      <c r="P368"/>
      <c r="Q368" s="11"/>
    </row>
    <row r="369" spans="1:17" x14ac:dyDescent="0.35">
      <c r="A369" s="2" t="s">
        <v>22</v>
      </c>
      <c r="O369" s="11" t="str">
        <f t="shared" si="5"/>
        <v/>
      </c>
      <c r="P369"/>
      <c r="Q369" s="11"/>
    </row>
    <row r="370" spans="1:17" x14ac:dyDescent="0.35">
      <c r="A370" s="3" t="s">
        <v>39</v>
      </c>
      <c r="B370" s="4">
        <v>312.23241038038213</v>
      </c>
      <c r="C370" s="4">
        <v>329.08674071863675</v>
      </c>
      <c r="D370" s="4">
        <v>349.55395654630411</v>
      </c>
      <c r="E370" s="4">
        <v>371.59976342490995</v>
      </c>
      <c r="F370" s="4">
        <v>395.76168734733187</v>
      </c>
      <c r="G370" s="4">
        <v>421.6907356556294</v>
      </c>
      <c r="H370" s="4">
        <v>450.20913717735402</v>
      </c>
      <c r="I370" s="4">
        <v>482.24549554853911</v>
      </c>
      <c r="J370" s="4">
        <v>516.20690881698397</v>
      </c>
      <c r="K370" s="4">
        <v>553.84254991896432</v>
      </c>
      <c r="L370" s="4">
        <v>594.03387245904696</v>
      </c>
      <c r="M370" s="4">
        <v>638.06872005498144</v>
      </c>
      <c r="N370" s="4">
        <v>687.91866696577927</v>
      </c>
      <c r="O370" s="11">
        <f t="shared" si="5"/>
        <v>7.2416014299001283E-2</v>
      </c>
      <c r="P370"/>
      <c r="Q370" s="11"/>
    </row>
    <row r="371" spans="1:17" x14ac:dyDescent="0.35">
      <c r="A371" s="3" t="s">
        <v>41</v>
      </c>
      <c r="B371" s="4">
        <v>263.13348049221406</v>
      </c>
      <c r="C371" s="4">
        <v>276.31350283042127</v>
      </c>
      <c r="D371" s="4">
        <v>290.73586554990464</v>
      </c>
      <c r="E371" s="4">
        <v>305.93669835594949</v>
      </c>
      <c r="F371" s="4">
        <v>322.07829499884235</v>
      </c>
      <c r="G371" s="4">
        <v>339.36553656941533</v>
      </c>
      <c r="H371" s="4">
        <v>357.84678487725597</v>
      </c>
      <c r="I371" s="4">
        <v>378.32452245422195</v>
      </c>
      <c r="J371" s="4">
        <v>400.2867864471242</v>
      </c>
      <c r="K371" s="4">
        <v>424.03276449517818</v>
      </c>
      <c r="L371" s="4">
        <v>449.93150776361568</v>
      </c>
      <c r="M371" s="4">
        <v>478.23367682100417</v>
      </c>
      <c r="N371" s="4">
        <v>509.22488805893079</v>
      </c>
      <c r="O371" s="11">
        <f t="shared" si="5"/>
        <v>5.9686525616098988E-2</v>
      </c>
      <c r="P371"/>
      <c r="Q371" s="11"/>
    </row>
    <row r="372" spans="1:17" x14ac:dyDescent="0.35">
      <c r="A372" s="3" t="s">
        <v>40</v>
      </c>
      <c r="B372" s="4">
        <v>347.72178218826139</v>
      </c>
      <c r="C372" s="4">
        <v>367.54114346477695</v>
      </c>
      <c r="D372" s="4">
        <v>389.38545967627084</v>
      </c>
      <c r="E372" s="4">
        <v>412.82426014165895</v>
      </c>
      <c r="F372" s="4">
        <v>438.00683229379939</v>
      </c>
      <c r="G372" s="4">
        <v>465.2679622444324</v>
      </c>
      <c r="H372" s="4">
        <v>494.57823527506383</v>
      </c>
      <c r="I372" s="4">
        <v>526.292823234362</v>
      </c>
      <c r="J372" s="4">
        <v>560.86069152026914</v>
      </c>
      <c r="K372" s="4">
        <v>598.14896606360423</v>
      </c>
      <c r="L372" s="4">
        <v>638.65421759913011</v>
      </c>
      <c r="M372" s="4">
        <v>682.71413506511124</v>
      </c>
      <c r="N372" s="4">
        <v>731.0117213905545</v>
      </c>
      <c r="O372" s="11">
        <f t="shared" si="5"/>
        <v>6.667372861604573E-2</v>
      </c>
      <c r="P372"/>
      <c r="Q372" s="11"/>
    </row>
    <row r="373" spans="1:17" x14ac:dyDescent="0.35">
      <c r="A373" s="3" t="s">
        <v>42</v>
      </c>
      <c r="B373" s="4">
        <v>360.96020039180854</v>
      </c>
      <c r="C373" s="4">
        <v>387.11518095934179</v>
      </c>
      <c r="D373" s="4">
        <v>416.09747155066833</v>
      </c>
      <c r="E373" s="4">
        <v>447.48875364285794</v>
      </c>
      <c r="F373" s="4">
        <v>481.56190421535092</v>
      </c>
      <c r="G373" s="4">
        <v>518.47276700699888</v>
      </c>
      <c r="H373" s="4">
        <v>558.37815354400334</v>
      </c>
      <c r="I373" s="4">
        <v>601.63872774039726</v>
      </c>
      <c r="J373" s="4">
        <v>648.88103144693105</v>
      </c>
      <c r="K373" s="4">
        <v>700.72133262753778</v>
      </c>
      <c r="L373" s="4">
        <v>757.30221222057003</v>
      </c>
      <c r="M373" s="4">
        <v>818.89421753147997</v>
      </c>
      <c r="N373" s="4">
        <v>886.23122924043469</v>
      </c>
      <c r="O373" s="11">
        <f t="shared" si="5"/>
        <v>7.9593241550147117E-2</v>
      </c>
      <c r="P373"/>
      <c r="Q373" s="11"/>
    </row>
    <row r="374" spans="1:17" x14ac:dyDescent="0.35">
      <c r="A374" s="1" t="s">
        <v>57</v>
      </c>
      <c r="O374" s="11" t="str">
        <f t="shared" si="5"/>
        <v/>
      </c>
      <c r="P374"/>
      <c r="Q374" s="11"/>
    </row>
    <row r="375" spans="1:17" x14ac:dyDescent="0.35">
      <c r="A375" s="2" t="s">
        <v>24</v>
      </c>
      <c r="O375" s="11" t="str">
        <f t="shared" si="5"/>
        <v/>
      </c>
      <c r="P375"/>
      <c r="Q375" s="11"/>
    </row>
    <row r="376" spans="1:17" x14ac:dyDescent="0.35">
      <c r="A376" s="3" t="s">
        <v>25</v>
      </c>
      <c r="B376" s="4">
        <v>86.467447630845754</v>
      </c>
      <c r="C376" s="4">
        <v>90.606776636827689</v>
      </c>
      <c r="D376" s="4">
        <v>95.307024207059527</v>
      </c>
      <c r="E376" s="4">
        <v>100.31939447053411</v>
      </c>
      <c r="F376" s="4">
        <v>105.70621996791415</v>
      </c>
      <c r="G376" s="4">
        <v>111.47020513357855</v>
      </c>
      <c r="H376" s="4">
        <v>117.66439732709263</v>
      </c>
      <c r="I376" s="4">
        <v>124.41529006071804</v>
      </c>
      <c r="J376" s="4">
        <v>131.64656369997164</v>
      </c>
      <c r="K376" s="4">
        <v>139.50103658289953</v>
      </c>
      <c r="L376" s="4">
        <v>147.93488977465304</v>
      </c>
      <c r="M376" s="4">
        <v>157.05925050357635</v>
      </c>
      <c r="N376" s="4">
        <v>167.0789845893573</v>
      </c>
      <c r="O376" s="11">
        <f t="shared" si="5"/>
        <v>5.951962128587529E-2</v>
      </c>
      <c r="P376"/>
      <c r="Q376" s="11"/>
    </row>
    <row r="377" spans="1:17" x14ac:dyDescent="0.35">
      <c r="A377" s="3" t="s">
        <v>26</v>
      </c>
      <c r="B377" s="4">
        <v>737.54311890296356</v>
      </c>
      <c r="C377" s="4">
        <v>782.65577714785741</v>
      </c>
      <c r="D377" s="4">
        <v>830.7420566190417</v>
      </c>
      <c r="E377" s="4">
        <v>882.2663102825577</v>
      </c>
      <c r="F377" s="4">
        <v>937.7905220648023</v>
      </c>
      <c r="G377" s="4">
        <v>997.46872480728996</v>
      </c>
      <c r="H377" s="4">
        <v>1061.2209702021241</v>
      </c>
      <c r="I377" s="4">
        <v>1129.9990901921874</v>
      </c>
      <c r="J377" s="4">
        <v>1204.9915050771715</v>
      </c>
      <c r="K377" s="4">
        <v>1285.7366212286529</v>
      </c>
      <c r="L377" s="4">
        <v>1373.5982585430911</v>
      </c>
      <c r="M377" s="4">
        <v>1468.8792180039693</v>
      </c>
      <c r="N377" s="4">
        <v>1572.3287006612672</v>
      </c>
      <c r="O377" s="11">
        <f t="shared" si="5"/>
        <v>6.7173088649254684E-2</v>
      </c>
      <c r="P377"/>
      <c r="Q377" s="11"/>
    </row>
    <row r="378" spans="1:17" x14ac:dyDescent="0.35">
      <c r="A378" s="2" t="s">
        <v>27</v>
      </c>
      <c r="O378" s="11" t="str">
        <f t="shared" si="5"/>
        <v/>
      </c>
      <c r="P378"/>
      <c r="Q378" s="11"/>
    </row>
    <row r="379" spans="1:17" x14ac:dyDescent="0.35">
      <c r="A379" s="3" t="s">
        <v>30</v>
      </c>
      <c r="B379" s="4">
        <v>133.66901888451235</v>
      </c>
      <c r="C379" s="4">
        <v>142.7080390747939</v>
      </c>
      <c r="D379" s="4">
        <v>152.92966001765222</v>
      </c>
      <c r="E379" s="4">
        <v>163.99300403638151</v>
      </c>
      <c r="F379" s="4">
        <v>176.03790038091924</v>
      </c>
      <c r="G379" s="4">
        <v>189.11385776895193</v>
      </c>
      <c r="H379" s="4">
        <v>203.35772718114521</v>
      </c>
      <c r="I379" s="4">
        <v>219.04169293280094</v>
      </c>
      <c r="J379" s="4">
        <v>236.09911311581783</v>
      </c>
      <c r="K379" s="4">
        <v>254.84873681711929</v>
      </c>
      <c r="L379" s="4">
        <v>275.28968310528091</v>
      </c>
      <c r="M379" s="4">
        <v>297.70627228125852</v>
      </c>
      <c r="N379" s="4">
        <v>322.57866641219624</v>
      </c>
      <c r="O379" s="11">
        <f t="shared" si="5"/>
        <v>7.9270550571350032E-2</v>
      </c>
      <c r="P379"/>
      <c r="Q379" s="11"/>
    </row>
    <row r="380" spans="1:17" x14ac:dyDescent="0.35">
      <c r="A380" s="3" t="s">
        <v>32</v>
      </c>
      <c r="B380" s="4">
        <v>67.857127452038611</v>
      </c>
      <c r="C380" s="4">
        <v>70.822464570778465</v>
      </c>
      <c r="D380" s="4">
        <v>73.98620340306212</v>
      </c>
      <c r="E380" s="4">
        <v>77.338321605754089</v>
      </c>
      <c r="F380" s="4">
        <v>80.870997507535535</v>
      </c>
      <c r="G380" s="4">
        <v>84.621808971679982</v>
      </c>
      <c r="H380" s="4">
        <v>88.676389177335352</v>
      </c>
      <c r="I380" s="4">
        <v>93.009572680153951</v>
      </c>
      <c r="J380" s="4">
        <v>97.676617596850051</v>
      </c>
      <c r="K380" s="4">
        <v>102.67743761688851</v>
      </c>
      <c r="L380" s="4">
        <v>108.0058383249178</v>
      </c>
      <c r="M380" s="4">
        <v>113.76584917608324</v>
      </c>
      <c r="N380" s="4">
        <v>120.00304433829983</v>
      </c>
      <c r="O380" s="11">
        <f t="shared" si="5"/>
        <v>5.1169742103602277E-2</v>
      </c>
      <c r="P380"/>
      <c r="Q380" s="11"/>
    </row>
    <row r="381" spans="1:17" x14ac:dyDescent="0.35">
      <c r="A381" s="3" t="s">
        <v>29</v>
      </c>
      <c r="B381" s="4">
        <v>187.85324522220233</v>
      </c>
      <c r="C381" s="4">
        <v>200.68074505604307</v>
      </c>
      <c r="D381" s="4">
        <v>214.43910367888847</v>
      </c>
      <c r="E381" s="4">
        <v>229.26553472608489</v>
      </c>
      <c r="F381" s="4">
        <v>245.32608405189163</v>
      </c>
      <c r="G381" s="4">
        <v>262.68427464530066</v>
      </c>
      <c r="H381" s="4">
        <v>281.34341778944088</v>
      </c>
      <c r="I381" s="4">
        <v>301.5801466490131</v>
      </c>
      <c r="J381" s="4">
        <v>323.74133495695702</v>
      </c>
      <c r="K381" s="4">
        <v>347.7394459792813</v>
      </c>
      <c r="L381" s="4">
        <v>373.97784691667562</v>
      </c>
      <c r="M381" s="4">
        <v>402.58136084352486</v>
      </c>
      <c r="N381" s="4">
        <v>433.79995523560581</v>
      </c>
      <c r="O381" s="11">
        <f t="shared" si="5"/>
        <v>7.4291659470173618E-2</v>
      </c>
      <c r="P381"/>
      <c r="Q381" s="11"/>
    </row>
    <row r="382" spans="1:17" x14ac:dyDescent="0.35">
      <c r="A382" s="3" t="s">
        <v>31</v>
      </c>
      <c r="B382" s="4">
        <v>122.16904288751275</v>
      </c>
      <c r="C382" s="4">
        <v>129.29065470708073</v>
      </c>
      <c r="D382" s="4">
        <v>136.97475892644923</v>
      </c>
      <c r="E382" s="4">
        <v>145.20659248519618</v>
      </c>
      <c r="F382" s="4">
        <v>154.12446879823221</v>
      </c>
      <c r="G382" s="4">
        <v>163.80923792697897</v>
      </c>
      <c r="H382" s="4">
        <v>174.24804387450641</v>
      </c>
      <c r="I382" s="4">
        <v>185.72908550690099</v>
      </c>
      <c r="J382" s="4">
        <v>198.21749215776779</v>
      </c>
      <c r="K382" s="4">
        <v>211.72861698289728</v>
      </c>
      <c r="L382" s="4">
        <v>226.56351361439351</v>
      </c>
      <c r="M382" s="4">
        <v>242.65986308731999</v>
      </c>
      <c r="N382" s="4">
        <v>260.26549748764938</v>
      </c>
      <c r="O382" s="11">
        <f t="shared" si="5"/>
        <v>6.8379284074537708E-2</v>
      </c>
      <c r="P382"/>
      <c r="Q382" s="11"/>
    </row>
    <row r="383" spans="1:17" x14ac:dyDescent="0.35">
      <c r="A383" s="3" t="s">
        <v>28</v>
      </c>
      <c r="B383" s="4">
        <v>263.31747313760172</v>
      </c>
      <c r="C383" s="4">
        <v>277.99670894033818</v>
      </c>
      <c r="D383" s="4">
        <v>293.07043782009998</v>
      </c>
      <c r="E383" s="4">
        <v>309.04599998202639</v>
      </c>
      <c r="F383" s="4">
        <v>326.09273188522388</v>
      </c>
      <c r="G383" s="4">
        <v>344.09172239301529</v>
      </c>
      <c r="H383" s="4">
        <v>362.81015868354814</v>
      </c>
      <c r="I383" s="4">
        <v>382.46824057286517</v>
      </c>
      <c r="J383" s="4">
        <v>403.81890507520234</v>
      </c>
      <c r="K383" s="4">
        <v>426.31916048319738</v>
      </c>
      <c r="L383" s="4">
        <v>450.52743582545259</v>
      </c>
      <c r="M383" s="4">
        <v>476.36518501826845</v>
      </c>
      <c r="N383" s="4">
        <v>503.67496173018094</v>
      </c>
      <c r="O383" s="11">
        <f t="shared" si="5"/>
        <v>5.5940501980558888E-2</v>
      </c>
      <c r="P383"/>
      <c r="Q383" s="11"/>
    </row>
    <row r="384" spans="1:17" x14ac:dyDescent="0.35">
      <c r="A384" s="3" t="s">
        <v>33</v>
      </c>
      <c r="B384" s="4">
        <v>49.144658949941437</v>
      </c>
      <c r="C384" s="4">
        <v>51.763941435650779</v>
      </c>
      <c r="D384" s="4">
        <v>54.648916979949291</v>
      </c>
      <c r="E384" s="4">
        <v>57.736251917648651</v>
      </c>
      <c r="F384" s="4">
        <v>61.044559408913912</v>
      </c>
      <c r="G384" s="4">
        <v>64.618028234941704</v>
      </c>
      <c r="H384" s="4">
        <v>68.449630823240881</v>
      </c>
      <c r="I384" s="4">
        <v>72.585641911171294</v>
      </c>
      <c r="J384" s="4">
        <v>77.08460587454816</v>
      </c>
      <c r="K384" s="4">
        <v>81.924259932168766</v>
      </c>
      <c r="L384" s="4">
        <v>87.168830531023744</v>
      </c>
      <c r="M384" s="4">
        <v>92.859938101090677</v>
      </c>
      <c r="N384" s="4">
        <v>99.085560046692592</v>
      </c>
      <c r="O384" s="11">
        <f t="shared" si="5"/>
        <v>6.2973361184853444E-2</v>
      </c>
      <c r="P384"/>
      <c r="Q384" s="11"/>
    </row>
    <row r="385" spans="1:17" x14ac:dyDescent="0.35">
      <c r="A385" s="2" t="s">
        <v>34</v>
      </c>
      <c r="O385" s="11" t="str">
        <f t="shared" si="5"/>
        <v/>
      </c>
      <c r="P385"/>
      <c r="Q385" s="11"/>
    </row>
    <row r="386" spans="1:17" x14ac:dyDescent="0.35">
      <c r="A386" s="3" t="s">
        <v>36</v>
      </c>
      <c r="B386" s="4">
        <v>288.50604563319467</v>
      </c>
      <c r="C386" s="4">
        <v>308.44806584620864</v>
      </c>
      <c r="D386" s="4">
        <v>329.85295047626715</v>
      </c>
      <c r="E386" s="4">
        <v>352.93523716330935</v>
      </c>
      <c r="F386" s="4">
        <v>377.95451996424981</v>
      </c>
      <c r="G386" s="4">
        <v>405.01325577458658</v>
      </c>
      <c r="H386" s="4">
        <v>434.12138483996495</v>
      </c>
      <c r="I386" s="4">
        <v>465.71062175868889</v>
      </c>
      <c r="J386" s="4">
        <v>500.32249795480067</v>
      </c>
      <c r="K386" s="4">
        <v>537.82887855049296</v>
      </c>
      <c r="L386" s="4">
        <v>578.86048037916885</v>
      </c>
      <c r="M386" s="4">
        <v>623.61884110998415</v>
      </c>
      <c r="N386" s="4">
        <v>672.49997927512004</v>
      </c>
      <c r="O386" s="11">
        <f t="shared" si="5"/>
        <v>7.5128647222337919E-2</v>
      </c>
      <c r="P386"/>
      <c r="Q386" s="11"/>
    </row>
    <row r="387" spans="1:17" x14ac:dyDescent="0.35">
      <c r="A387" s="3" t="s">
        <v>37</v>
      </c>
      <c r="B387" s="4">
        <v>175.30530031437138</v>
      </c>
      <c r="C387" s="4">
        <v>185.46091201928948</v>
      </c>
      <c r="D387" s="4">
        <v>196.6788548002271</v>
      </c>
      <c r="E387" s="4">
        <v>208.63411775963323</v>
      </c>
      <c r="F387" s="4">
        <v>221.43000865934241</v>
      </c>
      <c r="G387" s="4">
        <v>235.24318497032601</v>
      </c>
      <c r="H387" s="4">
        <v>250.32373708580045</v>
      </c>
      <c r="I387" s="4">
        <v>266.93400928819352</v>
      </c>
      <c r="J387" s="4">
        <v>284.895074633523</v>
      </c>
      <c r="K387" s="4">
        <v>304.33535563877672</v>
      </c>
      <c r="L387" s="4">
        <v>325.69802421312653</v>
      </c>
      <c r="M387" s="4">
        <v>349.22380025308297</v>
      </c>
      <c r="N387" s="4">
        <v>375.1892727689044</v>
      </c>
      <c r="O387" s="11">
        <f t="shared" si="5"/>
        <v>6.8961118578492672E-2</v>
      </c>
      <c r="P387"/>
      <c r="Q387" s="11"/>
    </row>
    <row r="388" spans="1:17" x14ac:dyDescent="0.35">
      <c r="A388" s="3" t="s">
        <v>35</v>
      </c>
      <c r="B388" s="4">
        <v>286.67242704714329</v>
      </c>
      <c r="C388" s="4">
        <v>302.11458174665722</v>
      </c>
      <c r="D388" s="4">
        <v>318.06941824211037</v>
      </c>
      <c r="E388" s="4">
        <v>335.07191753260167</v>
      </c>
      <c r="F388" s="4">
        <v>353.32799685227781</v>
      </c>
      <c r="G388" s="4">
        <v>372.71045026837896</v>
      </c>
      <c r="H388" s="4">
        <v>392.88413707520965</v>
      </c>
      <c r="I388" s="4">
        <v>414.12125630997286</v>
      </c>
      <c r="J388" s="4">
        <v>437.23362093072592</v>
      </c>
      <c r="K388" s="4">
        <v>461.77504340328323</v>
      </c>
      <c r="L388" s="4">
        <v>488.02555300951485</v>
      </c>
      <c r="M388" s="4">
        <v>515.85602984290585</v>
      </c>
      <c r="N388" s="4">
        <v>545.36425513024551</v>
      </c>
      <c r="O388" s="11">
        <f t="shared" si="5"/>
        <v>5.5884568464551546E-2</v>
      </c>
      <c r="P388"/>
      <c r="Q388" s="11"/>
    </row>
    <row r="389" spans="1:17" x14ac:dyDescent="0.35">
      <c r="A389" s="3" t="s">
        <v>38</v>
      </c>
      <c r="B389" s="4">
        <v>73.526793539099998</v>
      </c>
      <c r="C389" s="4">
        <v>77.238994172529743</v>
      </c>
      <c r="D389" s="4">
        <v>81.447857307496577</v>
      </c>
      <c r="E389" s="4">
        <v>85.944432297547536</v>
      </c>
      <c r="F389" s="4">
        <v>90.784216556846332</v>
      </c>
      <c r="G389" s="4">
        <v>95.972038927576918</v>
      </c>
      <c r="H389" s="4">
        <v>101.55610852824179</v>
      </c>
      <c r="I389" s="4">
        <v>107.64849289605016</v>
      </c>
      <c r="J389" s="4">
        <v>114.18687525809359</v>
      </c>
      <c r="K389" s="4">
        <v>121.29838021899951</v>
      </c>
      <c r="L389" s="4">
        <v>128.94909071593415</v>
      </c>
      <c r="M389" s="4">
        <v>137.23979730157279</v>
      </c>
      <c r="N389" s="4">
        <v>146.35417807635469</v>
      </c>
      <c r="O389" s="11">
        <f t="shared" si="5"/>
        <v>6.213582538351551E-2</v>
      </c>
      <c r="P389"/>
      <c r="Q389" s="11"/>
    </row>
    <row r="390" spans="1:17" x14ac:dyDescent="0.35">
      <c r="A390" s="2" t="s">
        <v>22</v>
      </c>
      <c r="O390" s="11" t="str">
        <f t="shared" si="5"/>
        <v/>
      </c>
      <c r="P390"/>
      <c r="Q390" s="11"/>
    </row>
    <row r="391" spans="1:17" x14ac:dyDescent="0.35">
      <c r="A391" s="3" t="s">
        <v>39</v>
      </c>
      <c r="B391" s="4">
        <v>220.78727888725859</v>
      </c>
      <c r="C391" s="4">
        <v>235.83438285759757</v>
      </c>
      <c r="D391" s="4">
        <v>251.57919417440735</v>
      </c>
      <c r="E391" s="4">
        <v>268.41840550850054</v>
      </c>
      <c r="F391" s="4">
        <v>286.5442053621839</v>
      </c>
      <c r="G391" s="4">
        <v>305.74806632269508</v>
      </c>
      <c r="H391" s="4">
        <v>326.07068686045648</v>
      </c>
      <c r="I391" s="4">
        <v>347.72609683422002</v>
      </c>
      <c r="J391" s="4">
        <v>371.25213884731329</v>
      </c>
      <c r="K391" s="4">
        <v>396.53852794132854</v>
      </c>
      <c r="L391" s="4">
        <v>423.82760627384027</v>
      </c>
      <c r="M391" s="4">
        <v>453.30313911166013</v>
      </c>
      <c r="N391" s="4">
        <v>484.93758862665663</v>
      </c>
      <c r="O391" s="11">
        <f t="shared" si="5"/>
        <v>6.8113605459782331E-2</v>
      </c>
      <c r="P391"/>
      <c r="Q391" s="11"/>
    </row>
    <row r="392" spans="1:17" x14ac:dyDescent="0.35">
      <c r="A392" s="3" t="s">
        <v>41</v>
      </c>
      <c r="B392" s="4">
        <v>167.53213634018746</v>
      </c>
      <c r="C392" s="4">
        <v>175.10049048787138</v>
      </c>
      <c r="D392" s="4">
        <v>183.21030981679797</v>
      </c>
      <c r="E392" s="4">
        <v>191.81750978376962</v>
      </c>
      <c r="F392" s="4">
        <v>201.08182218970444</v>
      </c>
      <c r="G392" s="4">
        <v>211.0795628512075</v>
      </c>
      <c r="H392" s="4">
        <v>221.76183937721731</v>
      </c>
      <c r="I392" s="4">
        <v>233.46454657937304</v>
      </c>
      <c r="J392" s="4">
        <v>246.10019603601219</v>
      </c>
      <c r="K392" s="4">
        <v>259.64692176082269</v>
      </c>
      <c r="L392" s="4">
        <v>274.43330999169063</v>
      </c>
      <c r="M392" s="4">
        <v>290.33070428327204</v>
      </c>
      <c r="N392" s="4">
        <v>307.58655768051176</v>
      </c>
      <c r="O392" s="11">
        <f t="shared" si="5"/>
        <v>5.5261676970025327E-2</v>
      </c>
      <c r="P392"/>
      <c r="Q392" s="11"/>
    </row>
    <row r="393" spans="1:17" x14ac:dyDescent="0.35">
      <c r="A393" s="3" t="s">
        <v>40</v>
      </c>
      <c r="B393" s="4">
        <v>205.17363303716797</v>
      </c>
      <c r="C393" s="4">
        <v>216.71300251219162</v>
      </c>
      <c r="D393" s="4">
        <v>228.96069474236279</v>
      </c>
      <c r="E393" s="4">
        <v>242.0338477353819</v>
      </c>
      <c r="F393" s="4">
        <v>256.0741004948286</v>
      </c>
      <c r="G393" s="4">
        <v>271.10894585416378</v>
      </c>
      <c r="H393" s="4">
        <v>287.10162739086206</v>
      </c>
      <c r="I393" s="4">
        <v>304.29505497152371</v>
      </c>
      <c r="J393" s="4">
        <v>322.99120581812463</v>
      </c>
      <c r="K393" s="4">
        <v>343.04402064334641</v>
      </c>
      <c r="L393" s="4">
        <v>364.79695063694714</v>
      </c>
      <c r="M393" s="4">
        <v>388.3051224430294</v>
      </c>
      <c r="N393" s="4">
        <v>413.74040299254051</v>
      </c>
      <c r="O393" s="11">
        <f t="shared" si="5"/>
        <v>6.2248919060001733E-2</v>
      </c>
      <c r="P393"/>
      <c r="Q393" s="11"/>
    </row>
    <row r="394" spans="1:17" x14ac:dyDescent="0.35">
      <c r="A394" s="3" t="s">
        <v>42</v>
      </c>
      <c r="B394" s="4">
        <v>230.51751826919534</v>
      </c>
      <c r="C394" s="4">
        <v>245.61467792702459</v>
      </c>
      <c r="D394" s="4">
        <v>262.29888209253306</v>
      </c>
      <c r="E394" s="4">
        <v>280.3159417254397</v>
      </c>
      <c r="F394" s="4">
        <v>299.79661398599944</v>
      </c>
      <c r="G394" s="4">
        <v>321.00235491280216</v>
      </c>
      <c r="H394" s="4">
        <v>343.95121390068101</v>
      </c>
      <c r="I394" s="4">
        <v>368.92868186778873</v>
      </c>
      <c r="J394" s="4">
        <v>396.29452807569299</v>
      </c>
      <c r="K394" s="4">
        <v>426.00818746605484</v>
      </c>
      <c r="L394" s="4">
        <v>458.47528141526612</v>
      </c>
      <c r="M394" s="4">
        <v>493.99950266958388</v>
      </c>
      <c r="N394" s="4">
        <v>533.14313595091562</v>
      </c>
      <c r="O394" s="11">
        <f t="shared" si="5"/>
        <v>7.5168457332015839E-2</v>
      </c>
      <c r="P394"/>
      <c r="Q394" s="11"/>
    </row>
    <row r="395" spans="1:17" x14ac:dyDescent="0.35">
      <c r="A395" s="1" t="s">
        <v>58</v>
      </c>
      <c r="O395" s="11" t="str">
        <f t="shared" si="5"/>
        <v/>
      </c>
      <c r="P395"/>
      <c r="Q395" s="11"/>
    </row>
    <row r="396" spans="1:17" x14ac:dyDescent="0.35">
      <c r="A396" s="2" t="s">
        <v>24</v>
      </c>
      <c r="O396" s="11" t="str">
        <f t="shared" si="5"/>
        <v/>
      </c>
      <c r="P396"/>
      <c r="Q396" s="11"/>
    </row>
    <row r="397" spans="1:17" x14ac:dyDescent="0.35">
      <c r="A397" s="3" t="s">
        <v>25</v>
      </c>
      <c r="B397" s="4">
        <v>64.022992003917523</v>
      </c>
      <c r="C397" s="4">
        <v>67.758698955906098</v>
      </c>
      <c r="D397" s="4">
        <v>71.739233950904705</v>
      </c>
      <c r="E397" s="4">
        <v>75.977094964728977</v>
      </c>
      <c r="F397" s="4">
        <v>80.491320953871835</v>
      </c>
      <c r="G397" s="4">
        <v>85.32594179572402</v>
      </c>
      <c r="H397" s="4">
        <v>90.546109463868447</v>
      </c>
      <c r="I397" s="4">
        <v>96.137843856245411</v>
      </c>
      <c r="J397" s="4">
        <v>102.21838524717515</v>
      </c>
      <c r="K397" s="4">
        <v>108.84385279814354</v>
      </c>
      <c r="L397" s="4">
        <v>116.04160038494335</v>
      </c>
      <c r="M397" s="4">
        <v>123.79377408668313</v>
      </c>
      <c r="N397" s="4">
        <v>132.28048100794899</v>
      </c>
      <c r="O397" s="11">
        <f t="shared" si="5"/>
        <v>6.4638326231979029E-2</v>
      </c>
      <c r="P397"/>
      <c r="Q397" s="11"/>
    </row>
    <row r="398" spans="1:17" x14ac:dyDescent="0.35">
      <c r="A398" s="3" t="s">
        <v>26</v>
      </c>
      <c r="B398" s="4">
        <v>694.27123581634078</v>
      </c>
      <c r="C398" s="4">
        <v>740.29086656215156</v>
      </c>
      <c r="D398" s="4">
        <v>789.56355635783166</v>
      </c>
      <c r="E398" s="4">
        <v>842.5753547472757</v>
      </c>
      <c r="F398" s="4">
        <v>899.91453719316621</v>
      </c>
      <c r="G398" s="4">
        <v>961.78879133642351</v>
      </c>
      <c r="H398" s="4">
        <v>1028.1836689247141</v>
      </c>
      <c r="I398" s="4">
        <v>1100.0835633640934</v>
      </c>
      <c r="J398" s="4">
        <v>1178.7215996079603</v>
      </c>
      <c r="K398" s="4">
        <v>1263.7398873542998</v>
      </c>
      <c r="L398" s="4">
        <v>1356.5670326048637</v>
      </c>
      <c r="M398" s="4">
        <v>1457.6104252507905</v>
      </c>
      <c r="N398" s="4">
        <v>1567.7273034597706</v>
      </c>
      <c r="O398" s="11">
        <f t="shared" si="5"/>
        <v>7.2291770517048701E-2</v>
      </c>
      <c r="P398"/>
      <c r="Q398" s="11"/>
    </row>
    <row r="399" spans="1:17" x14ac:dyDescent="0.35">
      <c r="A399" s="2" t="s">
        <v>27</v>
      </c>
      <c r="O399" s="11" t="str">
        <f t="shared" si="5"/>
        <v/>
      </c>
      <c r="P399"/>
      <c r="Q399" s="11"/>
    </row>
    <row r="400" spans="1:17" x14ac:dyDescent="0.35">
      <c r="A400" s="3" t="s">
        <v>30</v>
      </c>
      <c r="B400" s="4">
        <v>134.54190279053088</v>
      </c>
      <c r="C400" s="4">
        <v>144.94155664690612</v>
      </c>
      <c r="D400" s="4">
        <v>156.49407475049489</v>
      </c>
      <c r="E400" s="4">
        <v>169.05733190264786</v>
      </c>
      <c r="F400" s="4">
        <v>182.74765195860789</v>
      </c>
      <c r="G400" s="4">
        <v>197.63894066598203</v>
      </c>
      <c r="H400" s="4">
        <v>213.80669269669968</v>
      </c>
      <c r="I400" s="4">
        <v>231.40570161883733</v>
      </c>
      <c r="J400" s="4">
        <v>250.69568494691751</v>
      </c>
      <c r="K400" s="4">
        <v>271.93691708633878</v>
      </c>
      <c r="L400" s="4">
        <v>295.21034647218568</v>
      </c>
      <c r="M400" s="4">
        <v>320.64806726528678</v>
      </c>
      <c r="N400" s="4">
        <v>348.56577257949226</v>
      </c>
      <c r="O400" s="11">
        <f t="shared" si="5"/>
        <v>8.4430555473752153E-2</v>
      </c>
      <c r="P400"/>
      <c r="Q400" s="11"/>
    </row>
    <row r="401" spans="1:17" x14ac:dyDescent="0.35">
      <c r="A401" s="3" t="s">
        <v>32</v>
      </c>
      <c r="B401" s="4">
        <v>72.188755954123963</v>
      </c>
      <c r="C401" s="4">
        <v>75.80115101094961</v>
      </c>
      <c r="D401" s="4">
        <v>79.624352448019309</v>
      </c>
      <c r="E401" s="4">
        <v>83.666453673915797</v>
      </c>
      <c r="F401" s="4">
        <v>87.942405475789315</v>
      </c>
      <c r="G401" s="4">
        <v>92.493898447455337</v>
      </c>
      <c r="H401" s="4">
        <v>97.384110585545997</v>
      </c>
      <c r="I401" s="4">
        <v>102.58901498018059</v>
      </c>
      <c r="J401" s="4">
        <v>108.22522089474626</v>
      </c>
      <c r="K401" s="4">
        <v>114.34084371009509</v>
      </c>
      <c r="L401" s="4">
        <v>120.95210228860412</v>
      </c>
      <c r="M401" s="4">
        <v>128.02739294003882</v>
      </c>
      <c r="N401" s="4">
        <v>135.74062169464165</v>
      </c>
      <c r="O401" s="11">
        <f t="shared" si="5"/>
        <v>5.6329809322201579E-2</v>
      </c>
      <c r="P401"/>
      <c r="Q401" s="11"/>
    </row>
    <row r="402" spans="1:17" x14ac:dyDescent="0.35">
      <c r="A402" s="3" t="s">
        <v>29</v>
      </c>
      <c r="B402" s="4">
        <v>180.0466303631693</v>
      </c>
      <c r="C402" s="4">
        <v>191.81236702003343</v>
      </c>
      <c r="D402" s="4">
        <v>204.64281213154553</v>
      </c>
      <c r="E402" s="4">
        <v>218.72430107836553</v>
      </c>
      <c r="F402" s="4">
        <v>234.022878339698</v>
      </c>
      <c r="G402" s="4">
        <v>251.02576413098117</v>
      </c>
      <c r="H402" s="4">
        <v>269.39978290114226</v>
      </c>
      <c r="I402" s="4">
        <v>289.81663096860711</v>
      </c>
      <c r="J402" s="4">
        <v>312.2495536738295</v>
      </c>
      <c r="K402" s="4">
        <v>336.93921209356779</v>
      </c>
      <c r="L402" s="4">
        <v>364.35628902959547</v>
      </c>
      <c r="M402" s="4">
        <v>394.87663736322179</v>
      </c>
      <c r="N402" s="4">
        <v>428.6876731290796</v>
      </c>
      <c r="O402" s="11">
        <f t="shared" si="5"/>
        <v>7.9451769403722894E-2</v>
      </c>
      <c r="P402"/>
      <c r="Q402" s="11"/>
    </row>
    <row r="403" spans="1:17" x14ac:dyDescent="0.35">
      <c r="A403" s="3" t="s">
        <v>31</v>
      </c>
      <c r="B403" s="4">
        <v>96.03477158428295</v>
      </c>
      <c r="C403" s="4">
        <v>102.12847860176662</v>
      </c>
      <c r="D403" s="4">
        <v>108.72524547836169</v>
      </c>
      <c r="E403" s="4">
        <v>115.82038144110967</v>
      </c>
      <c r="F403" s="4">
        <v>123.5311381265268</v>
      </c>
      <c r="G403" s="4">
        <v>131.93092925265762</v>
      </c>
      <c r="H403" s="4">
        <v>141.01904609974048</v>
      </c>
      <c r="I403" s="4">
        <v>151.03832319673677</v>
      </c>
      <c r="J403" s="4">
        <v>161.97348923716962</v>
      </c>
      <c r="K403" s="4">
        <v>173.84989825662646</v>
      </c>
      <c r="L403" s="4">
        <v>186.92787060046433</v>
      </c>
      <c r="M403" s="4">
        <v>201.17283489854168</v>
      </c>
      <c r="N403" s="4">
        <v>216.80653124218233</v>
      </c>
      <c r="O403" s="11">
        <f t="shared" si="5"/>
        <v>7.3539337443092809E-2</v>
      </c>
      <c r="P403"/>
      <c r="Q403" s="11"/>
    </row>
    <row r="404" spans="1:17" x14ac:dyDescent="0.35">
      <c r="A404" s="3" t="s">
        <v>28</v>
      </c>
      <c r="B404" s="4">
        <v>233.764395441906</v>
      </c>
      <c r="C404" s="4">
        <v>249.3942292053988</v>
      </c>
      <c r="D404" s="4">
        <v>265.40090790356896</v>
      </c>
      <c r="E404" s="4">
        <v>282.20007870575284</v>
      </c>
      <c r="F404" s="4">
        <v>300.20027376462315</v>
      </c>
      <c r="G404" s="4">
        <v>318.87655139041806</v>
      </c>
      <c r="H404" s="4">
        <v>338.55903755694601</v>
      </c>
      <c r="I404" s="4">
        <v>359.03530100540706</v>
      </c>
      <c r="J404" s="4">
        <v>381.34006130905766</v>
      </c>
      <c r="K404" s="4">
        <v>404.55836868728898</v>
      </c>
      <c r="L404" s="4">
        <v>429.23268848366706</v>
      </c>
      <c r="M404" s="4">
        <v>455.24908961456867</v>
      </c>
      <c r="N404" s="4">
        <v>482.72625545387655</v>
      </c>
      <c r="O404" s="11">
        <f t="shared" si="5"/>
        <v>6.1024657171311482E-2</v>
      </c>
      <c r="P404"/>
      <c r="Q404" s="11"/>
    </row>
    <row r="405" spans="1:17" x14ac:dyDescent="0.35">
      <c r="A405" s="3" t="s">
        <v>33</v>
      </c>
      <c r="B405" s="4">
        <v>41.717771686245243</v>
      </c>
      <c r="C405" s="4">
        <v>43.971783033003</v>
      </c>
      <c r="D405" s="4">
        <v>46.415397596745954</v>
      </c>
      <c r="E405" s="4">
        <v>49.083902910212956</v>
      </c>
      <c r="F405" s="4">
        <v>51.961510481793013</v>
      </c>
      <c r="G405" s="4">
        <v>55.148649244653491</v>
      </c>
      <c r="H405" s="4">
        <v>58.561108548507967</v>
      </c>
      <c r="I405" s="4">
        <v>62.336435450569695</v>
      </c>
      <c r="J405" s="4">
        <v>66.455974793414967</v>
      </c>
      <c r="K405" s="4">
        <v>70.958500318526205</v>
      </c>
      <c r="L405" s="4">
        <v>75.929336115290553</v>
      </c>
      <c r="M405" s="4">
        <v>81.430177255815877</v>
      </c>
      <c r="N405" s="4">
        <v>87.48093036844719</v>
      </c>
      <c r="O405" s="11">
        <f t="shared" ref="O405:O468" si="6">IFERROR(RATE(2033-2026,,-G405,N405),"")</f>
        <v>6.8133415903298106E-2</v>
      </c>
      <c r="P405"/>
      <c r="Q405" s="11"/>
    </row>
    <row r="406" spans="1:17" x14ac:dyDescent="0.35">
      <c r="A406" s="2" t="s">
        <v>34</v>
      </c>
      <c r="O406" s="11" t="str">
        <f t="shared" si="6"/>
        <v/>
      </c>
      <c r="P406"/>
      <c r="Q406" s="11"/>
    </row>
    <row r="407" spans="1:17" x14ac:dyDescent="0.35">
      <c r="A407" s="3" t="s">
        <v>36</v>
      </c>
      <c r="B407" s="4">
        <v>261.74696087546812</v>
      </c>
      <c r="C407" s="4">
        <v>279.15005983739712</v>
      </c>
      <c r="D407" s="4">
        <v>298.1408018596469</v>
      </c>
      <c r="E407" s="4">
        <v>318.99577023332819</v>
      </c>
      <c r="F407" s="4">
        <v>341.67144156424274</v>
      </c>
      <c r="G407" s="4">
        <v>366.88501144292565</v>
      </c>
      <c r="H407" s="4">
        <v>394.15767666017479</v>
      </c>
      <c r="I407" s="4">
        <v>424.47881265615729</v>
      </c>
      <c r="J407" s="4">
        <v>457.81900447004222</v>
      </c>
      <c r="K407" s="4">
        <v>494.54078470164563</v>
      </c>
      <c r="L407" s="4">
        <v>535.34582476829223</v>
      </c>
      <c r="M407" s="4">
        <v>580.79941638900493</v>
      </c>
      <c r="N407" s="4">
        <v>631.1920605401358</v>
      </c>
      <c r="O407" s="11">
        <f t="shared" si="6"/>
        <v>8.0591758983534406E-2</v>
      </c>
      <c r="P407"/>
      <c r="Q407" s="11"/>
    </row>
    <row r="408" spans="1:17" x14ac:dyDescent="0.35">
      <c r="A408" s="3" t="s">
        <v>37</v>
      </c>
      <c r="B408" s="4">
        <v>165.62911921087255</v>
      </c>
      <c r="C408" s="4">
        <v>176.35329892156028</v>
      </c>
      <c r="D408" s="4">
        <v>188.20142959805452</v>
      </c>
      <c r="E408" s="4">
        <v>200.98872628868469</v>
      </c>
      <c r="F408" s="4">
        <v>214.80692352001603</v>
      </c>
      <c r="G408" s="4">
        <v>229.84114192731562</v>
      </c>
      <c r="H408" s="4">
        <v>246.10169955991745</v>
      </c>
      <c r="I408" s="4">
        <v>263.79023705926011</v>
      </c>
      <c r="J408" s="4">
        <v>283.16093815669774</v>
      </c>
      <c r="K408" s="4">
        <v>304.18122616703897</v>
      </c>
      <c r="L408" s="4">
        <v>327.13719422993631</v>
      </c>
      <c r="M408" s="4">
        <v>352.24140398269395</v>
      </c>
      <c r="N408" s="4">
        <v>379.89020426287567</v>
      </c>
      <c r="O408" s="11">
        <f t="shared" si="6"/>
        <v>7.4424147904894836E-2</v>
      </c>
      <c r="P408"/>
      <c r="Q408" s="11"/>
    </row>
    <row r="409" spans="1:17" x14ac:dyDescent="0.35">
      <c r="A409" s="3" t="s">
        <v>35</v>
      </c>
      <c r="B409" s="4">
        <v>267.96845804245834</v>
      </c>
      <c r="C409" s="4">
        <v>285.79025876703372</v>
      </c>
      <c r="D409" s="4">
        <v>304.00746524086708</v>
      </c>
      <c r="E409" s="4">
        <v>323.11304456235337</v>
      </c>
      <c r="F409" s="4">
        <v>343.63225328053693</v>
      </c>
      <c r="G409" s="4">
        <v>364.90194389673661</v>
      </c>
      <c r="H409" s="4">
        <v>387.42945972219513</v>
      </c>
      <c r="I409" s="4">
        <v>410.94996017000074</v>
      </c>
      <c r="J409" s="4">
        <v>436.50423673620446</v>
      </c>
      <c r="K409" s="4">
        <v>463.38153647758827</v>
      </c>
      <c r="L409" s="4">
        <v>492.04965970682531</v>
      </c>
      <c r="M409" s="4">
        <v>522.10045835013011</v>
      </c>
      <c r="N409" s="4">
        <v>553.79454549067987</v>
      </c>
      <c r="O409" s="11">
        <f t="shared" si="6"/>
        <v>6.140660358654567E-2</v>
      </c>
      <c r="P409"/>
      <c r="Q409" s="11"/>
    </row>
    <row r="410" spans="1:17" x14ac:dyDescent="0.35">
      <c r="A410" s="3" t="s">
        <v>38</v>
      </c>
      <c r="B410" s="4">
        <v>62.949689691459369</v>
      </c>
      <c r="C410" s="4">
        <v>66.755947992066567</v>
      </c>
      <c r="D410" s="4">
        <v>70.953093610167869</v>
      </c>
      <c r="E410" s="4">
        <v>75.454908627638318</v>
      </c>
      <c r="F410" s="4">
        <v>80.295239782242419</v>
      </c>
      <c r="G410" s="4">
        <v>85.486635865169831</v>
      </c>
      <c r="H410" s="4">
        <v>91.040942446295034</v>
      </c>
      <c r="I410" s="4">
        <v>97.002397334920602</v>
      </c>
      <c r="J410" s="4">
        <v>103.45580549219098</v>
      </c>
      <c r="K410" s="4">
        <v>110.48019280617054</v>
      </c>
      <c r="L410" s="4">
        <v>118.07595428475324</v>
      </c>
      <c r="M410" s="4">
        <v>126.26292061564467</v>
      </c>
      <c r="N410" s="4">
        <v>135.13097417402841</v>
      </c>
      <c r="O410" s="11">
        <f t="shared" si="6"/>
        <v>6.7598849935079489E-2</v>
      </c>
      <c r="P410"/>
      <c r="Q410" s="11"/>
    </row>
    <row r="411" spans="1:17" x14ac:dyDescent="0.35">
      <c r="A411" s="2" t="s">
        <v>22</v>
      </c>
      <c r="O411" s="11" t="str">
        <f t="shared" si="6"/>
        <v/>
      </c>
      <c r="P411"/>
      <c r="Q411" s="11"/>
    </row>
    <row r="412" spans="1:17" x14ac:dyDescent="0.35">
      <c r="A412" s="3" t="s">
        <v>39</v>
      </c>
      <c r="B412" s="4">
        <v>190.67106685504496</v>
      </c>
      <c r="C412" s="4">
        <v>205.54577378412228</v>
      </c>
      <c r="D412" s="4">
        <v>220.69543282053769</v>
      </c>
      <c r="E412" s="4">
        <v>237.17845110051428</v>
      </c>
      <c r="F412" s="4">
        <v>255.29768546148875</v>
      </c>
      <c r="G412" s="4">
        <v>274.76408991784547</v>
      </c>
      <c r="H412" s="4">
        <v>294.86177868949403</v>
      </c>
      <c r="I412" s="4">
        <v>316.06729729727931</v>
      </c>
      <c r="J412" s="4">
        <v>339.56886783198763</v>
      </c>
      <c r="K412" s="4">
        <v>364.53024012325966</v>
      </c>
      <c r="L412" s="4">
        <v>391.38613068900258</v>
      </c>
      <c r="M412" s="4">
        <v>420.07135275971768</v>
      </c>
      <c r="N412" s="4">
        <v>450.29075331712124</v>
      </c>
      <c r="O412" s="11">
        <f t="shared" si="6"/>
        <v>7.311824688557883E-2</v>
      </c>
      <c r="P412"/>
      <c r="Q412" s="11"/>
    </row>
    <row r="413" spans="1:17" x14ac:dyDescent="0.35">
      <c r="A413" s="3" t="s">
        <v>41</v>
      </c>
      <c r="B413" s="4">
        <v>152.20573302727936</v>
      </c>
      <c r="C413" s="4">
        <v>159.71230226828317</v>
      </c>
      <c r="D413" s="4">
        <v>167.99728205609173</v>
      </c>
      <c r="E413" s="4">
        <v>176.76225036688209</v>
      </c>
      <c r="F413" s="4">
        <v>186.08103187630783</v>
      </c>
      <c r="G413" s="4">
        <v>196.08646950900965</v>
      </c>
      <c r="H413" s="4">
        <v>206.96805128097162</v>
      </c>
      <c r="I413" s="4">
        <v>218.91895183861087</v>
      </c>
      <c r="J413" s="4">
        <v>231.76382581503188</v>
      </c>
      <c r="K413" s="4">
        <v>245.58255925222107</v>
      </c>
      <c r="L413" s="4">
        <v>260.70604170830188</v>
      </c>
      <c r="M413" s="4">
        <v>277.29201276204981</v>
      </c>
      <c r="N413" s="4">
        <v>295.52105785531478</v>
      </c>
      <c r="O413" s="11">
        <f t="shared" si="6"/>
        <v>6.0348646851481717E-2</v>
      </c>
      <c r="P413"/>
      <c r="Q413" s="11"/>
    </row>
    <row r="414" spans="1:17" x14ac:dyDescent="0.35">
      <c r="A414" s="3" t="s">
        <v>40</v>
      </c>
      <c r="B414" s="4">
        <v>189.85176127655222</v>
      </c>
      <c r="C414" s="4">
        <v>200.54151251165604</v>
      </c>
      <c r="D414" s="4">
        <v>212.34570825782029</v>
      </c>
      <c r="E414" s="4">
        <v>224.90818274014782</v>
      </c>
      <c r="F414" s="4">
        <v>238.33666411554498</v>
      </c>
      <c r="G414" s="4">
        <v>252.81715569645209</v>
      </c>
      <c r="H414" s="4">
        <v>268.61342433850228</v>
      </c>
      <c r="I414" s="4">
        <v>286.00075487841502</v>
      </c>
      <c r="J414" s="4">
        <v>304.77994039900761</v>
      </c>
      <c r="K414" s="4">
        <v>325.08176221889511</v>
      </c>
      <c r="L414" s="4">
        <v>347.37238396692214</v>
      </c>
      <c r="M414" s="4">
        <v>371.89918172171684</v>
      </c>
      <c r="N414" s="4">
        <v>398.94619393472323</v>
      </c>
      <c r="O414" s="11">
        <f t="shared" si="6"/>
        <v>6.7335887535846725E-2</v>
      </c>
      <c r="P414"/>
      <c r="Q414" s="11"/>
    </row>
    <row r="415" spans="1:17" x14ac:dyDescent="0.35">
      <c r="A415" s="3" t="s">
        <v>42</v>
      </c>
      <c r="B415" s="4">
        <v>225.56566666138184</v>
      </c>
      <c r="C415" s="4">
        <v>242.24997695399614</v>
      </c>
      <c r="D415" s="4">
        <v>260.26436717428663</v>
      </c>
      <c r="E415" s="4">
        <v>279.70356550446053</v>
      </c>
      <c r="F415" s="4">
        <v>300.69047669369655</v>
      </c>
      <c r="G415" s="4">
        <v>323.44701800884042</v>
      </c>
      <c r="H415" s="4">
        <v>348.28652407961448</v>
      </c>
      <c r="I415" s="4">
        <v>375.23440320603351</v>
      </c>
      <c r="J415" s="4">
        <v>404.82735080910834</v>
      </c>
      <c r="K415" s="4">
        <v>437.38917855806756</v>
      </c>
      <c r="L415" s="4">
        <v>473.14407662558062</v>
      </c>
      <c r="M415" s="4">
        <v>512.14165209398914</v>
      </c>
      <c r="N415" s="4">
        <v>555.2497793605603</v>
      </c>
      <c r="O415" s="11">
        <f t="shared" si="6"/>
        <v>8.0255443158059714E-2</v>
      </c>
      <c r="P415"/>
      <c r="Q415" s="11"/>
    </row>
    <row r="416" spans="1:17" x14ac:dyDescent="0.35">
      <c r="A416" s="1" t="s">
        <v>59</v>
      </c>
      <c r="O416" s="11" t="str">
        <f t="shared" si="6"/>
        <v/>
      </c>
      <c r="P416"/>
      <c r="Q416" s="11"/>
    </row>
    <row r="417" spans="1:17" x14ac:dyDescent="0.35">
      <c r="A417" s="2" t="s">
        <v>24</v>
      </c>
      <c r="O417" s="11" t="str">
        <f t="shared" si="6"/>
        <v/>
      </c>
      <c r="P417"/>
      <c r="Q417" s="11"/>
    </row>
    <row r="418" spans="1:17" x14ac:dyDescent="0.35">
      <c r="A418" s="3" t="s">
        <v>25</v>
      </c>
      <c r="B418" s="4">
        <v>44.606265059183215</v>
      </c>
      <c r="C418" s="4">
        <v>46.48661934943204</v>
      </c>
      <c r="D418" s="4">
        <v>48.559476065982416</v>
      </c>
      <c r="E418" s="4">
        <v>50.761700355916545</v>
      </c>
      <c r="F418" s="4">
        <v>53.104730526421569</v>
      </c>
      <c r="G418" s="4">
        <v>55.621670889454293</v>
      </c>
      <c r="H418" s="4">
        <v>58.300036519261845</v>
      </c>
      <c r="I418" s="4">
        <v>61.173134877633281</v>
      </c>
      <c r="J418" s="4">
        <v>64.283088258755996</v>
      </c>
      <c r="K418" s="4">
        <v>67.602715444617374</v>
      </c>
      <c r="L418" s="4">
        <v>71.17716832749457</v>
      </c>
      <c r="M418" s="4">
        <v>75.031086146443513</v>
      </c>
      <c r="N418" s="4">
        <v>79.225341196239299</v>
      </c>
      <c r="O418" s="11">
        <f t="shared" si="6"/>
        <v>5.1830419625871468E-2</v>
      </c>
      <c r="P418"/>
      <c r="Q418" s="11"/>
    </row>
    <row r="419" spans="1:17" x14ac:dyDescent="0.35">
      <c r="A419" s="3" t="s">
        <v>26</v>
      </c>
      <c r="B419" s="4">
        <v>382.53370884150979</v>
      </c>
      <c r="C419" s="4">
        <v>402.55940097307536</v>
      </c>
      <c r="D419" s="4">
        <v>424.60276325995687</v>
      </c>
      <c r="E419" s="4">
        <v>448.09722943413146</v>
      </c>
      <c r="F419" s="4">
        <v>473.20578014178034</v>
      </c>
      <c r="G419" s="4">
        <v>499.96031393250161</v>
      </c>
      <c r="H419" s="4">
        <v>528.38698669588848</v>
      </c>
      <c r="I419" s="4">
        <v>558.69847949778205</v>
      </c>
      <c r="J419" s="4">
        <v>591.33395141358164</v>
      </c>
      <c r="K419" s="4">
        <v>626.68538605080607</v>
      </c>
      <c r="L419" s="4">
        <v>664.68589551769185</v>
      </c>
      <c r="M419" s="4">
        <v>705.3789583252742</v>
      </c>
      <c r="N419" s="4">
        <v>749.19700978316746</v>
      </c>
      <c r="O419" s="11">
        <f t="shared" si="6"/>
        <v>5.9483890444524394E-2</v>
      </c>
      <c r="P419"/>
      <c r="Q419" s="11"/>
    </row>
    <row r="420" spans="1:17" x14ac:dyDescent="0.35">
      <c r="A420" s="2" t="s">
        <v>27</v>
      </c>
      <c r="O420" s="11" t="str">
        <f t="shared" si="6"/>
        <v/>
      </c>
      <c r="P420"/>
      <c r="Q420" s="11"/>
    </row>
    <row r="421" spans="1:17" x14ac:dyDescent="0.35">
      <c r="A421" s="3" t="s">
        <v>30</v>
      </c>
      <c r="B421" s="4">
        <v>81.714402722651542</v>
      </c>
      <c r="C421" s="4">
        <v>86.759794110534457</v>
      </c>
      <c r="D421" s="4">
        <v>92.328047949242801</v>
      </c>
      <c r="E421" s="4">
        <v>98.323904794446619</v>
      </c>
      <c r="F421" s="4">
        <v>104.788422674039</v>
      </c>
      <c r="G421" s="4">
        <v>111.8077283688511</v>
      </c>
      <c r="H421" s="4">
        <v>119.38191914458638</v>
      </c>
      <c r="I421" s="4">
        <v>127.60386745389877</v>
      </c>
      <c r="J421" s="4">
        <v>136.59078729746915</v>
      </c>
      <c r="K421" s="4">
        <v>146.32021434366041</v>
      </c>
      <c r="L421" s="4">
        <v>156.92318009494699</v>
      </c>
      <c r="M421" s="4">
        <v>168.49393357541436</v>
      </c>
      <c r="N421" s="4">
        <v>181.21353291296307</v>
      </c>
      <c r="O421" s="11">
        <f t="shared" si="6"/>
        <v>7.1420197526980353E-2</v>
      </c>
      <c r="P421"/>
      <c r="Q421" s="11"/>
    </row>
    <row r="422" spans="1:17" x14ac:dyDescent="0.35">
      <c r="A422" s="3" t="s">
        <v>32</v>
      </c>
      <c r="B422" s="4">
        <v>37.42826411319227</v>
      </c>
      <c r="C422" s="4">
        <v>38.782631215004415</v>
      </c>
      <c r="D422" s="4">
        <v>40.279391671609723</v>
      </c>
      <c r="E422" s="4">
        <v>41.857069207180395</v>
      </c>
      <c r="F422" s="4">
        <v>43.525879232260294</v>
      </c>
      <c r="G422" s="4">
        <v>45.283212209093655</v>
      </c>
      <c r="H422" s="4">
        <v>47.125940030406085</v>
      </c>
      <c r="I422" s="4">
        <v>49.067605364680254</v>
      </c>
      <c r="J422" s="4">
        <v>51.140659191675319</v>
      </c>
      <c r="K422" s="4">
        <v>53.371315633669873</v>
      </c>
      <c r="L422" s="4">
        <v>55.744889617208834</v>
      </c>
      <c r="M422" s="4">
        <v>58.256588969484817</v>
      </c>
      <c r="N422" s="4">
        <v>60.933794618160903</v>
      </c>
      <c r="O422" s="11">
        <f t="shared" si="6"/>
        <v>4.3319405979054051E-2</v>
      </c>
      <c r="P422"/>
      <c r="Q422" s="11"/>
    </row>
    <row r="423" spans="1:17" x14ac:dyDescent="0.35">
      <c r="A423" s="3" t="s">
        <v>29</v>
      </c>
      <c r="B423" s="4">
        <v>96.920533531241276</v>
      </c>
      <c r="C423" s="4">
        <v>102.75054343722086</v>
      </c>
      <c r="D423" s="4">
        <v>108.97196107100089</v>
      </c>
      <c r="E423" s="4">
        <v>115.60575388162718</v>
      </c>
      <c r="F423" s="4">
        <v>122.68298003675787</v>
      </c>
      <c r="G423" s="4">
        <v>130.27299480645885</v>
      </c>
      <c r="H423" s="4">
        <v>138.47786868361993</v>
      </c>
      <c r="I423" s="4">
        <v>147.27933802234244</v>
      </c>
      <c r="J423" s="4">
        <v>156.86003153220915</v>
      </c>
      <c r="K423" s="4">
        <v>167.31001619414542</v>
      </c>
      <c r="L423" s="4">
        <v>178.67574189732142</v>
      </c>
      <c r="M423" s="4">
        <v>190.93435238583274</v>
      </c>
      <c r="N423" s="4">
        <v>204.36815262049507</v>
      </c>
      <c r="O423" s="11">
        <f t="shared" si="6"/>
        <v>6.644134653794713E-2</v>
      </c>
      <c r="P423"/>
      <c r="Q423" s="11"/>
    </row>
    <row r="424" spans="1:17" x14ac:dyDescent="0.35">
      <c r="A424" s="3" t="s">
        <v>31</v>
      </c>
      <c r="B424" s="4">
        <v>49.773250126953791</v>
      </c>
      <c r="C424" s="4">
        <v>52.414163831622581</v>
      </c>
      <c r="D424" s="4">
        <v>55.246131707271189</v>
      </c>
      <c r="E424" s="4">
        <v>58.26624563569618</v>
      </c>
      <c r="F424" s="4">
        <v>61.473067646045983</v>
      </c>
      <c r="G424" s="4">
        <v>64.899537201756559</v>
      </c>
      <c r="H424" s="4">
        <v>68.616548478954556</v>
      </c>
      <c r="I424" s="4">
        <v>72.611699921170512</v>
      </c>
      <c r="J424" s="4">
        <v>76.934804117068865</v>
      </c>
      <c r="K424" s="4">
        <v>81.593737373277378</v>
      </c>
      <c r="L424" s="4">
        <v>86.591659255198749</v>
      </c>
      <c r="M424" s="4">
        <v>92.020067172345222</v>
      </c>
      <c r="N424" s="4">
        <v>97.926285669732763</v>
      </c>
      <c r="O424" s="11">
        <f t="shared" si="6"/>
        <v>6.0528944575110877E-2</v>
      </c>
      <c r="P424"/>
      <c r="Q424" s="11"/>
    </row>
    <row r="425" spans="1:17" x14ac:dyDescent="0.35">
      <c r="A425" s="3" t="s">
        <v>28</v>
      </c>
      <c r="B425" s="4">
        <v>142.47682507453243</v>
      </c>
      <c r="C425" s="4">
        <v>148.73992489444436</v>
      </c>
      <c r="D425" s="4">
        <v>155.90357351738555</v>
      </c>
      <c r="E425" s="4">
        <v>163.46392736483932</v>
      </c>
      <c r="F425" s="4">
        <v>171.52459542676701</v>
      </c>
      <c r="G425" s="4">
        <v>179.92452069869825</v>
      </c>
      <c r="H425" s="4">
        <v>188.54755834559256</v>
      </c>
      <c r="I425" s="4">
        <v>197.50928528280207</v>
      </c>
      <c r="J425" s="4">
        <v>206.92160816372598</v>
      </c>
      <c r="K425" s="4">
        <v>217.03638458427349</v>
      </c>
      <c r="L425" s="4">
        <v>227.63652901441259</v>
      </c>
      <c r="M425" s="4">
        <v>238.61364383614125</v>
      </c>
      <c r="N425" s="4">
        <v>249.92205912166582</v>
      </c>
      <c r="O425" s="11">
        <f t="shared" si="6"/>
        <v>4.8063865714405719E-2</v>
      </c>
      <c r="P425"/>
      <c r="Q425" s="11"/>
    </row>
    <row r="426" spans="1:17" x14ac:dyDescent="0.35">
      <c r="A426" s="3" t="s">
        <v>33</v>
      </c>
      <c r="B426" s="4">
        <v>18.826698332121662</v>
      </c>
      <c r="C426" s="4">
        <v>19.59896283368073</v>
      </c>
      <c r="D426" s="4">
        <v>20.433133409429175</v>
      </c>
      <c r="E426" s="4">
        <v>21.3420289062583</v>
      </c>
      <c r="F426" s="4">
        <v>22.315565652331763</v>
      </c>
      <c r="G426" s="4">
        <v>23.393991537097381</v>
      </c>
      <c r="H426" s="4">
        <v>24.53718853199085</v>
      </c>
      <c r="I426" s="4">
        <v>25.799818330521283</v>
      </c>
      <c r="J426" s="4">
        <v>27.169149370189267</v>
      </c>
      <c r="K426" s="4">
        <v>28.656433366396953</v>
      </c>
      <c r="L426" s="4">
        <v>30.291063966097784</v>
      </c>
      <c r="M426" s="4">
        <v>32.091458532499317</v>
      </c>
      <c r="N426" s="4">
        <v>34.058526036389082</v>
      </c>
      <c r="O426" s="11">
        <f t="shared" si="6"/>
        <v>5.5122961813001324E-2</v>
      </c>
      <c r="P426"/>
      <c r="Q426" s="11"/>
    </row>
    <row r="427" spans="1:17" x14ac:dyDescent="0.35">
      <c r="A427" s="2" t="s">
        <v>34</v>
      </c>
      <c r="O427" s="11" t="str">
        <f t="shared" si="6"/>
        <v/>
      </c>
      <c r="P427"/>
      <c r="Q427" s="11"/>
    </row>
    <row r="428" spans="1:17" x14ac:dyDescent="0.35">
      <c r="A428" s="3" t="s">
        <v>36</v>
      </c>
      <c r="B428" s="4">
        <v>151.08219168474403</v>
      </c>
      <c r="C428" s="4">
        <v>159.59242806419297</v>
      </c>
      <c r="D428" s="4">
        <v>168.9899243719909</v>
      </c>
      <c r="E428" s="4">
        <v>178.99129298329376</v>
      </c>
      <c r="F428" s="4">
        <v>189.68230804481996</v>
      </c>
      <c r="G428" s="4">
        <v>201.21104707125176</v>
      </c>
      <c r="H428" s="4">
        <v>213.78749044080834</v>
      </c>
      <c r="I428" s="4">
        <v>227.63080363446235</v>
      </c>
      <c r="J428" s="4">
        <v>242.58251825938981</v>
      </c>
      <c r="K428" s="4">
        <v>258.74679890824825</v>
      </c>
      <c r="L428" s="4">
        <v>276.49476459035935</v>
      </c>
      <c r="M428" s="4">
        <v>296.02341971452091</v>
      </c>
      <c r="N428" s="4">
        <v>317.55896793209598</v>
      </c>
      <c r="O428" s="11">
        <f t="shared" si="6"/>
        <v>6.735862987137145E-2</v>
      </c>
      <c r="P428"/>
      <c r="Q428" s="11"/>
    </row>
    <row r="429" spans="1:17" x14ac:dyDescent="0.35">
      <c r="A429" s="3" t="s">
        <v>37</v>
      </c>
      <c r="B429" s="4">
        <v>93.233364341408702</v>
      </c>
      <c r="C429" s="4">
        <v>97.623507074868655</v>
      </c>
      <c r="D429" s="4">
        <v>102.37093905077441</v>
      </c>
      <c r="E429" s="4">
        <v>107.54573756661648</v>
      </c>
      <c r="F429" s="4">
        <v>113.1041287425966</v>
      </c>
      <c r="G429" s="4">
        <v>119.25633801082321</v>
      </c>
      <c r="H429" s="4">
        <v>125.80770319947749</v>
      </c>
      <c r="I429" s="4">
        <v>133.04489642124517</v>
      </c>
      <c r="J429" s="4">
        <v>140.91360441800728</v>
      </c>
      <c r="K429" s="4">
        <v>149.48251567025795</v>
      </c>
      <c r="L429" s="4">
        <v>158.91641603682262</v>
      </c>
      <c r="M429" s="4">
        <v>169.32616030380481</v>
      </c>
      <c r="N429" s="4">
        <v>180.73259774694404</v>
      </c>
      <c r="O429" s="11">
        <f t="shared" si="6"/>
        <v>6.1191040192086953E-2</v>
      </c>
      <c r="P429"/>
      <c r="Q429" s="11"/>
    </row>
    <row r="430" spans="1:17" x14ac:dyDescent="0.35">
      <c r="A430" s="3" t="s">
        <v>35</v>
      </c>
      <c r="B430" s="4">
        <v>137.94418682607278</v>
      </c>
      <c r="C430" s="4">
        <v>144.96257396258864</v>
      </c>
      <c r="D430" s="4">
        <v>152.80517392000161</v>
      </c>
      <c r="E430" s="4">
        <v>161.06775699752751</v>
      </c>
      <c r="F430" s="4">
        <v>169.84040179262877</v>
      </c>
      <c r="G430" s="4">
        <v>178.8098835439086</v>
      </c>
      <c r="H430" s="4">
        <v>187.98809801456417</v>
      </c>
      <c r="I430" s="4">
        <v>197.0261408036078</v>
      </c>
      <c r="J430" s="4">
        <v>206.64206745894097</v>
      </c>
      <c r="K430" s="4">
        <v>217.03427945854077</v>
      </c>
      <c r="L430" s="4">
        <v>227.55840331497473</v>
      </c>
      <c r="M430" s="4">
        <v>238.00971083963736</v>
      </c>
      <c r="N430" s="4">
        <v>248.56953743167333</v>
      </c>
      <c r="O430" s="11">
        <f t="shared" si="6"/>
        <v>4.8181828128853806E-2</v>
      </c>
      <c r="P430"/>
      <c r="Q430" s="11"/>
    </row>
    <row r="431" spans="1:17" x14ac:dyDescent="0.35">
      <c r="A431" s="3" t="s">
        <v>38</v>
      </c>
      <c r="B431" s="4">
        <v>44.8802310484675</v>
      </c>
      <c r="C431" s="4">
        <v>46.867511220857104</v>
      </c>
      <c r="D431" s="4">
        <v>48.996201983172405</v>
      </c>
      <c r="E431" s="4">
        <v>51.254142242610293</v>
      </c>
      <c r="F431" s="4">
        <v>53.683672088156591</v>
      </c>
      <c r="G431" s="4">
        <v>56.304716195972262</v>
      </c>
      <c r="H431" s="4">
        <v>59.103731560300311</v>
      </c>
      <c r="I431" s="4">
        <v>62.169773516099987</v>
      </c>
      <c r="J431" s="4">
        <v>65.478849535999586</v>
      </c>
      <c r="K431" s="4">
        <v>69.024507458376476</v>
      </c>
      <c r="L431" s="4">
        <v>72.893479903029657</v>
      </c>
      <c r="M431" s="4">
        <v>77.050753613754679</v>
      </c>
      <c r="N431" s="4">
        <v>81.561247868693371</v>
      </c>
      <c r="O431" s="11">
        <f t="shared" si="6"/>
        <v>5.4365770450599531E-2</v>
      </c>
      <c r="P431"/>
      <c r="Q431" s="11"/>
    </row>
    <row r="432" spans="1:17" x14ac:dyDescent="0.35">
      <c r="A432" s="2" t="s">
        <v>22</v>
      </c>
      <c r="O432" s="11" t="str">
        <f t="shared" si="6"/>
        <v/>
      </c>
      <c r="P432"/>
      <c r="Q432" s="11"/>
    </row>
    <row r="433" spans="1:17" x14ac:dyDescent="0.35">
      <c r="A433" s="3" t="s">
        <v>39</v>
      </c>
      <c r="B433" s="4">
        <v>95.404914425933384</v>
      </c>
      <c r="C433" s="4">
        <v>101.00360384901552</v>
      </c>
      <c r="D433" s="4">
        <v>107.13818665953113</v>
      </c>
      <c r="E433" s="4">
        <v>113.74031091132309</v>
      </c>
      <c r="F433" s="4">
        <v>120.8408932494192</v>
      </c>
      <c r="G433" s="4">
        <v>128.37455619737381</v>
      </c>
      <c r="H433" s="4">
        <v>136.17299023127742</v>
      </c>
      <c r="I433" s="4">
        <v>144.19982556545642</v>
      </c>
      <c r="J433" s="4">
        <v>152.87903543425273</v>
      </c>
      <c r="K433" s="4">
        <v>162.31532237769943</v>
      </c>
      <c r="L433" s="4">
        <v>172.21863852515708</v>
      </c>
      <c r="M433" s="4">
        <v>182.48808394153912</v>
      </c>
      <c r="N433" s="4">
        <v>193.23678776903535</v>
      </c>
      <c r="O433" s="11">
        <f t="shared" si="6"/>
        <v>6.0163820288510472E-2</v>
      </c>
      <c r="P433"/>
      <c r="Q433" s="11"/>
    </row>
    <row r="434" spans="1:17" x14ac:dyDescent="0.35">
      <c r="A434" s="3" t="s">
        <v>41</v>
      </c>
      <c r="B434" s="4">
        <v>82.995872836845095</v>
      </c>
      <c r="C434" s="4">
        <v>86.339683898177981</v>
      </c>
      <c r="D434" s="4">
        <v>90.026110622617864</v>
      </c>
      <c r="E434" s="4">
        <v>93.921681005361691</v>
      </c>
      <c r="F434" s="4">
        <v>98.051648137486012</v>
      </c>
      <c r="G434" s="4">
        <v>102.41275457441866</v>
      </c>
      <c r="H434" s="4">
        <v>107.00049827763691</v>
      </c>
      <c r="I434" s="4">
        <v>111.84813781837327</v>
      </c>
      <c r="J434" s="4">
        <v>117.03253791135289</v>
      </c>
      <c r="K434" s="4">
        <v>122.61747900563228</v>
      </c>
      <c r="L434" s="4">
        <v>128.57375130313304</v>
      </c>
      <c r="M434" s="4">
        <v>134.89446768533506</v>
      </c>
      <c r="N434" s="4">
        <v>141.64709853667384</v>
      </c>
      <c r="O434" s="11">
        <f t="shared" si="6"/>
        <v>4.7422618320449715E-2</v>
      </c>
      <c r="P434"/>
      <c r="Q434" s="11"/>
    </row>
    <row r="435" spans="1:17" x14ac:dyDescent="0.35">
      <c r="A435" s="3" t="s">
        <v>40</v>
      </c>
      <c r="B435" s="4">
        <v>115.29086362717528</v>
      </c>
      <c r="C435" s="4">
        <v>120.7413650185842</v>
      </c>
      <c r="D435" s="4">
        <v>126.74027783717688</v>
      </c>
      <c r="E435" s="4">
        <v>133.11008820394537</v>
      </c>
      <c r="F435" s="4">
        <v>139.89333373560805</v>
      </c>
      <c r="G435" s="4">
        <v>147.09292359977977</v>
      </c>
      <c r="H435" s="4">
        <v>154.70995598320712</v>
      </c>
      <c r="I435" s="4">
        <v>162.80005505295975</v>
      </c>
      <c r="J435" s="4">
        <v>171.48370313260608</v>
      </c>
      <c r="K435" s="4">
        <v>180.86531511271059</v>
      </c>
      <c r="L435" s="4">
        <v>190.91478048894075</v>
      </c>
      <c r="M435" s="4">
        <v>201.63415799978736</v>
      </c>
      <c r="N435" s="4">
        <v>213.13654535646299</v>
      </c>
      <c r="O435" s="11">
        <f t="shared" si="6"/>
        <v>5.4409836780521262E-2</v>
      </c>
      <c r="P435"/>
      <c r="Q435" s="11"/>
    </row>
    <row r="436" spans="1:17" x14ac:dyDescent="0.35">
      <c r="A436" s="3" t="s">
        <v>42</v>
      </c>
      <c r="B436" s="4">
        <v>133.44832301073922</v>
      </c>
      <c r="C436" s="4">
        <v>140.96136755672967</v>
      </c>
      <c r="D436" s="4">
        <v>149.25766420661344</v>
      </c>
      <c r="E436" s="4">
        <v>158.08684966941786</v>
      </c>
      <c r="F436" s="4">
        <v>167.52463554568865</v>
      </c>
      <c r="G436" s="4">
        <v>177.70175045038366</v>
      </c>
      <c r="H436" s="4">
        <v>188.80357872302892</v>
      </c>
      <c r="I436" s="4">
        <v>201.02359593862585</v>
      </c>
      <c r="J436" s="4">
        <v>214.22176319412597</v>
      </c>
      <c r="K436" s="4">
        <v>228.48998499938116</v>
      </c>
      <c r="L436" s="4">
        <v>244.15589352795553</v>
      </c>
      <c r="M436" s="4">
        <v>261.39333484505619</v>
      </c>
      <c r="N436" s="4">
        <v>280.4019193172345</v>
      </c>
      <c r="O436" s="11">
        <f t="shared" si="6"/>
        <v>6.7329389240981474E-2</v>
      </c>
      <c r="P436"/>
      <c r="Q436" s="11"/>
    </row>
    <row r="437" spans="1:17" x14ac:dyDescent="0.35">
      <c r="A437" s="1" t="s">
        <v>60</v>
      </c>
      <c r="O437" s="11" t="str">
        <f t="shared" si="6"/>
        <v/>
      </c>
      <c r="P437"/>
      <c r="Q437" s="11"/>
    </row>
    <row r="438" spans="1:17" x14ac:dyDescent="0.35">
      <c r="A438" s="2" t="s">
        <v>24</v>
      </c>
      <c r="O438" s="11" t="str">
        <f t="shared" si="6"/>
        <v/>
      </c>
      <c r="P438"/>
      <c r="Q438" s="11"/>
    </row>
    <row r="439" spans="1:17" x14ac:dyDescent="0.35">
      <c r="A439" s="3" t="s">
        <v>25</v>
      </c>
      <c r="B439" s="4">
        <v>20.131507683009641</v>
      </c>
      <c r="C439" s="4">
        <v>20.634587646706329</v>
      </c>
      <c r="D439" s="4">
        <v>21.200503342225289</v>
      </c>
      <c r="E439" s="4">
        <v>21.798066342383144</v>
      </c>
      <c r="F439" s="4">
        <v>22.430049690817281</v>
      </c>
      <c r="G439" s="4">
        <v>23.108132014974299</v>
      </c>
      <c r="H439" s="4">
        <v>23.824217627835033</v>
      </c>
      <c r="I439" s="4">
        <v>24.589366622862709</v>
      </c>
      <c r="J439" s="4">
        <v>25.417382593598351</v>
      </c>
      <c r="K439" s="4">
        <v>26.293670940713429</v>
      </c>
      <c r="L439" s="4">
        <v>27.2326071726287</v>
      </c>
      <c r="M439" s="4">
        <v>28.23968573149326</v>
      </c>
      <c r="N439" s="4">
        <v>29.333561928943684</v>
      </c>
      <c r="O439" s="11">
        <f t="shared" si="6"/>
        <v>3.4665562882449763E-2</v>
      </c>
      <c r="P439"/>
      <c r="Q439" s="11"/>
    </row>
    <row r="440" spans="1:17" x14ac:dyDescent="0.35">
      <c r="A440" s="3" t="s">
        <v>26</v>
      </c>
      <c r="B440" s="4">
        <v>190.65094955787865</v>
      </c>
      <c r="C440" s="4">
        <v>196.79618699646929</v>
      </c>
      <c r="D440" s="4">
        <v>203.36379054742932</v>
      </c>
      <c r="E440" s="4">
        <v>210.28573991202177</v>
      </c>
      <c r="F440" s="4">
        <v>217.72037526439982</v>
      </c>
      <c r="G440" s="4">
        <v>225.72751024371701</v>
      </c>
      <c r="H440" s="4">
        <v>234.22958359639361</v>
      </c>
      <c r="I440" s="4">
        <v>243.55868958608923</v>
      </c>
      <c r="J440" s="4">
        <v>253.58837184810255</v>
      </c>
      <c r="K440" s="4">
        <v>264.26519226916423</v>
      </c>
      <c r="L440" s="4">
        <v>275.89429987011232</v>
      </c>
      <c r="M440" s="4">
        <v>288.30553328458467</v>
      </c>
      <c r="N440" s="4">
        <v>301.70959330179261</v>
      </c>
      <c r="O440" s="11">
        <f t="shared" si="6"/>
        <v>4.2319016172760293E-2</v>
      </c>
      <c r="P440"/>
      <c r="Q440" s="11"/>
    </row>
    <row r="441" spans="1:17" x14ac:dyDescent="0.35">
      <c r="A441" s="2" t="s">
        <v>27</v>
      </c>
      <c r="O441" s="11" t="str">
        <f t="shared" si="6"/>
        <v/>
      </c>
      <c r="P441"/>
      <c r="Q441" s="11"/>
    </row>
    <row r="442" spans="1:17" x14ac:dyDescent="0.35">
      <c r="A442" s="3" t="s">
        <v>30</v>
      </c>
      <c r="B442" s="4">
        <v>38.418322966033422</v>
      </c>
      <c r="C442" s="4">
        <v>40.258370291785937</v>
      </c>
      <c r="D442" s="4">
        <v>42.202500441536067</v>
      </c>
      <c r="E442" s="4">
        <v>44.254331795243829</v>
      </c>
      <c r="F442" s="4">
        <v>46.421077143843469</v>
      </c>
      <c r="G442" s="4">
        <v>48.724001894887657</v>
      </c>
      <c r="H442" s="4">
        <v>51.195513519929882</v>
      </c>
      <c r="I442" s="4">
        <v>53.821906971313354</v>
      </c>
      <c r="J442" s="4">
        <v>56.663366888886166</v>
      </c>
      <c r="K442" s="4">
        <v>59.743722134828595</v>
      </c>
      <c r="L442" s="4">
        <v>63.069935985886943</v>
      </c>
      <c r="M442" s="4">
        <v>66.62397179182868</v>
      </c>
      <c r="N442" s="4">
        <v>70.494876935439336</v>
      </c>
      <c r="O442" s="11">
        <f t="shared" si="6"/>
        <v>5.4183883031481452E-2</v>
      </c>
      <c r="P442"/>
      <c r="Q442" s="11"/>
    </row>
    <row r="443" spans="1:17" x14ac:dyDescent="0.35">
      <c r="A443" s="3" t="s">
        <v>32</v>
      </c>
      <c r="B443" s="4">
        <v>16.353601416892459</v>
      </c>
      <c r="C443" s="4">
        <v>16.623196627832876</v>
      </c>
      <c r="D443" s="4">
        <v>16.932259921473239</v>
      </c>
      <c r="E443" s="4">
        <v>17.248565315556295</v>
      </c>
      <c r="F443" s="4">
        <v>17.579011106721893</v>
      </c>
      <c r="G443" s="4">
        <v>17.931833731320566</v>
      </c>
      <c r="H443" s="4">
        <v>18.305799903083834</v>
      </c>
      <c r="I443" s="4">
        <v>18.738210644523075</v>
      </c>
      <c r="J443" s="4">
        <v>19.196322972885341</v>
      </c>
      <c r="K443" s="4">
        <v>19.690034232888515</v>
      </c>
      <c r="L443" s="4">
        <v>20.230995528223822</v>
      </c>
      <c r="M443" s="4">
        <v>20.823762157154349</v>
      </c>
      <c r="N443" s="4">
        <v>21.473466255038698</v>
      </c>
      <c r="O443" s="11">
        <f t="shared" si="6"/>
        <v>2.6083001478401764E-2</v>
      </c>
      <c r="P443"/>
      <c r="Q443" s="11"/>
    </row>
    <row r="444" spans="1:17" x14ac:dyDescent="0.35">
      <c r="A444" s="3" t="s">
        <v>29</v>
      </c>
      <c r="B444" s="4">
        <v>47.989560469395492</v>
      </c>
      <c r="C444" s="4">
        <v>50.008541311293882</v>
      </c>
      <c r="D444" s="4">
        <v>52.23287872522382</v>
      </c>
      <c r="E444" s="4">
        <v>54.586175126743242</v>
      </c>
      <c r="F444" s="4">
        <v>57.083756011855108</v>
      </c>
      <c r="G444" s="4">
        <v>59.72445129246487</v>
      </c>
      <c r="H444" s="4">
        <v>62.506354851316701</v>
      </c>
      <c r="I444" s="4">
        <v>65.449604008699723</v>
      </c>
      <c r="J444" s="4">
        <v>68.599988190147073</v>
      </c>
      <c r="K444" s="4">
        <v>71.995936982917016</v>
      </c>
      <c r="L444" s="4">
        <v>75.621538134677081</v>
      </c>
      <c r="M444" s="4">
        <v>79.473896405835163</v>
      </c>
      <c r="N444" s="4">
        <v>83.593901636003579</v>
      </c>
      <c r="O444" s="11">
        <f t="shared" si="6"/>
        <v>4.9204988432782225E-2</v>
      </c>
      <c r="P444"/>
      <c r="Q444" s="11"/>
    </row>
    <row r="445" spans="1:17" x14ac:dyDescent="0.35">
      <c r="A445" s="3" t="s">
        <v>31</v>
      </c>
      <c r="B445" s="4">
        <v>24.556256553655256</v>
      </c>
      <c r="C445" s="4">
        <v>25.444183491776236</v>
      </c>
      <c r="D445" s="4">
        <v>26.425483907787712</v>
      </c>
      <c r="E445" s="4">
        <v>27.459818735562028</v>
      </c>
      <c r="F445" s="4">
        <v>28.553885527175318</v>
      </c>
      <c r="G445" s="4">
        <v>29.705967709403943</v>
      </c>
      <c r="H445" s="4">
        <v>30.914008700907448</v>
      </c>
      <c r="I445" s="4">
        <v>32.186887944176263</v>
      </c>
      <c r="J445" s="4">
        <v>33.545887254842754</v>
      </c>
      <c r="K445" s="4">
        <v>35.008195170576691</v>
      </c>
      <c r="L445" s="4">
        <v>36.564171187075701</v>
      </c>
      <c r="M445" s="4">
        <v>38.210664737320741</v>
      </c>
      <c r="N445" s="4">
        <v>39.965628004275473</v>
      </c>
      <c r="O445" s="11">
        <f t="shared" si="6"/>
        <v>4.3292616557394081E-2</v>
      </c>
      <c r="P445"/>
      <c r="Q445" s="11"/>
    </row>
    <row r="446" spans="1:17" x14ac:dyDescent="0.35">
      <c r="A446" s="3" t="s">
        <v>28</v>
      </c>
      <c r="B446" s="4">
        <v>70.906048960148183</v>
      </c>
      <c r="C446" s="4">
        <v>72.183526210179735</v>
      </c>
      <c r="D446" s="4">
        <v>73.462474800146708</v>
      </c>
      <c r="E446" s="4">
        <v>74.808228084140381</v>
      </c>
      <c r="F446" s="4">
        <v>76.343820093263531</v>
      </c>
      <c r="G446" s="4">
        <v>78.106534220329308</v>
      </c>
      <c r="H446" s="4">
        <v>79.988345112960985</v>
      </c>
      <c r="I446" s="4">
        <v>82.272523606668898</v>
      </c>
      <c r="J446" s="4">
        <v>84.742794687499838</v>
      </c>
      <c r="K446" s="4">
        <v>87.250724433088862</v>
      </c>
      <c r="L446" s="4">
        <v>90.113245414254294</v>
      </c>
      <c r="M446" s="4">
        <v>93.181286797297162</v>
      </c>
      <c r="N446" s="4">
        <v>96.51870911207817</v>
      </c>
      <c r="O446" s="11">
        <f t="shared" si="6"/>
        <v>3.0699391415885575E-2</v>
      </c>
      <c r="P446"/>
      <c r="Q446" s="11"/>
    </row>
    <row r="447" spans="1:17" x14ac:dyDescent="0.35">
      <c r="A447" s="3" t="s">
        <v>33</v>
      </c>
      <c r="B447" s="4">
        <v>12.558666874763459</v>
      </c>
      <c r="C447" s="4">
        <v>12.912956710306965</v>
      </c>
      <c r="D447" s="4">
        <v>13.308696093487066</v>
      </c>
      <c r="E447" s="4">
        <v>13.726687197159155</v>
      </c>
      <c r="F447" s="4">
        <v>14.16887507235781</v>
      </c>
      <c r="G447" s="4">
        <v>14.642853410284967</v>
      </c>
      <c r="H447" s="4">
        <v>15.143779136029833</v>
      </c>
      <c r="I447" s="4">
        <v>15.678923033570612</v>
      </c>
      <c r="J447" s="4">
        <v>16.257394447439708</v>
      </c>
      <c r="K447" s="4">
        <v>16.870250255577943</v>
      </c>
      <c r="L447" s="4">
        <v>17.527020792623212</v>
      </c>
      <c r="M447" s="4">
        <v>18.231637126641822</v>
      </c>
      <c r="N447" s="4">
        <v>18.996573287901089</v>
      </c>
      <c r="O447" s="11">
        <f t="shared" si="6"/>
        <v>3.7886674649498582E-2</v>
      </c>
      <c r="P447"/>
      <c r="Q447" s="11"/>
    </row>
    <row r="448" spans="1:17" x14ac:dyDescent="0.35">
      <c r="A448" s="2" t="s">
        <v>34</v>
      </c>
      <c r="O448" s="11" t="str">
        <f t="shared" si="6"/>
        <v/>
      </c>
      <c r="P448"/>
      <c r="Q448" s="11"/>
    </row>
    <row r="449" spans="1:17" x14ac:dyDescent="0.35">
      <c r="A449" s="3" t="s">
        <v>36</v>
      </c>
      <c r="B449" s="4">
        <v>71.159281360690699</v>
      </c>
      <c r="C449" s="4">
        <v>73.920254503107344</v>
      </c>
      <c r="D449" s="4">
        <v>77.084307819201499</v>
      </c>
      <c r="E449" s="4">
        <v>80.439032026204259</v>
      </c>
      <c r="F449" s="4">
        <v>84.028633691830464</v>
      </c>
      <c r="G449" s="4">
        <v>87.84829946766294</v>
      </c>
      <c r="H449" s="4">
        <v>91.932939164842381</v>
      </c>
      <c r="I449" s="4">
        <v>96.37353038779635</v>
      </c>
      <c r="J449" s="4">
        <v>101.10069422471985</v>
      </c>
      <c r="K449" s="4">
        <v>106.21555081767968</v>
      </c>
      <c r="L449" s="4">
        <v>111.67350612846113</v>
      </c>
      <c r="M449" s="4">
        <v>117.54826874984187</v>
      </c>
      <c r="N449" s="4">
        <v>123.98101057900384</v>
      </c>
      <c r="O449" s="11">
        <f t="shared" si="6"/>
        <v>5.044796658059654E-2</v>
      </c>
      <c r="P449"/>
      <c r="Q449" s="11"/>
    </row>
    <row r="450" spans="1:17" x14ac:dyDescent="0.35">
      <c r="A450" s="3" t="s">
        <v>37</v>
      </c>
      <c r="B450" s="4">
        <v>45.316358920933574</v>
      </c>
      <c r="C450" s="4">
        <v>46.795139082135016</v>
      </c>
      <c r="D450" s="4">
        <v>48.509529145506413</v>
      </c>
      <c r="E450" s="4">
        <v>50.321489270678512</v>
      </c>
      <c r="F450" s="4">
        <v>52.256732470255244</v>
      </c>
      <c r="G450" s="4">
        <v>54.309856837082009</v>
      </c>
      <c r="H450" s="4">
        <v>56.50011804719459</v>
      </c>
      <c r="I450" s="4">
        <v>58.880748939737629</v>
      </c>
      <c r="J450" s="4">
        <v>61.405726498615898</v>
      </c>
      <c r="K450" s="4">
        <v>64.133625133549344</v>
      </c>
      <c r="L450" s="4">
        <v>67.033627036490614</v>
      </c>
      <c r="M450" s="4">
        <v>70.146605648942426</v>
      </c>
      <c r="N450" s="4">
        <v>73.552695138788025</v>
      </c>
      <c r="O450" s="11">
        <f t="shared" si="6"/>
        <v>4.4280415458396741E-2</v>
      </c>
      <c r="P450"/>
      <c r="Q450" s="11"/>
    </row>
    <row r="451" spans="1:17" x14ac:dyDescent="0.35">
      <c r="A451" s="3" t="s">
        <v>35</v>
      </c>
      <c r="B451" s="4">
        <v>73.54676082200433</v>
      </c>
      <c r="C451" s="4">
        <v>75.470540140901306</v>
      </c>
      <c r="D451" s="4">
        <v>77.196744084625976</v>
      </c>
      <c r="E451" s="4">
        <v>78.96574019747527</v>
      </c>
      <c r="F451" s="4">
        <v>80.882663124917116</v>
      </c>
      <c r="G451" s="4">
        <v>82.99048837478162</v>
      </c>
      <c r="H451" s="4">
        <v>85.194729187807553</v>
      </c>
      <c r="I451" s="4">
        <v>87.642407963625715</v>
      </c>
      <c r="J451" s="4">
        <v>90.353880009749275</v>
      </c>
      <c r="K451" s="4">
        <v>93.09492206438415</v>
      </c>
      <c r="L451" s="4">
        <v>96.237377840246467</v>
      </c>
      <c r="M451" s="4">
        <v>99.49080793390425</v>
      </c>
      <c r="N451" s="4">
        <v>102.8690199412917</v>
      </c>
      <c r="O451" s="11">
        <f t="shared" si="6"/>
        <v>3.115113938144529E-2</v>
      </c>
      <c r="P451"/>
      <c r="Q451" s="11"/>
    </row>
    <row r="452" spans="1:17" x14ac:dyDescent="0.35">
      <c r="A452" s="3" t="s">
        <v>38</v>
      </c>
      <c r="B452" s="4">
        <v>20.760056137259681</v>
      </c>
      <c r="C452" s="4">
        <v>21.244840917031965</v>
      </c>
      <c r="D452" s="4">
        <v>21.773712840320723</v>
      </c>
      <c r="E452" s="4">
        <v>22.357544760046906</v>
      </c>
      <c r="F452" s="4">
        <v>22.982395668214274</v>
      </c>
      <c r="G452" s="4">
        <v>23.686997579164736</v>
      </c>
      <c r="H452" s="4">
        <v>24.426014824384129</v>
      </c>
      <c r="I452" s="4">
        <v>25.25136891779221</v>
      </c>
      <c r="J452" s="4">
        <v>26.145453708615889</v>
      </c>
      <c r="K452" s="4">
        <v>27.114765194264457</v>
      </c>
      <c r="L452" s="4">
        <v>28.182396037542812</v>
      </c>
      <c r="M452" s="4">
        <v>29.359536683389351</v>
      </c>
      <c r="N452" s="4">
        <v>30.64042957165276</v>
      </c>
      <c r="O452" s="11">
        <f t="shared" si="6"/>
        <v>3.7454985428300488E-2</v>
      </c>
      <c r="P452"/>
      <c r="Q452" s="11"/>
    </row>
    <row r="453" spans="1:17" x14ac:dyDescent="0.35">
      <c r="A453" s="2" t="s">
        <v>22</v>
      </c>
      <c r="O453" s="11" t="str">
        <f t="shared" si="6"/>
        <v/>
      </c>
      <c r="P453"/>
      <c r="Q453" s="11"/>
    </row>
    <row r="454" spans="1:17" x14ac:dyDescent="0.35">
      <c r="A454" s="3" t="s">
        <v>39</v>
      </c>
      <c r="B454" s="4">
        <v>56.723468764498335</v>
      </c>
      <c r="C454" s="4">
        <v>58.553303778795794</v>
      </c>
      <c r="D454" s="4">
        <v>60.399321481149912</v>
      </c>
      <c r="E454" s="4">
        <v>62.364685593971615</v>
      </c>
      <c r="F454" s="4">
        <v>64.576449270457886</v>
      </c>
      <c r="G454" s="4">
        <v>67.01277919836653</v>
      </c>
      <c r="H454" s="4">
        <v>69.532716083322299</v>
      </c>
      <c r="I454" s="4">
        <v>72.410734346576305</v>
      </c>
      <c r="J454" s="4">
        <v>75.502426619435113</v>
      </c>
      <c r="K454" s="4">
        <v>78.756159522121493</v>
      </c>
      <c r="L454" s="4">
        <v>82.355926849507455</v>
      </c>
      <c r="M454" s="4">
        <v>86.106514675607855</v>
      </c>
      <c r="N454" s="4">
        <v>90.066536614316135</v>
      </c>
      <c r="O454" s="11">
        <f t="shared" si="6"/>
        <v>4.314262141436024E-2</v>
      </c>
      <c r="P454"/>
      <c r="Q454" s="11"/>
    </row>
    <row r="455" spans="1:17" x14ac:dyDescent="0.35">
      <c r="A455" s="3" t="s">
        <v>41</v>
      </c>
      <c r="B455" s="4">
        <v>40.184375117213158</v>
      </c>
      <c r="C455" s="4">
        <v>41.150232629065236</v>
      </c>
      <c r="D455" s="4">
        <v>42.155612255256266</v>
      </c>
      <c r="E455" s="4">
        <v>43.199356473982824</v>
      </c>
      <c r="F455" s="4">
        <v>44.283738361742031</v>
      </c>
      <c r="G455" s="4">
        <v>45.424047584225505</v>
      </c>
      <c r="H455" s="4">
        <v>46.644379544529755</v>
      </c>
      <c r="I455" s="4">
        <v>47.924387395704343</v>
      </c>
      <c r="J455" s="4">
        <v>49.311048192919074</v>
      </c>
      <c r="K455" s="4">
        <v>50.815182047915535</v>
      </c>
      <c r="L455" s="4">
        <v>52.431882495818229</v>
      </c>
      <c r="M455" s="4">
        <v>54.135463308373879</v>
      </c>
      <c r="N455" s="4">
        <v>55.989136775378292</v>
      </c>
      <c r="O455" s="11">
        <f t="shared" si="6"/>
        <v>3.0324416146517277E-2</v>
      </c>
      <c r="P455"/>
      <c r="Q455" s="11"/>
    </row>
    <row r="456" spans="1:17" x14ac:dyDescent="0.35">
      <c r="A456" s="3" t="s">
        <v>40</v>
      </c>
      <c r="B456" s="4">
        <v>53.636464988357872</v>
      </c>
      <c r="C456" s="4">
        <v>55.046117545063133</v>
      </c>
      <c r="D456" s="4">
        <v>56.633506482674171</v>
      </c>
      <c r="E456" s="4">
        <v>58.283597982080614</v>
      </c>
      <c r="F456" s="4">
        <v>60.013591196308759</v>
      </c>
      <c r="G456" s="4">
        <v>61.857946154562605</v>
      </c>
      <c r="H456" s="4">
        <v>63.86565895603065</v>
      </c>
      <c r="I456" s="4">
        <v>66.0821657287281</v>
      </c>
      <c r="J456" s="4">
        <v>68.437145392010024</v>
      </c>
      <c r="K456" s="4">
        <v>70.94107168323913</v>
      </c>
      <c r="L456" s="4">
        <v>73.675502928283422</v>
      </c>
      <c r="M456" s="4">
        <v>76.665436974747323</v>
      </c>
      <c r="N456" s="4">
        <v>79.939247537843329</v>
      </c>
      <c r="O456" s="11">
        <f t="shared" si="6"/>
        <v>3.7311572037755203E-2</v>
      </c>
      <c r="P456"/>
      <c r="Q456" s="11"/>
    </row>
    <row r="457" spans="1:17" x14ac:dyDescent="0.35">
      <c r="A457" s="3" t="s">
        <v>42</v>
      </c>
      <c r="B457" s="4">
        <v>60.238148370818926</v>
      </c>
      <c r="C457" s="4">
        <v>62.681120690251454</v>
      </c>
      <c r="D457" s="4">
        <v>65.375853670574244</v>
      </c>
      <c r="E457" s="4">
        <v>68.236166204369852</v>
      </c>
      <c r="F457" s="4">
        <v>71.276646126708442</v>
      </c>
      <c r="G457" s="4">
        <v>74.540869321536675</v>
      </c>
      <c r="H457" s="4">
        <v>78.011046640345967</v>
      </c>
      <c r="I457" s="4">
        <v>81.73076873794318</v>
      </c>
      <c r="J457" s="4">
        <v>85.755134237336691</v>
      </c>
      <c r="K457" s="4">
        <v>90.046449956601506</v>
      </c>
      <c r="L457" s="4">
        <v>94.663594769131947</v>
      </c>
      <c r="M457" s="4">
        <v>99.637804057348859</v>
      </c>
      <c r="N457" s="4">
        <v>105.04823430319857</v>
      </c>
      <c r="O457" s="11">
        <f t="shared" si="6"/>
        <v>5.0231162444835421E-2</v>
      </c>
      <c r="P457"/>
      <c r="Q457" s="11"/>
    </row>
    <row r="458" spans="1:17" x14ac:dyDescent="0.35">
      <c r="A458" s="1" t="s">
        <v>61</v>
      </c>
      <c r="O458" s="11" t="str">
        <f t="shared" si="6"/>
        <v/>
      </c>
      <c r="P458"/>
      <c r="Q458" s="11"/>
    </row>
    <row r="459" spans="1:17" x14ac:dyDescent="0.35">
      <c r="A459" s="2" t="s">
        <v>24</v>
      </c>
      <c r="O459" s="11" t="str">
        <f t="shared" si="6"/>
        <v/>
      </c>
      <c r="P459"/>
      <c r="Q459" s="11"/>
    </row>
    <row r="460" spans="1:17" x14ac:dyDescent="0.35">
      <c r="A460" s="3" t="s">
        <v>25</v>
      </c>
      <c r="B460" s="4">
        <v>18.40653595655667</v>
      </c>
      <c r="C460" s="4">
        <v>18.757552162452939</v>
      </c>
      <c r="D460" s="4">
        <v>19.190361968441707</v>
      </c>
      <c r="E460" s="4">
        <v>19.646910044393906</v>
      </c>
      <c r="F460" s="4">
        <v>20.136028009635321</v>
      </c>
      <c r="G460" s="4">
        <v>20.654067766511893</v>
      </c>
      <c r="H460" s="4">
        <v>21.20691118800821</v>
      </c>
      <c r="I460" s="4">
        <v>21.812851942997842</v>
      </c>
      <c r="J460" s="4">
        <v>22.45242066977308</v>
      </c>
      <c r="K460" s="4">
        <v>23.145347223657776</v>
      </c>
      <c r="L460" s="4">
        <v>23.878035027886764</v>
      </c>
      <c r="M460" s="4">
        <v>24.663070418665288</v>
      </c>
      <c r="N460" s="4">
        <v>25.526143471209817</v>
      </c>
      <c r="O460" s="11">
        <f t="shared" si="6"/>
        <v>3.0718198410713746E-2</v>
      </c>
      <c r="P460"/>
      <c r="Q460" s="11"/>
    </row>
    <row r="461" spans="1:17" x14ac:dyDescent="0.35">
      <c r="A461" s="3" t="s">
        <v>26</v>
      </c>
      <c r="B461" s="4">
        <v>187.89331211599907</v>
      </c>
      <c r="C461" s="4">
        <v>193.20798100873296</v>
      </c>
      <c r="D461" s="4">
        <v>198.89317601882544</v>
      </c>
      <c r="E461" s="4">
        <v>204.87785563451143</v>
      </c>
      <c r="F461" s="4">
        <v>211.31256980226496</v>
      </c>
      <c r="G461" s="4">
        <v>218.24991797501403</v>
      </c>
      <c r="H461" s="4">
        <v>225.60883610271452</v>
      </c>
      <c r="I461" s="4">
        <v>233.70402879039884</v>
      </c>
      <c r="J461" s="4">
        <v>242.40538568771311</v>
      </c>
      <c r="K461" s="4">
        <v>251.65450891771013</v>
      </c>
      <c r="L461" s="4">
        <v>261.73530779080636</v>
      </c>
      <c r="M461" s="4">
        <v>272.47642987166256</v>
      </c>
      <c r="N461" s="4">
        <v>284.06899295075249</v>
      </c>
      <c r="O461" s="11">
        <f t="shared" si="6"/>
        <v>3.8371645231485473E-2</v>
      </c>
      <c r="P461"/>
      <c r="Q461" s="11"/>
    </row>
    <row r="462" spans="1:17" x14ac:dyDescent="0.35">
      <c r="A462" s="2" t="s">
        <v>27</v>
      </c>
      <c r="O462" s="11" t="str">
        <f t="shared" si="6"/>
        <v/>
      </c>
      <c r="P462"/>
      <c r="Q462" s="11"/>
    </row>
    <row r="463" spans="1:17" x14ac:dyDescent="0.35">
      <c r="A463" s="3" t="s">
        <v>30</v>
      </c>
      <c r="B463" s="4">
        <v>37.936027393058403</v>
      </c>
      <c r="C463" s="4">
        <v>39.410498247402529</v>
      </c>
      <c r="D463" s="4">
        <v>41.100065697725682</v>
      </c>
      <c r="E463" s="4">
        <v>42.89151857525173</v>
      </c>
      <c r="F463" s="4">
        <v>44.808448536383892</v>
      </c>
      <c r="G463" s="4">
        <v>46.8483133547536</v>
      </c>
      <c r="H463" s="4">
        <v>49.02975397419786</v>
      </c>
      <c r="I463" s="4">
        <v>51.401318268874803</v>
      </c>
      <c r="J463" s="4">
        <v>53.926039629138302</v>
      </c>
      <c r="K463" s="4">
        <v>56.657884329958279</v>
      </c>
      <c r="L463" s="4">
        <v>59.573105120889892</v>
      </c>
      <c r="M463" s="4">
        <v>62.711058128174798</v>
      </c>
      <c r="N463" s="4">
        <v>66.147100705441673</v>
      </c>
      <c r="O463" s="11">
        <f t="shared" si="6"/>
        <v>5.0515362072979436E-2</v>
      </c>
      <c r="P463"/>
      <c r="Q463" s="11"/>
    </row>
    <row r="464" spans="1:17" x14ac:dyDescent="0.35">
      <c r="A464" s="3" t="s">
        <v>32</v>
      </c>
      <c r="B464" s="4">
        <v>19.693779540935815</v>
      </c>
      <c r="C464" s="4">
        <v>19.936574065864857</v>
      </c>
      <c r="D464" s="4">
        <v>20.205083444816747</v>
      </c>
      <c r="E464" s="4">
        <v>20.490638659991564</v>
      </c>
      <c r="F464" s="4">
        <v>20.807228943289836</v>
      </c>
      <c r="G464" s="4">
        <v>21.158303388320576</v>
      </c>
      <c r="H464" s="4">
        <v>21.534091179732101</v>
      </c>
      <c r="I464" s="4">
        <v>21.96314635717297</v>
      </c>
      <c r="J464" s="4">
        <v>22.43041887507918</v>
      </c>
      <c r="K464" s="4">
        <v>22.928341024233777</v>
      </c>
      <c r="L464" s="4">
        <v>23.480937212185463</v>
      </c>
      <c r="M464" s="4">
        <v>24.069863299205046</v>
      </c>
      <c r="N464" s="4">
        <v>24.709835634817754</v>
      </c>
      <c r="O464" s="11">
        <f t="shared" si="6"/>
        <v>2.2414505342028108E-2</v>
      </c>
      <c r="P464"/>
      <c r="Q464" s="11"/>
    </row>
    <row r="465" spans="1:17" x14ac:dyDescent="0.35">
      <c r="A465" s="3" t="s">
        <v>29</v>
      </c>
      <c r="B465" s="4">
        <v>45.658788948709777</v>
      </c>
      <c r="C465" s="4">
        <v>47.450791005766163</v>
      </c>
      <c r="D465" s="4">
        <v>49.331928908102739</v>
      </c>
      <c r="E465" s="4">
        <v>51.30379325648326</v>
      </c>
      <c r="F465" s="4">
        <v>53.372046655424199</v>
      </c>
      <c r="G465" s="4">
        <v>55.558278290600718</v>
      </c>
      <c r="H465" s="4">
        <v>57.896024604242172</v>
      </c>
      <c r="I465" s="4">
        <v>60.365515173023901</v>
      </c>
      <c r="J465" s="4">
        <v>63.030434673771367</v>
      </c>
      <c r="K465" s="4">
        <v>65.911872363213121</v>
      </c>
      <c r="L465" s="4">
        <v>69.011532832039975</v>
      </c>
      <c r="M465" s="4">
        <v>72.303614689351448</v>
      </c>
      <c r="N465" s="4">
        <v>75.879276591280458</v>
      </c>
      <c r="O465" s="11">
        <f t="shared" si="6"/>
        <v>4.5536503992860002E-2</v>
      </c>
      <c r="P465"/>
      <c r="Q465" s="11"/>
    </row>
    <row r="466" spans="1:17" x14ac:dyDescent="0.35">
      <c r="A466" s="3" t="s">
        <v>31</v>
      </c>
      <c r="B466" s="4">
        <v>25.837822021287177</v>
      </c>
      <c r="C466" s="4">
        <v>26.611618340265512</v>
      </c>
      <c r="D466" s="4">
        <v>27.473411878910813</v>
      </c>
      <c r="E466" s="4">
        <v>28.384012224026328</v>
      </c>
      <c r="F466" s="4">
        <v>29.347682202548953</v>
      </c>
      <c r="G466" s="4">
        <v>30.380412411014646</v>
      </c>
      <c r="H466" s="4">
        <v>31.472496760025713</v>
      </c>
      <c r="I466" s="4">
        <v>32.6393382630392</v>
      </c>
      <c r="J466" s="4">
        <v>33.900269733935602</v>
      </c>
      <c r="K466" s="4">
        <v>35.237108844977826</v>
      </c>
      <c r="L466" s="4">
        <v>36.670135522496274</v>
      </c>
      <c r="M466" s="4">
        <v>38.208049312577302</v>
      </c>
      <c r="N466" s="4">
        <v>39.877509705986171</v>
      </c>
      <c r="O466" s="11">
        <f t="shared" si="6"/>
        <v>3.9624098178312861E-2</v>
      </c>
      <c r="P466"/>
      <c r="Q466" s="11"/>
    </row>
    <row r="467" spans="1:17" x14ac:dyDescent="0.35">
      <c r="A467" s="3" t="s">
        <v>28</v>
      </c>
      <c r="B467" s="4">
        <v>68.556383026493108</v>
      </c>
      <c r="C467" s="4">
        <v>69.731057074553064</v>
      </c>
      <c r="D467" s="4">
        <v>70.925030343484025</v>
      </c>
      <c r="E467" s="4">
        <v>72.172111925710112</v>
      </c>
      <c r="F467" s="4">
        <v>73.577509244403103</v>
      </c>
      <c r="G467" s="4">
        <v>75.149547888626245</v>
      </c>
      <c r="H467" s="4">
        <v>76.784249639959711</v>
      </c>
      <c r="I467" s="4">
        <v>78.728005734311978</v>
      </c>
      <c r="J467" s="4">
        <v>80.806419085380071</v>
      </c>
      <c r="K467" s="4">
        <v>82.934418803677119</v>
      </c>
      <c r="L467" s="4">
        <v>85.347774812726726</v>
      </c>
      <c r="M467" s="4">
        <v>87.891783083183185</v>
      </c>
      <c r="N467" s="4">
        <v>90.567304035734679</v>
      </c>
      <c r="O467" s="11">
        <f t="shared" si="6"/>
        <v>2.7017554311980801E-2</v>
      </c>
      <c r="P467"/>
      <c r="Q467" s="11"/>
    </row>
    <row r="468" spans="1:17" x14ac:dyDescent="0.35">
      <c r="A468" s="3" t="s">
        <v>33</v>
      </c>
      <c r="B468" s="4">
        <v>8.6170471420714456</v>
      </c>
      <c r="C468" s="4">
        <v>8.8249944373337801</v>
      </c>
      <c r="D468" s="4">
        <v>9.0480177142271607</v>
      </c>
      <c r="E468" s="4">
        <v>9.282691037442353</v>
      </c>
      <c r="F468" s="4">
        <v>9.5356822298502948</v>
      </c>
      <c r="G468" s="4">
        <v>9.8091304082101303</v>
      </c>
      <c r="H468" s="4">
        <v>10.099131132565155</v>
      </c>
      <c r="I468" s="4">
        <v>10.4195569369738</v>
      </c>
      <c r="J468" s="4">
        <v>10.764224360181691</v>
      </c>
      <c r="K468" s="4">
        <v>11.130230775307767</v>
      </c>
      <c r="L468" s="4">
        <v>11.529857318354766</v>
      </c>
      <c r="M468" s="4">
        <v>11.955131777836101</v>
      </c>
      <c r="N468" s="4">
        <v>12.41410974870157</v>
      </c>
      <c r="O468" s="11">
        <f t="shared" si="6"/>
        <v>3.4218145282129984E-2</v>
      </c>
      <c r="P468"/>
      <c r="Q468" s="11"/>
    </row>
    <row r="469" spans="1:17" x14ac:dyDescent="0.35">
      <c r="A469" s="2" t="s">
        <v>34</v>
      </c>
      <c r="O469" s="11" t="str">
        <f t="shared" ref="O469:O532" si="7">IFERROR(RATE(2033-2026,,-G469,N469),"")</f>
        <v/>
      </c>
      <c r="P469"/>
      <c r="Q469" s="11"/>
    </row>
    <row r="470" spans="1:17" x14ac:dyDescent="0.35">
      <c r="A470" s="3" t="s">
        <v>36</v>
      </c>
      <c r="B470" s="4">
        <v>70.313060182818148</v>
      </c>
      <c r="C470" s="4">
        <v>72.767010807470498</v>
      </c>
      <c r="D470" s="4">
        <v>75.597942617322502</v>
      </c>
      <c r="E470" s="4">
        <v>78.593182042309692</v>
      </c>
      <c r="F470" s="4">
        <v>81.79393446672556</v>
      </c>
      <c r="G470" s="4">
        <v>85.19305870342383</v>
      </c>
      <c r="H470" s="4">
        <v>88.822024459503922</v>
      </c>
      <c r="I470" s="4">
        <v>92.765984879440566</v>
      </c>
      <c r="J470" s="4">
        <v>96.95445153297355</v>
      </c>
      <c r="K470" s="4">
        <v>101.48146400661307</v>
      </c>
      <c r="L470" s="4">
        <v>106.30042324593786</v>
      </c>
      <c r="M470" s="4">
        <v>111.47800258372804</v>
      </c>
      <c r="N470" s="4">
        <v>117.14383967255563</v>
      </c>
      <c r="O470" s="11">
        <f t="shared" si="7"/>
        <v>4.6548405992911206E-2</v>
      </c>
      <c r="P470"/>
      <c r="Q470" s="11"/>
    </row>
    <row r="471" spans="1:17" x14ac:dyDescent="0.35">
      <c r="A471" s="3" t="s">
        <v>37</v>
      </c>
      <c r="B471" s="4">
        <v>42.653322088218786</v>
      </c>
      <c r="C471" s="4">
        <v>44.057079719479425</v>
      </c>
      <c r="D471" s="4">
        <v>45.549845953843295</v>
      </c>
      <c r="E471" s="4">
        <v>47.122157843468131</v>
      </c>
      <c r="F471" s="4">
        <v>48.766219558967386</v>
      </c>
      <c r="G471" s="4">
        <v>50.501874099184533</v>
      </c>
      <c r="H471" s="4">
        <v>52.376770123587725</v>
      </c>
      <c r="I471" s="4">
        <v>54.371082710728793</v>
      </c>
      <c r="J471" s="4">
        <v>56.512719517128666</v>
      </c>
      <c r="K471" s="4">
        <v>58.796334482036436</v>
      </c>
      <c r="L471" s="4">
        <v>61.213199586557671</v>
      </c>
      <c r="M471" s="4">
        <v>63.817313086364578</v>
      </c>
      <c r="N471" s="4">
        <v>66.627571901390198</v>
      </c>
      <c r="O471" s="11">
        <f t="shared" si="7"/>
        <v>4.0380865105615928E-2</v>
      </c>
      <c r="P471"/>
      <c r="Q471" s="11"/>
    </row>
    <row r="472" spans="1:17" x14ac:dyDescent="0.35">
      <c r="A472" s="3" t="s">
        <v>35</v>
      </c>
      <c r="B472" s="4">
        <v>72.448044664354939</v>
      </c>
      <c r="C472" s="4">
        <v>73.765851623807379</v>
      </c>
      <c r="D472" s="4">
        <v>75.034122880743837</v>
      </c>
      <c r="E472" s="4">
        <v>76.354261319227419</v>
      </c>
      <c r="F472" s="4">
        <v>77.836163444142045</v>
      </c>
      <c r="G472" s="4">
        <v>79.5109928684154</v>
      </c>
      <c r="H472" s="4">
        <v>81.233977012807969</v>
      </c>
      <c r="I472" s="4">
        <v>83.239369348846566</v>
      </c>
      <c r="J472" s="4">
        <v>85.435231666216168</v>
      </c>
      <c r="K472" s="4">
        <v>87.701313578428085</v>
      </c>
      <c r="L472" s="4">
        <v>90.333759298327806</v>
      </c>
      <c r="M472" s="4">
        <v>93.072484818215941</v>
      </c>
      <c r="N472" s="4">
        <v>95.966494579987625</v>
      </c>
      <c r="O472" s="11">
        <f t="shared" si="7"/>
        <v>2.7236282945116524E-2</v>
      </c>
      <c r="P472"/>
      <c r="Q472" s="11"/>
    </row>
    <row r="473" spans="1:17" x14ac:dyDescent="0.35">
      <c r="A473" s="3" t="s">
        <v>38</v>
      </c>
      <c r="B473" s="4">
        <v>20.885421137163867</v>
      </c>
      <c r="C473" s="4">
        <v>21.375591020428566</v>
      </c>
      <c r="D473" s="4">
        <v>21.901626535357551</v>
      </c>
      <c r="E473" s="4">
        <v>22.455164473900094</v>
      </c>
      <c r="F473" s="4">
        <v>23.052280342065266</v>
      </c>
      <c r="G473" s="4">
        <v>23.698060070502166</v>
      </c>
      <c r="H473" s="4">
        <v>24.382975694823116</v>
      </c>
      <c r="I473" s="4">
        <v>25.140443794380758</v>
      </c>
      <c r="J473" s="4">
        <v>25.955403641167791</v>
      </c>
      <c r="K473" s="4">
        <v>26.820744074290332</v>
      </c>
      <c r="L473" s="4">
        <v>27.765960687869782</v>
      </c>
      <c r="M473" s="4">
        <v>28.771699802019292</v>
      </c>
      <c r="N473" s="4">
        <v>29.85723026802884</v>
      </c>
      <c r="O473" s="11">
        <f t="shared" si="7"/>
        <v>3.355553563113689E-2</v>
      </c>
      <c r="P473"/>
      <c r="Q473" s="11"/>
    </row>
    <row r="474" spans="1:17" x14ac:dyDescent="0.35">
      <c r="A474" s="2" t="s">
        <v>22</v>
      </c>
      <c r="O474" s="11" t="str">
        <f t="shared" si="7"/>
        <v/>
      </c>
      <c r="P474"/>
      <c r="Q474" s="11"/>
    </row>
    <row r="475" spans="1:17" x14ac:dyDescent="0.35">
      <c r="A475" s="3" t="s">
        <v>39</v>
      </c>
      <c r="B475" s="4">
        <v>51.662841089796245</v>
      </c>
      <c r="C475" s="4">
        <v>53.282514491201454</v>
      </c>
      <c r="D475" s="4">
        <v>55.040276730340508</v>
      </c>
      <c r="E475" s="4">
        <v>56.809458977013094</v>
      </c>
      <c r="F475" s="4">
        <v>58.764798984441484</v>
      </c>
      <c r="G475" s="4">
        <v>60.81997053188681</v>
      </c>
      <c r="H475" s="4">
        <v>62.964491453057775</v>
      </c>
      <c r="I475" s="4">
        <v>65.365005314990498</v>
      </c>
      <c r="J475" s="4">
        <v>67.9052897222181</v>
      </c>
      <c r="K475" s="4">
        <v>70.551670218136451</v>
      </c>
      <c r="L475" s="4">
        <v>73.474864358165405</v>
      </c>
      <c r="M475" s="4">
        <v>76.445883454816936</v>
      </c>
      <c r="N475" s="4">
        <v>79.63156819040438</v>
      </c>
      <c r="O475" s="11">
        <f t="shared" si="7"/>
        <v>3.9249600296795341E-2</v>
      </c>
      <c r="P475"/>
      <c r="Q475" s="11"/>
    </row>
    <row r="476" spans="1:17" x14ac:dyDescent="0.35">
      <c r="A476" s="3" t="s">
        <v>41</v>
      </c>
      <c r="B476" s="4">
        <v>41.603750431564954</v>
      </c>
      <c r="C476" s="4">
        <v>42.286827553907145</v>
      </c>
      <c r="D476" s="4">
        <v>43.029313857291861</v>
      </c>
      <c r="E476" s="4">
        <v>43.813436832391524</v>
      </c>
      <c r="F476" s="4">
        <v>44.669579377696756</v>
      </c>
      <c r="G476" s="4">
        <v>45.605981961447206</v>
      </c>
      <c r="H476" s="4">
        <v>46.602514916180155</v>
      </c>
      <c r="I476" s="4">
        <v>47.721656450223051</v>
      </c>
      <c r="J476" s="4">
        <v>48.932137953763764</v>
      </c>
      <c r="K476" s="4">
        <v>50.218499123818255</v>
      </c>
      <c r="L476" s="4">
        <v>51.634217139532311</v>
      </c>
      <c r="M476" s="4">
        <v>53.140448427293229</v>
      </c>
      <c r="N476" s="4">
        <v>54.770705540279032</v>
      </c>
      <c r="O476" s="11">
        <f t="shared" si="7"/>
        <v>2.6504676006715539E-2</v>
      </c>
      <c r="P476"/>
      <c r="Q476" s="11"/>
    </row>
    <row r="477" spans="1:17" x14ac:dyDescent="0.35">
      <c r="A477" s="3" t="s">
        <v>40</v>
      </c>
      <c r="B477" s="4">
        <v>53.125129264919956</v>
      </c>
      <c r="C477" s="4">
        <v>54.155152783626114</v>
      </c>
      <c r="D477" s="4">
        <v>55.288672135423489</v>
      </c>
      <c r="E477" s="4">
        <v>56.552042588962166</v>
      </c>
      <c r="F477" s="4">
        <v>57.908439172537442</v>
      </c>
      <c r="G477" s="4">
        <v>59.454314089564711</v>
      </c>
      <c r="H477" s="4">
        <v>61.073618026328219</v>
      </c>
      <c r="I477" s="4">
        <v>62.89524783306824</v>
      </c>
      <c r="J477" s="4">
        <v>64.872938900366265</v>
      </c>
      <c r="K477" s="4">
        <v>67.020922922248147</v>
      </c>
      <c r="L477" s="4">
        <v>69.394223958353322</v>
      </c>
      <c r="M477" s="4">
        <v>72.01770564784907</v>
      </c>
      <c r="N477" s="4">
        <v>74.874263197457964</v>
      </c>
      <c r="O477" s="11">
        <f t="shared" si="7"/>
        <v>3.3491780427569749E-2</v>
      </c>
      <c r="P477"/>
      <c r="Q477" s="11"/>
    </row>
    <row r="478" spans="1:17" x14ac:dyDescent="0.35">
      <c r="A478" s="3" t="s">
        <v>42</v>
      </c>
      <c r="B478" s="4">
        <v>59.908127286274592</v>
      </c>
      <c r="C478" s="4">
        <v>62.241038342451155</v>
      </c>
      <c r="D478" s="4">
        <v>64.725275264211305</v>
      </c>
      <c r="E478" s="4">
        <v>67.349827280538562</v>
      </c>
      <c r="F478" s="4">
        <v>70.105780277224596</v>
      </c>
      <c r="G478" s="4">
        <v>73.023719158627216</v>
      </c>
      <c r="H478" s="4">
        <v>76.175122895156591</v>
      </c>
      <c r="I478" s="4">
        <v>79.534971135114873</v>
      </c>
      <c r="J478" s="4">
        <v>83.147439781138075</v>
      </c>
      <c r="K478" s="4">
        <v>87.008763877165052</v>
      </c>
      <c r="L478" s="4">
        <v>91.110037362642089</v>
      </c>
      <c r="M478" s="4">
        <v>95.535462760368631</v>
      </c>
      <c r="N478" s="4">
        <v>100.31859949382093</v>
      </c>
      <c r="O478" s="11">
        <f t="shared" si="7"/>
        <v>4.6411494920698758E-2</v>
      </c>
      <c r="P478"/>
      <c r="Q478" s="11"/>
    </row>
    <row r="479" spans="1:17" x14ac:dyDescent="0.35">
      <c r="A479" s="1" t="s">
        <v>62</v>
      </c>
      <c r="O479" s="11" t="str">
        <f t="shared" si="7"/>
        <v/>
      </c>
      <c r="P479"/>
      <c r="Q479" s="11"/>
    </row>
    <row r="480" spans="1:17" x14ac:dyDescent="0.35">
      <c r="A480" s="2" t="s">
        <v>24</v>
      </c>
      <c r="O480" s="11" t="str">
        <f t="shared" si="7"/>
        <v/>
      </c>
      <c r="P480"/>
      <c r="Q480" s="11"/>
    </row>
    <row r="481" spans="1:17" x14ac:dyDescent="0.35">
      <c r="A481" s="3" t="s">
        <v>25</v>
      </c>
      <c r="B481" s="4">
        <v>54.450829256717931</v>
      </c>
      <c r="C481" s="4">
        <v>56.705422022590405</v>
      </c>
      <c r="D481" s="4">
        <v>59.140826970862776</v>
      </c>
      <c r="E481" s="4">
        <v>61.794348154665727</v>
      </c>
      <c r="F481" s="4">
        <v>64.637031991155681</v>
      </c>
      <c r="G481" s="4">
        <v>67.78566720384805</v>
      </c>
      <c r="H481" s="4">
        <v>71.124348961237089</v>
      </c>
      <c r="I481" s="4">
        <v>74.811733088418805</v>
      </c>
      <c r="J481" s="4">
        <v>78.811288483813939</v>
      </c>
      <c r="K481" s="4">
        <v>83.155999810116896</v>
      </c>
      <c r="L481" s="4">
        <v>87.931544612124156</v>
      </c>
      <c r="M481" s="4">
        <v>93.191862611631691</v>
      </c>
      <c r="N481" s="4">
        <v>98.940128425657463</v>
      </c>
      <c r="O481" s="11">
        <f t="shared" si="7"/>
        <v>5.550935045175364E-2</v>
      </c>
      <c r="P481"/>
      <c r="Q481" s="11"/>
    </row>
    <row r="482" spans="1:17" x14ac:dyDescent="0.35">
      <c r="A482" s="3" t="s">
        <v>26</v>
      </c>
      <c r="B482" s="4">
        <v>582.42209717266235</v>
      </c>
      <c r="C482" s="4">
        <v>615.71097424449601</v>
      </c>
      <c r="D482" s="4">
        <v>651.07106090913692</v>
      </c>
      <c r="E482" s="4">
        <v>688.8408419839601</v>
      </c>
      <c r="F482" s="4">
        <v>729.42970008692384</v>
      </c>
      <c r="G482" s="4">
        <v>772.92328077092395</v>
      </c>
      <c r="H482" s="4">
        <v>819.22434576834291</v>
      </c>
      <c r="I482" s="4">
        <v>869.03332306388188</v>
      </c>
      <c r="J482" s="4">
        <v>923.22174228090398</v>
      </c>
      <c r="K482" s="4">
        <v>981.38348266936453</v>
      </c>
      <c r="L482" s="4">
        <v>1044.5114096858404</v>
      </c>
      <c r="M482" s="4">
        <v>1112.776245754153</v>
      </c>
      <c r="N482" s="4">
        <v>1186.6838340259321</v>
      </c>
      <c r="O482" s="11">
        <f t="shared" si="7"/>
        <v>6.316288100183956E-2</v>
      </c>
      <c r="P482"/>
      <c r="Q482" s="11"/>
    </row>
    <row r="483" spans="1:17" x14ac:dyDescent="0.35">
      <c r="A483" s="2" t="s">
        <v>27</v>
      </c>
      <c r="O483" s="11" t="str">
        <f t="shared" si="7"/>
        <v/>
      </c>
      <c r="P483"/>
      <c r="Q483" s="11"/>
    </row>
    <row r="484" spans="1:17" x14ac:dyDescent="0.35">
      <c r="A484" s="3" t="s">
        <v>30</v>
      </c>
      <c r="B484" s="4">
        <v>101.91096528481764</v>
      </c>
      <c r="C484" s="4">
        <v>108.17454988764321</v>
      </c>
      <c r="D484" s="4">
        <v>114.98994359518845</v>
      </c>
      <c r="E484" s="4">
        <v>122.45545292165123</v>
      </c>
      <c r="F484" s="4">
        <v>130.54457075363626</v>
      </c>
      <c r="G484" s="4">
        <v>139.52184256767237</v>
      </c>
      <c r="H484" s="4">
        <v>149.19193617583821</v>
      </c>
      <c r="I484" s="4">
        <v>159.91876141584024</v>
      </c>
      <c r="J484" s="4">
        <v>171.67549545815865</v>
      </c>
      <c r="K484" s="4">
        <v>184.5826330401913</v>
      </c>
      <c r="L484" s="4">
        <v>198.88484402238078</v>
      </c>
      <c r="M484" s="4">
        <v>214.77140470855196</v>
      </c>
      <c r="N484" s="4">
        <v>232.32625377583787</v>
      </c>
      <c r="O484" s="11">
        <f t="shared" si="7"/>
        <v>7.5564807809837237E-2</v>
      </c>
      <c r="P484"/>
      <c r="Q484" s="11"/>
    </row>
    <row r="485" spans="1:17" x14ac:dyDescent="0.35">
      <c r="A485" s="3" t="s">
        <v>32</v>
      </c>
      <c r="B485" s="4">
        <v>59.100560926132289</v>
      </c>
      <c r="C485" s="4">
        <v>61.309611696088496</v>
      </c>
      <c r="D485" s="4">
        <v>63.671106098847702</v>
      </c>
      <c r="E485" s="4">
        <v>66.165879031780619</v>
      </c>
      <c r="F485" s="4">
        <v>68.845585671169502</v>
      </c>
      <c r="G485" s="4">
        <v>71.731734300096676</v>
      </c>
      <c r="H485" s="4">
        <v>74.802578046624674</v>
      </c>
      <c r="I485" s="4">
        <v>78.166734580123489</v>
      </c>
      <c r="J485" s="4">
        <v>81.787780607424537</v>
      </c>
      <c r="K485" s="4">
        <v>85.652078620238768</v>
      </c>
      <c r="L485" s="4">
        <v>89.861908550206536</v>
      </c>
      <c r="M485" s="4">
        <v>94.366719516908887</v>
      </c>
      <c r="N485" s="4">
        <v>99.239577183718211</v>
      </c>
      <c r="O485" s="11">
        <f t="shared" si="7"/>
        <v>4.7463942764440235E-2</v>
      </c>
      <c r="P485"/>
      <c r="Q485" s="11"/>
    </row>
    <row r="486" spans="1:17" x14ac:dyDescent="0.35">
      <c r="A486" s="3" t="s">
        <v>29</v>
      </c>
      <c r="B486" s="4">
        <v>148.11909008850321</v>
      </c>
      <c r="C486" s="4">
        <v>156.48522321492706</v>
      </c>
      <c r="D486" s="4">
        <v>165.56524803402195</v>
      </c>
      <c r="E486" s="4">
        <v>175.48993857855584</v>
      </c>
      <c r="F486" s="4">
        <v>186.20864867230966</v>
      </c>
      <c r="G486" s="4">
        <v>198.08671292248246</v>
      </c>
      <c r="H486" s="4">
        <v>210.82962151522298</v>
      </c>
      <c r="I486" s="4">
        <v>224.93847335481848</v>
      </c>
      <c r="J486" s="4">
        <v>240.35531799805557</v>
      </c>
      <c r="K486" s="4">
        <v>257.22933777582966</v>
      </c>
      <c r="L486" s="4">
        <v>275.87980018223385</v>
      </c>
      <c r="M486" s="4">
        <v>296.5430103530104</v>
      </c>
      <c r="N486" s="4">
        <v>319.30520783364182</v>
      </c>
      <c r="O486" s="11">
        <f t="shared" si="7"/>
        <v>7.0585907636345882E-2</v>
      </c>
      <c r="P486"/>
      <c r="Q486" s="11"/>
    </row>
    <row r="487" spans="1:17" x14ac:dyDescent="0.35">
      <c r="A487" s="3" t="s">
        <v>31</v>
      </c>
      <c r="B487" s="4">
        <v>95.599758492093699</v>
      </c>
      <c r="C487" s="4">
        <v>100.43424922892422</v>
      </c>
      <c r="D487" s="4">
        <v>105.66812341706054</v>
      </c>
      <c r="E487" s="4">
        <v>111.37757534007578</v>
      </c>
      <c r="F487" s="4">
        <v>117.52187634755578</v>
      </c>
      <c r="G487" s="4">
        <v>124.32364784586348</v>
      </c>
      <c r="H487" s="4">
        <v>131.58633556408509</v>
      </c>
      <c r="I487" s="4">
        <v>139.61419036950122</v>
      </c>
      <c r="J487" s="4">
        <v>148.35762519800713</v>
      </c>
      <c r="K487" s="4">
        <v>157.89585083940938</v>
      </c>
      <c r="L487" s="4">
        <v>168.41058221835266</v>
      </c>
      <c r="M487" s="4">
        <v>180.02871632088969</v>
      </c>
      <c r="N487" s="4">
        <v>192.78305598328089</v>
      </c>
      <c r="O487" s="11">
        <f t="shared" si="7"/>
        <v>6.4673501538193512E-2</v>
      </c>
      <c r="P487"/>
      <c r="Q487" s="11"/>
    </row>
    <row r="488" spans="1:17" x14ac:dyDescent="0.35">
      <c r="A488" s="3" t="s">
        <v>28</v>
      </c>
      <c r="B488" s="4">
        <v>193.76151605921734</v>
      </c>
      <c r="C488" s="4">
        <v>205.72834829774746</v>
      </c>
      <c r="D488" s="4">
        <v>217.93715372103838</v>
      </c>
      <c r="E488" s="4">
        <v>230.52884997500075</v>
      </c>
      <c r="F488" s="4">
        <v>243.93730009438605</v>
      </c>
      <c r="G488" s="4">
        <v>257.45863216034013</v>
      </c>
      <c r="H488" s="4">
        <v>271.59531750307508</v>
      </c>
      <c r="I488" s="4">
        <v>285.89518502626504</v>
      </c>
      <c r="J488" s="4">
        <v>301.32177159948219</v>
      </c>
      <c r="K488" s="4">
        <v>317.18641492031441</v>
      </c>
      <c r="L488" s="4">
        <v>333.67374828718334</v>
      </c>
      <c r="M488" s="4">
        <v>350.47823656717321</v>
      </c>
      <c r="N488" s="4">
        <v>367.77016315121955</v>
      </c>
      <c r="O488" s="11">
        <f t="shared" si="7"/>
        <v>5.2262631635277355E-2</v>
      </c>
      <c r="P488"/>
      <c r="Q488" s="11"/>
    </row>
    <row r="489" spans="1:17" x14ac:dyDescent="0.35">
      <c r="A489" s="3" t="s">
        <v>33</v>
      </c>
      <c r="B489" s="4">
        <v>38.381035578616078</v>
      </c>
      <c r="C489" s="4">
        <v>40.28441394175595</v>
      </c>
      <c r="D489" s="4">
        <v>42.380313013842652</v>
      </c>
      <c r="E489" s="4">
        <v>44.617494291561655</v>
      </c>
      <c r="F489" s="4">
        <v>47.008750539022309</v>
      </c>
      <c r="G489" s="4">
        <v>49.58637817831687</v>
      </c>
      <c r="H489" s="4">
        <v>52.342905924733905</v>
      </c>
      <c r="I489" s="4">
        <v>55.311711405752206</v>
      </c>
      <c r="J489" s="4">
        <v>58.535039903589926</v>
      </c>
      <c r="K489" s="4">
        <v>61.993167283498032</v>
      </c>
      <c r="L489" s="4">
        <v>65.732071037607341</v>
      </c>
      <c r="M489" s="4">
        <v>69.780020899250516</v>
      </c>
      <c r="N489" s="4">
        <v>74.199704523891413</v>
      </c>
      <c r="O489" s="11">
        <f t="shared" si="7"/>
        <v>5.9267588512022594E-2</v>
      </c>
      <c r="P489"/>
      <c r="Q489" s="11"/>
    </row>
    <row r="490" spans="1:17" x14ac:dyDescent="0.35">
      <c r="A490" s="2" t="s">
        <v>34</v>
      </c>
      <c r="O490" s="11" t="str">
        <f t="shared" si="7"/>
        <v/>
      </c>
      <c r="P490"/>
      <c r="Q490" s="11"/>
    </row>
    <row r="491" spans="1:17" x14ac:dyDescent="0.35">
      <c r="A491" s="3" t="s">
        <v>36</v>
      </c>
      <c r="B491" s="4">
        <v>232.54375977528207</v>
      </c>
      <c r="C491" s="4">
        <v>247.27186430314339</v>
      </c>
      <c r="D491" s="4">
        <v>263.17304094152928</v>
      </c>
      <c r="E491" s="4">
        <v>280.26412788073429</v>
      </c>
      <c r="F491" s="4">
        <v>298.56909126135793</v>
      </c>
      <c r="G491" s="4">
        <v>318.27919889462174</v>
      </c>
      <c r="H491" s="4">
        <v>339.77869748614069</v>
      </c>
      <c r="I491" s="4">
        <v>363.05360053623048</v>
      </c>
      <c r="J491" s="4">
        <v>388.39952129310456</v>
      </c>
      <c r="K491" s="4">
        <v>415.91093517994148</v>
      </c>
      <c r="L491" s="4">
        <v>445.66088356528735</v>
      </c>
      <c r="M491" s="4">
        <v>478.17879806728098</v>
      </c>
      <c r="N491" s="4">
        <v>513.78394203629944</v>
      </c>
      <c r="O491" s="11">
        <f t="shared" si="7"/>
        <v>7.0804837071602303E-2</v>
      </c>
      <c r="P491"/>
      <c r="Q491" s="11"/>
    </row>
    <row r="492" spans="1:17" x14ac:dyDescent="0.35">
      <c r="A492" s="3" t="s">
        <v>37</v>
      </c>
      <c r="B492" s="4">
        <v>146.23651400938675</v>
      </c>
      <c r="C492" s="4">
        <v>154.27386616318279</v>
      </c>
      <c r="D492" s="4">
        <v>163.12875851337571</v>
      </c>
      <c r="E492" s="4">
        <v>172.61598542833613</v>
      </c>
      <c r="F492" s="4">
        <v>182.79416172437394</v>
      </c>
      <c r="G492" s="4">
        <v>193.79884882465572</v>
      </c>
      <c r="H492" s="4">
        <v>205.61284774352552</v>
      </c>
      <c r="I492" s="4">
        <v>218.37895430133776</v>
      </c>
      <c r="J492" s="4">
        <v>232.27776627199944</v>
      </c>
      <c r="K492" s="4">
        <v>247.24750809401868</v>
      </c>
      <c r="L492" s="4">
        <v>263.48702893003338</v>
      </c>
      <c r="M492" s="4">
        <v>281.12807984143353</v>
      </c>
      <c r="N492" s="4">
        <v>300.44356498276835</v>
      </c>
      <c r="O492" s="11">
        <f t="shared" si="7"/>
        <v>6.4637289165766054E-2</v>
      </c>
      <c r="P492"/>
      <c r="Q492" s="11"/>
    </row>
    <row r="493" spans="1:17" x14ac:dyDescent="0.35">
      <c r="A493" s="3" t="s">
        <v>35</v>
      </c>
      <c r="B493" s="4">
        <v>202.84813139929872</v>
      </c>
      <c r="C493" s="4">
        <v>213.07584061394164</v>
      </c>
      <c r="D493" s="4">
        <v>223.21583398735891</v>
      </c>
      <c r="E493" s="4">
        <v>233.97244263228254</v>
      </c>
      <c r="F493" s="4">
        <v>245.60484023175002</v>
      </c>
      <c r="G493" s="4">
        <v>257.98806166587678</v>
      </c>
      <c r="H493" s="4">
        <v>270.50944967132568</v>
      </c>
      <c r="I493" s="4">
        <v>283.82055653512691</v>
      </c>
      <c r="J493" s="4">
        <v>298.33007623976721</v>
      </c>
      <c r="K493" s="4">
        <v>313.54355918607644</v>
      </c>
      <c r="L493" s="4">
        <v>330.29713838576697</v>
      </c>
      <c r="M493" s="4">
        <v>348.08618552814971</v>
      </c>
      <c r="N493" s="4">
        <v>366.70105536698748</v>
      </c>
      <c r="O493" s="11">
        <f t="shared" si="7"/>
        <v>5.1516467930449353E-2</v>
      </c>
      <c r="P493"/>
      <c r="Q493" s="11"/>
    </row>
    <row r="494" spans="1:17" x14ac:dyDescent="0.35">
      <c r="A494" s="3" t="s">
        <v>38</v>
      </c>
      <c r="B494" s="4">
        <v>55.24452124541277</v>
      </c>
      <c r="C494" s="4">
        <v>57.794825186818542</v>
      </c>
      <c r="D494" s="4">
        <v>60.694254437735829</v>
      </c>
      <c r="E494" s="4">
        <v>63.782634197272884</v>
      </c>
      <c r="F494" s="4">
        <v>67.098638860597717</v>
      </c>
      <c r="G494" s="4">
        <v>70.64283858961771</v>
      </c>
      <c r="H494" s="4">
        <v>74.447699828588043</v>
      </c>
      <c r="I494" s="4">
        <v>78.591944779605598</v>
      </c>
      <c r="J494" s="4">
        <v>83.02566695984676</v>
      </c>
      <c r="K494" s="4">
        <v>87.83748001944484</v>
      </c>
      <c r="L494" s="4">
        <v>92.997903416876753</v>
      </c>
      <c r="M494" s="4">
        <v>98.575044928920391</v>
      </c>
      <c r="N494" s="4">
        <v>104.69540006553443</v>
      </c>
      <c r="O494" s="11">
        <f t="shared" si="7"/>
        <v>5.7812011472556137E-2</v>
      </c>
      <c r="P494"/>
      <c r="Q494" s="11"/>
    </row>
    <row r="495" spans="1:17" x14ac:dyDescent="0.35">
      <c r="A495" s="2" t="s">
        <v>22</v>
      </c>
      <c r="O495" s="11" t="str">
        <f t="shared" si="7"/>
        <v/>
      </c>
      <c r="P495"/>
      <c r="Q495" s="11"/>
    </row>
    <row r="496" spans="1:17" x14ac:dyDescent="0.35">
      <c r="A496" s="3" t="s">
        <v>39</v>
      </c>
      <c r="B496" s="4">
        <v>165.34993889605607</v>
      </c>
      <c r="C496" s="4">
        <v>174.73982533151604</v>
      </c>
      <c r="D496" s="4">
        <v>184.74871179291597</v>
      </c>
      <c r="E496" s="4">
        <v>195.52655127340506</v>
      </c>
      <c r="F496" s="4">
        <v>207.17201039917097</v>
      </c>
      <c r="G496" s="4">
        <v>219.76336406912424</v>
      </c>
      <c r="H496" s="4">
        <v>233.04422017165655</v>
      </c>
      <c r="I496" s="4">
        <v>247.46952185195914</v>
      </c>
      <c r="J496" s="4">
        <v>263.14606539544604</v>
      </c>
      <c r="K496" s="4">
        <v>279.87131208770211</v>
      </c>
      <c r="L496" s="4">
        <v>298.07092867639199</v>
      </c>
      <c r="M496" s="4">
        <v>317.89768692498012</v>
      </c>
      <c r="N496" s="4">
        <v>339.27039662162201</v>
      </c>
      <c r="O496" s="11">
        <f t="shared" si="7"/>
        <v>6.3999746702089161E-2</v>
      </c>
      <c r="P496"/>
      <c r="Q496" s="11"/>
    </row>
    <row r="497" spans="1:17" x14ac:dyDescent="0.35">
      <c r="A497" s="3" t="s">
        <v>41</v>
      </c>
      <c r="B497" s="4">
        <v>113.27920339747037</v>
      </c>
      <c r="C497" s="4">
        <v>118.36334208780238</v>
      </c>
      <c r="D497" s="4">
        <v>123.72256974452904</v>
      </c>
      <c r="E497" s="4">
        <v>129.36495649760329</v>
      </c>
      <c r="F497" s="4">
        <v>135.30897114610474</v>
      </c>
      <c r="G497" s="4">
        <v>141.61381468586134</v>
      </c>
      <c r="H497" s="4">
        <v>148.37037455576069</v>
      </c>
      <c r="I497" s="4">
        <v>155.53483578297812</v>
      </c>
      <c r="J497" s="4">
        <v>163.2773880325143</v>
      </c>
      <c r="K497" s="4">
        <v>171.66148822316526</v>
      </c>
      <c r="L497" s="4">
        <v>180.70137766252657</v>
      </c>
      <c r="M497" s="4">
        <v>190.3394741601204</v>
      </c>
      <c r="N497" s="4">
        <v>200.82474744559539</v>
      </c>
      <c r="O497" s="11">
        <f t="shared" si="7"/>
        <v>5.1170312339384398E-2</v>
      </c>
      <c r="P497"/>
      <c r="Q497" s="11"/>
    </row>
    <row r="498" spans="1:17" x14ac:dyDescent="0.35">
      <c r="A498" s="3" t="s">
        <v>40</v>
      </c>
      <c r="B498" s="4">
        <v>173.49806844080302</v>
      </c>
      <c r="C498" s="4">
        <v>182.54609340508526</v>
      </c>
      <c r="D498" s="4">
        <v>192.11595069669875</v>
      </c>
      <c r="E498" s="4">
        <v>202.29932833939685</v>
      </c>
      <c r="F498" s="4">
        <v>213.20691756296438</v>
      </c>
      <c r="G498" s="4">
        <v>224.85259484945863</v>
      </c>
      <c r="H498" s="4">
        <v>237.19666049401633</v>
      </c>
      <c r="I498" s="4">
        <v>250.43100474032104</v>
      </c>
      <c r="J498" s="4">
        <v>264.79309083560617</v>
      </c>
      <c r="K498" s="4">
        <v>280.1493207528024</v>
      </c>
      <c r="L498" s="4">
        <v>296.7678043276544</v>
      </c>
      <c r="M498" s="4">
        <v>314.67786260767252</v>
      </c>
      <c r="N498" s="4">
        <v>334.00284209794569</v>
      </c>
      <c r="O498" s="11">
        <f t="shared" si="7"/>
        <v>5.8157519911612429E-2</v>
      </c>
      <c r="P498"/>
      <c r="Q498" s="11"/>
    </row>
    <row r="499" spans="1:17" x14ac:dyDescent="0.35">
      <c r="A499" s="3" t="s">
        <v>42</v>
      </c>
      <c r="B499" s="4">
        <v>184.74571569505082</v>
      </c>
      <c r="C499" s="4">
        <v>196.76713544268276</v>
      </c>
      <c r="D499" s="4">
        <v>209.62465564585597</v>
      </c>
      <c r="E499" s="4">
        <v>223.44435402822063</v>
      </c>
      <c r="F499" s="4">
        <v>238.37883296983946</v>
      </c>
      <c r="G499" s="4">
        <v>254.4791743703278</v>
      </c>
      <c r="H499" s="4">
        <v>271.73743950814639</v>
      </c>
      <c r="I499" s="4">
        <v>290.40969377704238</v>
      </c>
      <c r="J499" s="4">
        <v>310.81648650115147</v>
      </c>
      <c r="K499" s="4">
        <v>332.85736141581157</v>
      </c>
      <c r="L499" s="4">
        <v>356.90284363139148</v>
      </c>
      <c r="M499" s="4">
        <v>383.05308467301165</v>
      </c>
      <c r="N499" s="4">
        <v>411.52597628642656</v>
      </c>
      <c r="O499" s="11">
        <f t="shared" si="7"/>
        <v>7.107705367225646E-2</v>
      </c>
      <c r="P499"/>
      <c r="Q499" s="11"/>
    </row>
    <row r="500" spans="1:17" x14ac:dyDescent="0.35">
      <c r="A500" s="1" t="s">
        <v>63</v>
      </c>
      <c r="O500" s="11" t="str">
        <f t="shared" si="7"/>
        <v/>
      </c>
      <c r="P500"/>
      <c r="Q500" s="11"/>
    </row>
    <row r="501" spans="1:17" x14ac:dyDescent="0.35">
      <c r="A501" s="2" t="s">
        <v>24</v>
      </c>
      <c r="O501" s="11" t="str">
        <f t="shared" si="7"/>
        <v/>
      </c>
      <c r="P501"/>
      <c r="Q501" s="11"/>
    </row>
    <row r="502" spans="1:17" x14ac:dyDescent="0.35">
      <c r="A502" s="3" t="s">
        <v>25</v>
      </c>
      <c r="B502" s="4">
        <v>34.605688384395052</v>
      </c>
      <c r="C502" s="4">
        <v>35.503463938376825</v>
      </c>
      <c r="D502" s="4">
        <v>36.479288526464053</v>
      </c>
      <c r="E502" s="4">
        <v>37.5519552135422</v>
      </c>
      <c r="F502" s="4">
        <v>38.698765671758949</v>
      </c>
      <c r="G502" s="4">
        <v>39.98548152340895</v>
      </c>
      <c r="H502" s="4">
        <v>41.33661010953567</v>
      </c>
      <c r="I502" s="4">
        <v>42.840484000206111</v>
      </c>
      <c r="J502" s="4">
        <v>44.468361533026467</v>
      </c>
      <c r="K502" s="4">
        <v>46.23219938760748</v>
      </c>
      <c r="L502" s="4">
        <v>48.172366902164562</v>
      </c>
      <c r="M502" s="4">
        <v>50.309285905313722</v>
      </c>
      <c r="N502" s="4">
        <v>52.634532339633871</v>
      </c>
      <c r="O502" s="11">
        <f t="shared" si="7"/>
        <v>4.004620589515144E-2</v>
      </c>
      <c r="P502"/>
      <c r="Q502" s="11"/>
    </row>
    <row r="503" spans="1:17" x14ac:dyDescent="0.35">
      <c r="A503" s="3" t="s">
        <v>26</v>
      </c>
      <c r="B503" s="4">
        <v>345.70208940090015</v>
      </c>
      <c r="C503" s="4">
        <v>358.84702707717554</v>
      </c>
      <c r="D503" s="4">
        <v>373.36590416144583</v>
      </c>
      <c r="E503" s="4">
        <v>388.756222867394</v>
      </c>
      <c r="F503" s="4">
        <v>405.09441863740335</v>
      </c>
      <c r="G503" s="4">
        <v>422.6209033376403</v>
      </c>
      <c r="H503" s="4">
        <v>441.22580607398481</v>
      </c>
      <c r="I503" s="4">
        <v>461.14743556099995</v>
      </c>
      <c r="J503" s="4">
        <v>482.68668614502957</v>
      </c>
      <c r="K503" s="4">
        <v>505.61920516287336</v>
      </c>
      <c r="L503" s="4">
        <v>530.26500549998741</v>
      </c>
      <c r="M503" s="4">
        <v>556.78611531400168</v>
      </c>
      <c r="N503" s="4">
        <v>585.61072698925807</v>
      </c>
      <c r="O503" s="11">
        <f t="shared" si="7"/>
        <v>4.7699807702542875E-2</v>
      </c>
      <c r="P503"/>
      <c r="Q503" s="11"/>
    </row>
    <row r="504" spans="1:17" x14ac:dyDescent="0.35">
      <c r="A504" s="2" t="s">
        <v>27</v>
      </c>
      <c r="O504" s="11" t="str">
        <f t="shared" si="7"/>
        <v/>
      </c>
      <c r="P504"/>
      <c r="Q504" s="11"/>
    </row>
    <row r="505" spans="1:17" x14ac:dyDescent="0.35">
      <c r="A505" s="3" t="s">
        <v>30</v>
      </c>
      <c r="B505" s="4">
        <v>61.554392314615043</v>
      </c>
      <c r="C505" s="4">
        <v>64.561975709454586</v>
      </c>
      <c r="D505" s="4">
        <v>67.974998302371773</v>
      </c>
      <c r="E505" s="4">
        <v>71.617158235505656</v>
      </c>
      <c r="F505" s="4">
        <v>75.533599969419413</v>
      </c>
      <c r="G505" s="4">
        <v>79.727028738403618</v>
      </c>
      <c r="H505" s="4">
        <v>84.23616573112588</v>
      </c>
      <c r="I505" s="4">
        <v>89.152456575718446</v>
      </c>
      <c r="J505" s="4">
        <v>94.422357864641981</v>
      </c>
      <c r="K505" s="4">
        <v>100.14929909785404</v>
      </c>
      <c r="L505" s="4">
        <v>106.30310609918908</v>
      </c>
      <c r="M505" s="4">
        <v>112.96483174353939</v>
      </c>
      <c r="N505" s="4">
        <v>120.28325133612014</v>
      </c>
      <c r="O505" s="11">
        <f t="shared" si="7"/>
        <v>6.0508675640016614E-2</v>
      </c>
      <c r="P505"/>
      <c r="Q505" s="11"/>
    </row>
    <row r="506" spans="1:17" x14ac:dyDescent="0.35">
      <c r="A506" s="3" t="s">
        <v>32</v>
      </c>
      <c r="B506" s="4">
        <v>32.791191656953757</v>
      </c>
      <c r="C506" s="4">
        <v>33.391419741508209</v>
      </c>
      <c r="D506" s="4">
        <v>34.054135302717988</v>
      </c>
      <c r="E506" s="4">
        <v>34.795369903920495</v>
      </c>
      <c r="F506" s="4">
        <v>35.59221338159481</v>
      </c>
      <c r="G506" s="4">
        <v>36.503768379381434</v>
      </c>
      <c r="H506" s="4">
        <v>37.458415895925775</v>
      </c>
      <c r="I506" s="4">
        <v>38.535072232687405</v>
      </c>
      <c r="J506" s="4">
        <v>39.705001902276514</v>
      </c>
      <c r="K506" s="4">
        <v>40.976616280618707</v>
      </c>
      <c r="L506" s="4">
        <v>42.383231516911295</v>
      </c>
      <c r="M506" s="4">
        <v>43.93960302316205</v>
      </c>
      <c r="N506" s="4">
        <v>45.634818302270247</v>
      </c>
      <c r="O506" s="11">
        <f t="shared" si="7"/>
        <v>3.2407693451547051E-2</v>
      </c>
      <c r="P506"/>
      <c r="Q506" s="11"/>
    </row>
    <row r="507" spans="1:17" x14ac:dyDescent="0.35">
      <c r="A507" s="3" t="s">
        <v>29</v>
      </c>
      <c r="B507" s="4">
        <v>75.894735795949686</v>
      </c>
      <c r="C507" s="4">
        <v>79.631866619444878</v>
      </c>
      <c r="D507" s="4">
        <v>83.584574097669844</v>
      </c>
      <c r="E507" s="4">
        <v>87.760847693552719</v>
      </c>
      <c r="F507" s="4">
        <v>92.175844381012993</v>
      </c>
      <c r="G507" s="4">
        <v>96.872700838908074</v>
      </c>
      <c r="H507" s="4">
        <v>101.91692587771273</v>
      </c>
      <c r="I507" s="4">
        <v>107.28256384858381</v>
      </c>
      <c r="J507" s="4">
        <v>113.09080675896735</v>
      </c>
      <c r="K507" s="4">
        <v>119.39090400571344</v>
      </c>
      <c r="L507" s="4">
        <v>126.19864865545702</v>
      </c>
      <c r="M507" s="4">
        <v>133.47988692092446</v>
      </c>
      <c r="N507" s="4">
        <v>141.41482788093427</v>
      </c>
      <c r="O507" s="11">
        <f t="shared" si="7"/>
        <v>5.5529816862910808E-2</v>
      </c>
      <c r="P507"/>
      <c r="Q507" s="11"/>
    </row>
    <row r="508" spans="1:17" x14ac:dyDescent="0.35">
      <c r="A508" s="3" t="s">
        <v>31</v>
      </c>
      <c r="B508" s="4">
        <v>51.927784550326713</v>
      </c>
      <c r="C508" s="4">
        <v>53.931540923047166</v>
      </c>
      <c r="D508" s="4">
        <v>56.150456752038501</v>
      </c>
      <c r="E508" s="4">
        <v>58.477447826687339</v>
      </c>
      <c r="F508" s="4">
        <v>60.932804205647983</v>
      </c>
      <c r="G508" s="4">
        <v>63.555232949964932</v>
      </c>
      <c r="H508" s="4">
        <v>66.400129536820728</v>
      </c>
      <c r="I508" s="4">
        <v>69.521700901620633</v>
      </c>
      <c r="J508" s="4">
        <v>72.85477291640143</v>
      </c>
      <c r="K508" s="4">
        <v>76.416861122238586</v>
      </c>
      <c r="L508" s="4">
        <v>80.302724566058416</v>
      </c>
      <c r="M508" s="4">
        <v>84.549793445844074</v>
      </c>
      <c r="N508" s="4">
        <v>89.200735420971682</v>
      </c>
      <c r="O508" s="11">
        <f t="shared" si="7"/>
        <v>4.9617389267974828E-2</v>
      </c>
      <c r="P508"/>
      <c r="Q508" s="11"/>
    </row>
    <row r="509" spans="1:17" x14ac:dyDescent="0.35">
      <c r="A509" s="3" t="s">
        <v>28</v>
      </c>
      <c r="B509" s="4">
        <v>137.68408224781479</v>
      </c>
      <c r="C509" s="4">
        <v>141.59659925514333</v>
      </c>
      <c r="D509" s="4">
        <v>146.02677140207288</v>
      </c>
      <c r="E509" s="4">
        <v>150.74164889590185</v>
      </c>
      <c r="F509" s="4">
        <v>155.72702837408502</v>
      </c>
      <c r="G509" s="4">
        <v>161.14659406267936</v>
      </c>
      <c r="H509" s="4">
        <v>166.73405401976748</v>
      </c>
      <c r="I509" s="4">
        <v>172.59900113867974</v>
      </c>
      <c r="J509" s="4">
        <v>179.01755439154584</v>
      </c>
      <c r="K509" s="4">
        <v>185.61700150441465</v>
      </c>
      <c r="L509" s="4">
        <v>192.61944495054172</v>
      </c>
      <c r="M509" s="4">
        <v>200.10969197976777</v>
      </c>
      <c r="N509" s="4">
        <v>208.13867266937621</v>
      </c>
      <c r="O509" s="11">
        <f t="shared" si="7"/>
        <v>3.7232102943461645E-2</v>
      </c>
      <c r="P509"/>
      <c r="Q509" s="11"/>
    </row>
    <row r="510" spans="1:17" x14ac:dyDescent="0.35">
      <c r="A510" s="3" t="s">
        <v>33</v>
      </c>
      <c r="B510" s="4">
        <v>20.455591219635217</v>
      </c>
      <c r="C510" s="4">
        <v>21.237088766954226</v>
      </c>
      <c r="D510" s="4">
        <v>22.054256831038906</v>
      </c>
      <c r="E510" s="4">
        <v>22.915705525368182</v>
      </c>
      <c r="F510" s="4">
        <v>23.831693997402017</v>
      </c>
      <c r="G510" s="4">
        <v>24.801059891711844</v>
      </c>
      <c r="H510" s="4">
        <v>25.816725122167867</v>
      </c>
      <c r="I510" s="4">
        <v>26.897124863916012</v>
      </c>
      <c r="J510" s="4">
        <v>28.06455384422285</v>
      </c>
      <c r="K510" s="4">
        <v>29.300722539641448</v>
      </c>
      <c r="L510" s="4">
        <v>30.630216613994413</v>
      </c>
      <c r="M510" s="4">
        <v>32.051594106077637</v>
      </c>
      <c r="N510" s="4">
        <v>33.572953719219392</v>
      </c>
      <c r="O510" s="11">
        <f t="shared" si="7"/>
        <v>4.4211502709777327E-2</v>
      </c>
      <c r="P510"/>
      <c r="Q510" s="11"/>
    </row>
    <row r="511" spans="1:17" x14ac:dyDescent="0.35">
      <c r="A511" s="2" t="s">
        <v>34</v>
      </c>
      <c r="O511" s="11" t="str">
        <f t="shared" si="7"/>
        <v/>
      </c>
      <c r="P511"/>
      <c r="Q511" s="11"/>
    </row>
    <row r="512" spans="1:17" x14ac:dyDescent="0.35">
      <c r="A512" s="3" t="s">
        <v>36</v>
      </c>
      <c r="B512" s="4">
        <v>129.39699959819959</v>
      </c>
      <c r="C512" s="4">
        <v>135.21569036773917</v>
      </c>
      <c r="D512" s="4">
        <v>141.64162265349552</v>
      </c>
      <c r="E512" s="4">
        <v>148.41527130590663</v>
      </c>
      <c r="F512" s="4">
        <v>155.59389041879228</v>
      </c>
      <c r="G512" s="4">
        <v>163.28309475315049</v>
      </c>
      <c r="H512" s="4">
        <v>171.63387589667005</v>
      </c>
      <c r="I512" s="4">
        <v>180.79773486408482</v>
      </c>
      <c r="J512" s="4">
        <v>190.61926029224261</v>
      </c>
      <c r="K512" s="4">
        <v>201.15542981963006</v>
      </c>
      <c r="L512" s="4">
        <v>212.6678046055606</v>
      </c>
      <c r="M512" s="4">
        <v>225.27232871873139</v>
      </c>
      <c r="N512" s="4">
        <v>239.1015029315119</v>
      </c>
      <c r="O512" s="11">
        <f t="shared" si="7"/>
        <v>5.5997796170366113E-2</v>
      </c>
      <c r="P512"/>
      <c r="Q512" s="11"/>
    </row>
    <row r="513" spans="1:17" x14ac:dyDescent="0.35">
      <c r="A513" s="3" t="s">
        <v>37</v>
      </c>
      <c r="B513" s="4">
        <v>77.857569404670357</v>
      </c>
      <c r="C513" s="4">
        <v>80.989975102140122</v>
      </c>
      <c r="D513" s="4">
        <v>84.419044555947792</v>
      </c>
      <c r="E513" s="4">
        <v>88.000756986714592</v>
      </c>
      <c r="F513" s="4">
        <v>91.776430515134763</v>
      </c>
      <c r="G513" s="4">
        <v>95.797873274591979</v>
      </c>
      <c r="H513" s="4">
        <v>100.07065164486144</v>
      </c>
      <c r="I513" s="4">
        <v>104.81086397921715</v>
      </c>
      <c r="J513" s="4">
        <v>109.86224142981678</v>
      </c>
      <c r="K513" s="4">
        <v>115.29670842685211</v>
      </c>
      <c r="L513" s="4">
        <v>121.20232152480985</v>
      </c>
      <c r="M513" s="4">
        <v>127.63174891610143</v>
      </c>
      <c r="N513" s="4">
        <v>134.64476525941114</v>
      </c>
      <c r="O513" s="11">
        <f t="shared" si="7"/>
        <v>4.9830259859756892E-2</v>
      </c>
      <c r="P513"/>
      <c r="Q513" s="11"/>
    </row>
    <row r="514" spans="1:17" x14ac:dyDescent="0.35">
      <c r="A514" s="3" t="s">
        <v>35</v>
      </c>
      <c r="B514" s="4">
        <v>136.10233660977994</v>
      </c>
      <c r="C514" s="4">
        <v>139.95952642880485</v>
      </c>
      <c r="D514" s="4">
        <v>144.24310733248075</v>
      </c>
      <c r="E514" s="4">
        <v>148.94295783147976</v>
      </c>
      <c r="F514" s="4">
        <v>153.99623495527931</v>
      </c>
      <c r="G514" s="4">
        <v>159.52931921169852</v>
      </c>
      <c r="H514" s="4">
        <v>165.19976137368189</v>
      </c>
      <c r="I514" s="4">
        <v>170.87005813760771</v>
      </c>
      <c r="J514" s="4">
        <v>177.19882969936896</v>
      </c>
      <c r="K514" s="4">
        <v>183.81490218582053</v>
      </c>
      <c r="L514" s="4">
        <v>190.69275624187537</v>
      </c>
      <c r="M514" s="4">
        <v>197.82665769357652</v>
      </c>
      <c r="N514" s="4">
        <v>205.42194446304507</v>
      </c>
      <c r="O514" s="11">
        <f t="shared" si="7"/>
        <v>3.6780016366216965E-2</v>
      </c>
      <c r="P514"/>
      <c r="Q514" s="11"/>
    </row>
    <row r="515" spans="1:17" x14ac:dyDescent="0.35">
      <c r="A515" s="3" t="s">
        <v>38</v>
      </c>
      <c r="B515" s="4">
        <v>36.950872172645347</v>
      </c>
      <c r="C515" s="4">
        <v>38.185299116868251</v>
      </c>
      <c r="D515" s="4">
        <v>39.54141814598583</v>
      </c>
      <c r="E515" s="4">
        <v>40.949191956835264</v>
      </c>
      <c r="F515" s="4">
        <v>42.426628419955911</v>
      </c>
      <c r="G515" s="4">
        <v>43.996097621608243</v>
      </c>
      <c r="H515" s="4">
        <v>45.658127268307112</v>
      </c>
      <c r="I515" s="4">
        <v>47.509262580296443</v>
      </c>
      <c r="J515" s="4">
        <v>49.474716256627616</v>
      </c>
      <c r="K515" s="4">
        <v>51.584364118178222</v>
      </c>
      <c r="L515" s="4">
        <v>53.87449002990607</v>
      </c>
      <c r="M515" s="4">
        <v>56.364665890906039</v>
      </c>
      <c r="N515" s="4">
        <v>59.077046674923849</v>
      </c>
      <c r="O515" s="11">
        <f t="shared" si="7"/>
        <v>4.3004961136676796E-2</v>
      </c>
      <c r="P515"/>
      <c r="Q515" s="11"/>
    </row>
    <row r="516" spans="1:17" x14ac:dyDescent="0.35">
      <c r="A516" s="2" t="s">
        <v>22</v>
      </c>
      <c r="O516" s="11" t="str">
        <f t="shared" si="7"/>
        <v/>
      </c>
      <c r="P516"/>
      <c r="Q516" s="11"/>
    </row>
    <row r="517" spans="1:17" x14ac:dyDescent="0.35">
      <c r="A517" s="3" t="s">
        <v>39</v>
      </c>
      <c r="B517" s="4">
        <v>104.36214998622063</v>
      </c>
      <c r="C517" s="4">
        <v>108.38446443361232</v>
      </c>
      <c r="D517" s="4">
        <v>112.63374256107335</v>
      </c>
      <c r="E517" s="4">
        <v>117.24262615363472</v>
      </c>
      <c r="F517" s="4">
        <v>122.13188432188144</v>
      </c>
      <c r="G517" s="4">
        <v>127.57267473116286</v>
      </c>
      <c r="H517" s="4">
        <v>133.32893388603907</v>
      </c>
      <c r="I517" s="4">
        <v>139.35370925720036</v>
      </c>
      <c r="J517" s="4">
        <v>146.100949887105</v>
      </c>
      <c r="K517" s="4">
        <v>153.07243836295459</v>
      </c>
      <c r="L517" s="4">
        <v>160.65939673516414</v>
      </c>
      <c r="M517" s="4">
        <v>168.89664160810105</v>
      </c>
      <c r="N517" s="4">
        <v>177.864187676482</v>
      </c>
      <c r="O517" s="11">
        <f t="shared" si="7"/>
        <v>4.8621343766919831E-2</v>
      </c>
      <c r="P517"/>
      <c r="Q517" s="11"/>
    </row>
    <row r="518" spans="1:17" x14ac:dyDescent="0.35">
      <c r="A518" s="3" t="s">
        <v>41</v>
      </c>
      <c r="B518" s="4">
        <v>77.628063204607059</v>
      </c>
      <c r="C518" s="4">
        <v>79.661354661499772</v>
      </c>
      <c r="D518" s="4">
        <v>81.915743495775189</v>
      </c>
      <c r="E518" s="4">
        <v>84.241167725632806</v>
      </c>
      <c r="F518" s="4">
        <v>86.672808895579394</v>
      </c>
      <c r="G518" s="4">
        <v>89.253755267154631</v>
      </c>
      <c r="H518" s="4">
        <v>91.981550031627236</v>
      </c>
      <c r="I518" s="4">
        <v>95.04719211823209</v>
      </c>
      <c r="J518" s="4">
        <v>98.29356643986236</v>
      </c>
      <c r="K518" s="4">
        <v>101.77575544183578</v>
      </c>
      <c r="L518" s="4">
        <v>105.55990293799303</v>
      </c>
      <c r="M518" s="4">
        <v>109.67750853222581</v>
      </c>
      <c r="N518" s="4">
        <v>114.16414068985681</v>
      </c>
      <c r="O518" s="11">
        <f t="shared" si="7"/>
        <v>3.5790414868706877E-2</v>
      </c>
      <c r="P518"/>
      <c r="Q518" s="11"/>
    </row>
    <row r="519" spans="1:17" x14ac:dyDescent="0.35">
      <c r="A519" s="3" t="s">
        <v>40</v>
      </c>
      <c r="B519" s="4">
        <v>89.06533472794375</v>
      </c>
      <c r="C519" s="4">
        <v>92.239975708913008</v>
      </c>
      <c r="D519" s="4">
        <v>95.749878013052466</v>
      </c>
      <c r="E519" s="4">
        <v>99.448373612818642</v>
      </c>
      <c r="F519" s="4">
        <v>103.35943262560389</v>
      </c>
      <c r="G519" s="4">
        <v>107.47651986215361</v>
      </c>
      <c r="H519" s="4">
        <v>111.79188253437587</v>
      </c>
      <c r="I519" s="4">
        <v>116.33732986546364</v>
      </c>
      <c r="J519" s="4">
        <v>121.18943526449002</v>
      </c>
      <c r="K519" s="4">
        <v>126.40983276439164</v>
      </c>
      <c r="L519" s="4">
        <v>131.96315824370896</v>
      </c>
      <c r="M519" s="4">
        <v>137.83753952538882</v>
      </c>
      <c r="N519" s="4">
        <v>144.09725126510054</v>
      </c>
      <c r="O519" s="11">
        <f t="shared" si="7"/>
        <v>4.277768465682575E-2</v>
      </c>
      <c r="P519"/>
      <c r="Q519" s="11"/>
    </row>
    <row r="520" spans="1:17" x14ac:dyDescent="0.35">
      <c r="A520" s="3" t="s">
        <v>42</v>
      </c>
      <c r="B520" s="4">
        <v>109.25222986652382</v>
      </c>
      <c r="C520" s="4">
        <v>114.06469621152728</v>
      </c>
      <c r="D520" s="4">
        <v>119.54582861800887</v>
      </c>
      <c r="E520" s="4">
        <v>125.37601058885002</v>
      </c>
      <c r="F520" s="4">
        <v>131.62905846609752</v>
      </c>
      <c r="G520" s="4">
        <v>138.30343500057816</v>
      </c>
      <c r="H520" s="4">
        <v>145.46004973147831</v>
      </c>
      <c r="I520" s="4">
        <v>153.24968832030999</v>
      </c>
      <c r="J520" s="4">
        <v>161.57109608659866</v>
      </c>
      <c r="K520" s="4">
        <v>170.59337798129886</v>
      </c>
      <c r="L520" s="4">
        <v>180.25491448528581</v>
      </c>
      <c r="M520" s="4">
        <v>190.68371155359964</v>
      </c>
      <c r="N520" s="4">
        <v>202.11967969745263</v>
      </c>
      <c r="O520" s="11">
        <f t="shared" si="7"/>
        <v>5.5697216264398178E-2</v>
      </c>
      <c r="P520"/>
      <c r="Q520" s="11"/>
    </row>
    <row r="521" spans="1:17" x14ac:dyDescent="0.35">
      <c r="A521" s="1" t="s">
        <v>64</v>
      </c>
      <c r="O521" s="11" t="str">
        <f t="shared" si="7"/>
        <v/>
      </c>
      <c r="P521"/>
      <c r="Q521" s="11"/>
    </row>
    <row r="522" spans="1:17" x14ac:dyDescent="0.35">
      <c r="A522" s="2" t="s">
        <v>24</v>
      </c>
      <c r="O522" s="11" t="str">
        <f t="shared" si="7"/>
        <v/>
      </c>
      <c r="P522"/>
      <c r="Q522" s="11"/>
    </row>
    <row r="523" spans="1:17" x14ac:dyDescent="0.35">
      <c r="A523" s="3" t="s">
        <v>25</v>
      </c>
      <c r="B523" s="4">
        <v>40.980064363354508</v>
      </c>
      <c r="C523" s="4">
        <v>42.66762196493319</v>
      </c>
      <c r="D523" s="4">
        <v>44.441581545962478</v>
      </c>
      <c r="E523" s="4">
        <v>46.303845333800361</v>
      </c>
      <c r="F523" s="4">
        <v>48.260003267530124</v>
      </c>
      <c r="G523" s="4">
        <v>50.330086334594156</v>
      </c>
      <c r="H523" s="4">
        <v>52.545095553817298</v>
      </c>
      <c r="I523" s="4">
        <v>54.887879676090257</v>
      </c>
      <c r="J523" s="4">
        <v>57.417039733548016</v>
      </c>
      <c r="K523" s="4">
        <v>60.152806362679677</v>
      </c>
      <c r="L523" s="4">
        <v>63.097864898399536</v>
      </c>
      <c r="M523" s="4">
        <v>66.229767255010429</v>
      </c>
      <c r="N523" s="4">
        <v>69.633030564154097</v>
      </c>
      <c r="O523" s="11">
        <f t="shared" si="7"/>
        <v>4.7468782870398483E-2</v>
      </c>
      <c r="P523"/>
      <c r="Q523" s="11"/>
    </row>
    <row r="524" spans="1:17" x14ac:dyDescent="0.35">
      <c r="A524" s="3" t="s">
        <v>26</v>
      </c>
      <c r="B524" s="4">
        <v>363.90458474622767</v>
      </c>
      <c r="C524" s="4">
        <v>380.47114968468588</v>
      </c>
      <c r="D524" s="4">
        <v>398.59352013823741</v>
      </c>
      <c r="E524" s="4">
        <v>417.61429866740747</v>
      </c>
      <c r="F524" s="4">
        <v>437.74204373680146</v>
      </c>
      <c r="G524" s="4">
        <v>459.23945797714396</v>
      </c>
      <c r="H524" s="4">
        <v>482.15274140335339</v>
      </c>
      <c r="I524" s="4">
        <v>507.54320257162254</v>
      </c>
      <c r="J524" s="4">
        <v>534.6902325708968</v>
      </c>
      <c r="K524" s="4">
        <v>563.96888346940057</v>
      </c>
      <c r="L524" s="4">
        <v>595.84043694976663</v>
      </c>
      <c r="M524" s="4">
        <v>630.6011875420553</v>
      </c>
      <c r="N524" s="4">
        <v>668.58811904395429</v>
      </c>
      <c r="O524" s="11">
        <f t="shared" si="7"/>
        <v>5.5122246385586292E-2</v>
      </c>
      <c r="P524"/>
      <c r="Q524" s="11"/>
    </row>
    <row r="525" spans="1:17" x14ac:dyDescent="0.35">
      <c r="A525" s="2" t="s">
        <v>27</v>
      </c>
      <c r="O525" s="11" t="str">
        <f t="shared" si="7"/>
        <v/>
      </c>
      <c r="P525"/>
      <c r="Q525" s="11"/>
    </row>
    <row r="526" spans="1:17" x14ac:dyDescent="0.35">
      <c r="A526" s="3" t="s">
        <v>30</v>
      </c>
      <c r="B526" s="4">
        <v>73.084471769651572</v>
      </c>
      <c r="C526" s="4">
        <v>77.191029540595494</v>
      </c>
      <c r="D526" s="4">
        <v>81.725618539967684</v>
      </c>
      <c r="E526" s="4">
        <v>86.551017821832957</v>
      </c>
      <c r="F526" s="4">
        <v>91.708586269717344</v>
      </c>
      <c r="G526" s="4">
        <v>97.269783615423094</v>
      </c>
      <c r="H526" s="4">
        <v>103.33595706076031</v>
      </c>
      <c r="I526" s="4">
        <v>110.01284015992242</v>
      </c>
      <c r="J526" s="4">
        <v>117.22360237132384</v>
      </c>
      <c r="K526" s="4">
        <v>125.0183657754111</v>
      </c>
      <c r="L526" s="4">
        <v>133.57621000327526</v>
      </c>
      <c r="M526" s="4">
        <v>142.99200517254837</v>
      </c>
      <c r="N526" s="4">
        <v>153.37467619002325</v>
      </c>
      <c r="O526" s="11">
        <f t="shared" si="7"/>
        <v>6.7219305249630129E-2</v>
      </c>
      <c r="P526"/>
      <c r="Q526" s="11"/>
    </row>
    <row r="527" spans="1:17" x14ac:dyDescent="0.35">
      <c r="A527" s="3" t="s">
        <v>32</v>
      </c>
      <c r="B527" s="4">
        <v>37.632726333517198</v>
      </c>
      <c r="C527" s="4">
        <v>38.836400961978946</v>
      </c>
      <c r="D527" s="4">
        <v>40.172088999104524</v>
      </c>
      <c r="E527" s="4">
        <v>41.576804995843112</v>
      </c>
      <c r="F527" s="4">
        <v>43.05978136458377</v>
      </c>
      <c r="G527" s="4">
        <v>44.617406343431711</v>
      </c>
      <c r="H527" s="4">
        <v>46.245607286448681</v>
      </c>
      <c r="I527" s="4">
        <v>47.956728607252273</v>
      </c>
      <c r="J527" s="4">
        <v>49.781387967897359</v>
      </c>
      <c r="K527" s="4">
        <v>51.743629321747349</v>
      </c>
      <c r="L527" s="4">
        <v>53.827445993565952</v>
      </c>
      <c r="M527" s="4">
        <v>56.026627653752932</v>
      </c>
      <c r="N527" s="4">
        <v>58.365992608772721</v>
      </c>
      <c r="O527" s="11">
        <f t="shared" si="7"/>
        <v>3.9118505807884812E-2</v>
      </c>
      <c r="P527"/>
      <c r="Q527" s="11"/>
    </row>
    <row r="528" spans="1:17" x14ac:dyDescent="0.35">
      <c r="A528" s="3" t="s">
        <v>29</v>
      </c>
      <c r="B528" s="4">
        <v>86.639976350069162</v>
      </c>
      <c r="C528" s="4">
        <v>91.02329399610754</v>
      </c>
      <c r="D528" s="4">
        <v>95.992804026565736</v>
      </c>
      <c r="E528" s="4">
        <v>101.30241723453848</v>
      </c>
      <c r="F528" s="4">
        <v>107.01765075035381</v>
      </c>
      <c r="G528" s="4">
        <v>113.14431892203764</v>
      </c>
      <c r="H528" s="4">
        <v>119.73938075986756</v>
      </c>
      <c r="I528" s="4">
        <v>126.93510991654959</v>
      </c>
      <c r="J528" s="4">
        <v>134.65820482727833</v>
      </c>
      <c r="K528" s="4">
        <v>143.05873933827263</v>
      </c>
      <c r="L528" s="4">
        <v>152.0969147527579</v>
      </c>
      <c r="M528" s="4">
        <v>161.89180597027462</v>
      </c>
      <c r="N528" s="4">
        <v>172.66031127976834</v>
      </c>
      <c r="O528" s="11">
        <f t="shared" si="7"/>
        <v>6.2240422057197181E-2</v>
      </c>
      <c r="P528"/>
      <c r="Q528" s="11"/>
    </row>
    <row r="529" spans="1:17" x14ac:dyDescent="0.35">
      <c r="A529" s="3" t="s">
        <v>31</v>
      </c>
      <c r="B529" s="4">
        <v>58.470469786499834</v>
      </c>
      <c r="C529" s="4">
        <v>61.082928043529016</v>
      </c>
      <c r="D529" s="4">
        <v>64.056668685275923</v>
      </c>
      <c r="E529" s="4">
        <v>67.221084414191424</v>
      </c>
      <c r="F529" s="4">
        <v>70.616097429729379</v>
      </c>
      <c r="G529" s="4">
        <v>74.241300104125273</v>
      </c>
      <c r="H529" s="4">
        <v>78.12980492193752</v>
      </c>
      <c r="I529" s="4">
        <v>82.363077981766892</v>
      </c>
      <c r="J529" s="4">
        <v>86.887322682074085</v>
      </c>
      <c r="K529" s="4">
        <v>91.794003067847854</v>
      </c>
      <c r="L529" s="4">
        <v>97.050651819609712</v>
      </c>
      <c r="M529" s="4">
        <v>102.72681937659043</v>
      </c>
      <c r="N529" s="4">
        <v>108.95250804830684</v>
      </c>
      <c r="O529" s="11">
        <f t="shared" si="7"/>
        <v>5.6328042100082132E-2</v>
      </c>
      <c r="P529"/>
      <c r="Q529" s="11"/>
    </row>
    <row r="530" spans="1:17" x14ac:dyDescent="0.35">
      <c r="A530" s="3" t="s">
        <v>28</v>
      </c>
      <c r="B530" s="4">
        <v>130.52898884122345</v>
      </c>
      <c r="C530" s="4">
        <v>135.74943282350773</v>
      </c>
      <c r="D530" s="4">
        <v>140.99889230130196</v>
      </c>
      <c r="E530" s="4">
        <v>146.29398670888366</v>
      </c>
      <c r="F530" s="4">
        <v>151.68123887005186</v>
      </c>
      <c r="G530" s="4">
        <v>157.37129848823253</v>
      </c>
      <c r="H530" s="4">
        <v>163.24482710771355</v>
      </c>
      <c r="I530" s="4">
        <v>169.99031583560503</v>
      </c>
      <c r="J530" s="4">
        <v>177.13706179622227</v>
      </c>
      <c r="K530" s="4">
        <v>184.73811546323338</v>
      </c>
      <c r="L530" s="4">
        <v>193.17815605135274</v>
      </c>
      <c r="M530" s="4">
        <v>202.43434208094197</v>
      </c>
      <c r="N530" s="4">
        <v>212.41043954098996</v>
      </c>
      <c r="O530" s="11">
        <f t="shared" si="7"/>
        <v>4.3775719294167049E-2</v>
      </c>
      <c r="P530"/>
      <c r="Q530" s="11"/>
    </row>
    <row r="531" spans="1:17" x14ac:dyDescent="0.35">
      <c r="A531" s="3" t="s">
        <v>33</v>
      </c>
      <c r="B531" s="4">
        <v>18.528016028620979</v>
      </c>
      <c r="C531" s="4">
        <v>19.255686283900321</v>
      </c>
      <c r="D531" s="4">
        <v>20.089029131984063</v>
      </c>
      <c r="E531" s="4">
        <v>20.972832825918175</v>
      </c>
      <c r="F531" s="4">
        <v>21.918692319895353</v>
      </c>
      <c r="G531" s="4">
        <v>22.925436838487897</v>
      </c>
      <c r="H531" s="4">
        <v>24.002259820443083</v>
      </c>
      <c r="I531" s="4">
        <v>25.173009746616568</v>
      </c>
      <c r="J531" s="4">
        <v>26.419692659648948</v>
      </c>
      <c r="K531" s="4">
        <v>27.76883686556798</v>
      </c>
      <c r="L531" s="4">
        <v>29.208923227604551</v>
      </c>
      <c r="M531" s="4">
        <v>30.759354542957411</v>
      </c>
      <c r="N531" s="4">
        <v>32.457221940247337</v>
      </c>
      <c r="O531" s="11">
        <f t="shared" si="7"/>
        <v>5.0922117479650988E-2</v>
      </c>
      <c r="P531"/>
      <c r="Q531" s="11"/>
    </row>
    <row r="532" spans="1:17" x14ac:dyDescent="0.35">
      <c r="A532" s="2" t="s">
        <v>34</v>
      </c>
      <c r="O532" s="11" t="str">
        <f t="shared" si="7"/>
        <v/>
      </c>
      <c r="P532"/>
      <c r="Q532" s="11"/>
    </row>
    <row r="533" spans="1:17" x14ac:dyDescent="0.35">
      <c r="A533" s="3" t="s">
        <v>36</v>
      </c>
      <c r="B533" s="4">
        <v>145.13588562234409</v>
      </c>
      <c r="C533" s="4">
        <v>153.22680960860836</v>
      </c>
      <c r="D533" s="4">
        <v>162.13773491615231</v>
      </c>
      <c r="E533" s="4">
        <v>171.66006958771032</v>
      </c>
      <c r="F533" s="4">
        <v>181.86196598902086</v>
      </c>
      <c r="G533" s="4">
        <v>192.7620437764204</v>
      </c>
      <c r="H533" s="4">
        <v>204.37691185019014</v>
      </c>
      <c r="I533" s="4">
        <v>216.79550304049346</v>
      </c>
      <c r="J533" s="4">
        <v>230.19573823860958</v>
      </c>
      <c r="K533" s="4">
        <v>244.73941680687918</v>
      </c>
      <c r="L533" s="4">
        <v>260.41115730470619</v>
      </c>
      <c r="M533" s="4">
        <v>277.23855868532496</v>
      </c>
      <c r="N533" s="4">
        <v>295.40238866272608</v>
      </c>
      <c r="O533" s="11">
        <f t="shared" ref="O533:O596" si="8">IFERROR(RATE(2033-2026,,-G533,N533),"")</f>
        <v>6.2880991106149392E-2</v>
      </c>
      <c r="P533"/>
      <c r="Q533" s="11"/>
    </row>
    <row r="534" spans="1:17" x14ac:dyDescent="0.35">
      <c r="A534" s="3" t="s">
        <v>37</v>
      </c>
      <c r="B534" s="4">
        <v>84.885785662254349</v>
      </c>
      <c r="C534" s="4">
        <v>89.094397451949249</v>
      </c>
      <c r="D534" s="4">
        <v>93.726201272457942</v>
      </c>
      <c r="E534" s="4">
        <v>98.652673284251861</v>
      </c>
      <c r="F534" s="4">
        <v>103.90723764952608</v>
      </c>
      <c r="G534" s="4">
        <v>109.49416998917422</v>
      </c>
      <c r="H534" s="4">
        <v>115.41642729229643</v>
      </c>
      <c r="I534" s="4">
        <v>121.7176619154222</v>
      </c>
      <c r="J534" s="4">
        <v>128.49039198221766</v>
      </c>
      <c r="K534" s="4">
        <v>135.81589704262123</v>
      </c>
      <c r="L534" s="4">
        <v>143.67513686660573</v>
      </c>
      <c r="M534" s="4">
        <v>152.07310029637981</v>
      </c>
      <c r="N534" s="4">
        <v>161.09855303968797</v>
      </c>
      <c r="O534" s="11">
        <f t="shared" si="8"/>
        <v>5.6713449069849778E-2</v>
      </c>
      <c r="P534"/>
      <c r="Q534" s="11"/>
    </row>
    <row r="535" spans="1:17" x14ac:dyDescent="0.35">
      <c r="A535" s="3" t="s">
        <v>35</v>
      </c>
      <c r="B535" s="4">
        <v>140.7672978710732</v>
      </c>
      <c r="C535" s="4">
        <v>145.50177727165908</v>
      </c>
      <c r="D535" s="4">
        <v>150.53714092780439</v>
      </c>
      <c r="E535" s="4">
        <v>155.53361504170931</v>
      </c>
      <c r="F535" s="4">
        <v>160.62367653493152</v>
      </c>
      <c r="G535" s="4">
        <v>165.99735183921621</v>
      </c>
      <c r="H535" s="4">
        <v>171.78580866619899</v>
      </c>
      <c r="I535" s="4">
        <v>178.80615450853622</v>
      </c>
      <c r="J535" s="4">
        <v>186.15121532385723</v>
      </c>
      <c r="K535" s="4">
        <v>193.95626596405157</v>
      </c>
      <c r="L535" s="4">
        <v>202.67172077026379</v>
      </c>
      <c r="M535" s="4">
        <v>212.5107510751327</v>
      </c>
      <c r="N535" s="4">
        <v>223.6278382887765</v>
      </c>
      <c r="O535" s="11">
        <f t="shared" si="8"/>
        <v>4.3492287926833288E-2</v>
      </c>
      <c r="P535"/>
      <c r="Q535" s="11"/>
    </row>
    <row r="536" spans="1:17" x14ac:dyDescent="0.35">
      <c r="A536" s="3" t="s">
        <v>38</v>
      </c>
      <c r="B536" s="4">
        <v>34.095679953910576</v>
      </c>
      <c r="C536" s="4">
        <v>35.315787317402375</v>
      </c>
      <c r="D536" s="4">
        <v>36.634024567785275</v>
      </c>
      <c r="E536" s="4">
        <v>38.071786087536346</v>
      </c>
      <c r="F536" s="4">
        <v>39.609166830853013</v>
      </c>
      <c r="G536" s="4">
        <v>41.315978706927275</v>
      </c>
      <c r="H536" s="4">
        <v>43.11868914848516</v>
      </c>
      <c r="I536" s="4">
        <v>45.111762783260872</v>
      </c>
      <c r="J536" s="4">
        <v>47.269926759760324</v>
      </c>
      <c r="K536" s="4">
        <v>49.610110018528289</v>
      </c>
      <c r="L536" s="4">
        <v>52.180286906590403</v>
      </c>
      <c r="M536" s="4">
        <v>55.008544740228238</v>
      </c>
      <c r="N536" s="4">
        <v>58.092369616917878</v>
      </c>
      <c r="O536" s="11">
        <f t="shared" si="8"/>
        <v>4.9888084273509999E-2</v>
      </c>
      <c r="P536"/>
      <c r="Q536" s="11"/>
    </row>
    <row r="537" spans="1:17" x14ac:dyDescent="0.35">
      <c r="A537" s="2" t="s">
        <v>22</v>
      </c>
      <c r="O537" s="11" t="str">
        <f t="shared" si="8"/>
        <v/>
      </c>
      <c r="P537"/>
      <c r="Q537" s="11"/>
    </row>
    <row r="538" spans="1:17" x14ac:dyDescent="0.35">
      <c r="A538" s="3" t="s">
        <v>39</v>
      </c>
      <c r="B538" s="4">
        <v>105.55122791497507</v>
      </c>
      <c r="C538" s="4">
        <v>109.81928621311636</v>
      </c>
      <c r="D538" s="4">
        <v>114.68430004981752</v>
      </c>
      <c r="E538" s="4">
        <v>119.65112084708232</v>
      </c>
      <c r="F538" s="4">
        <v>124.85392587541276</v>
      </c>
      <c r="G538" s="4">
        <v>130.47154179846871</v>
      </c>
      <c r="H538" s="4">
        <v>136.43033891023833</v>
      </c>
      <c r="I538" s="4">
        <v>143.77854573981773</v>
      </c>
      <c r="J538" s="4">
        <v>151.45049157079399</v>
      </c>
      <c r="K538" s="4">
        <v>159.62094439103788</v>
      </c>
      <c r="L538" s="4">
        <v>168.75450047549884</v>
      </c>
      <c r="M538" s="4">
        <v>179.20203751087865</v>
      </c>
      <c r="N538" s="4">
        <v>190.86451112792724</v>
      </c>
      <c r="O538" s="11">
        <f t="shared" si="8"/>
        <v>5.5847853588081781E-2</v>
      </c>
      <c r="P538"/>
      <c r="Q538" s="11"/>
    </row>
    <row r="539" spans="1:17" x14ac:dyDescent="0.35">
      <c r="A539" s="3" t="s">
        <v>41</v>
      </c>
      <c r="B539" s="4">
        <v>75.432405459899528</v>
      </c>
      <c r="C539" s="4">
        <v>78.205296219413768</v>
      </c>
      <c r="D539" s="4">
        <v>81.111109642246973</v>
      </c>
      <c r="E539" s="4">
        <v>84.151446893010558</v>
      </c>
      <c r="F539" s="4">
        <v>87.334567846678382</v>
      </c>
      <c r="G539" s="4">
        <v>90.694709383262122</v>
      </c>
      <c r="H539" s="4">
        <v>94.285278545363624</v>
      </c>
      <c r="I539" s="4">
        <v>98.072354033435985</v>
      </c>
      <c r="J539" s="4">
        <v>102.15791474729592</v>
      </c>
      <c r="K539" s="4">
        <v>106.57392262747177</v>
      </c>
      <c r="L539" s="4">
        <v>111.32068209251598</v>
      </c>
      <c r="M539" s="4">
        <v>116.35411435408184</v>
      </c>
      <c r="N539" s="4">
        <v>121.81876463769991</v>
      </c>
      <c r="O539" s="11">
        <f t="shared" si="8"/>
        <v>4.3048746171638251E-2</v>
      </c>
      <c r="P539"/>
      <c r="Q539" s="11"/>
    </row>
    <row r="540" spans="1:17" x14ac:dyDescent="0.35">
      <c r="A540" s="3" t="s">
        <v>40</v>
      </c>
      <c r="B540" s="4">
        <v>106.45237569932144</v>
      </c>
      <c r="C540" s="4">
        <v>111.10936358286894</v>
      </c>
      <c r="D540" s="4">
        <v>116.01411206451768</v>
      </c>
      <c r="E540" s="4">
        <v>121.1733545592981</v>
      </c>
      <c r="F540" s="4">
        <v>126.60353324462837</v>
      </c>
      <c r="G540" s="4">
        <v>132.35912823902726</v>
      </c>
      <c r="H540" s="4">
        <v>138.52399666251583</v>
      </c>
      <c r="I540" s="4">
        <v>145.05586652711736</v>
      </c>
      <c r="J540" s="4">
        <v>152.11223185002203</v>
      </c>
      <c r="K540" s="4">
        <v>159.75046829096922</v>
      </c>
      <c r="L540" s="4">
        <v>167.98189931480871</v>
      </c>
      <c r="M540" s="4">
        <v>176.7510273440156</v>
      </c>
      <c r="N540" s="4">
        <v>186.28725594174077</v>
      </c>
      <c r="O540" s="11">
        <f t="shared" si="8"/>
        <v>5.0035974102135825E-2</v>
      </c>
      <c r="P540"/>
      <c r="Q540" s="11"/>
    </row>
    <row r="541" spans="1:17" x14ac:dyDescent="0.35">
      <c r="A541" s="3" t="s">
        <v>42</v>
      </c>
      <c r="B541" s="4">
        <v>117.44864003538621</v>
      </c>
      <c r="C541" s="4">
        <v>124.00482563421998</v>
      </c>
      <c r="D541" s="4">
        <v>131.22557992761773</v>
      </c>
      <c r="E541" s="4">
        <v>138.94222170181686</v>
      </c>
      <c r="F541" s="4">
        <v>147.21002003761203</v>
      </c>
      <c r="G541" s="4">
        <v>156.04416489098003</v>
      </c>
      <c r="H541" s="4">
        <v>165.45822283905287</v>
      </c>
      <c r="I541" s="4">
        <v>175.52431594734168</v>
      </c>
      <c r="J541" s="4">
        <v>186.38663413633287</v>
      </c>
      <c r="K541" s="4">
        <v>198.1763545226014</v>
      </c>
      <c r="L541" s="4">
        <v>210.88121996534264</v>
      </c>
      <c r="M541" s="4">
        <v>224.52377558808968</v>
      </c>
      <c r="N541" s="4">
        <v>239.25061790074039</v>
      </c>
      <c r="O541" s="11">
        <f t="shared" si="8"/>
        <v>6.2955482797588114E-2</v>
      </c>
      <c r="P541"/>
      <c r="Q541" s="11"/>
    </row>
    <row r="542" spans="1:17" x14ac:dyDescent="0.35">
      <c r="A542" s="1" t="s">
        <v>65</v>
      </c>
      <c r="O542" s="11" t="str">
        <f t="shared" si="8"/>
        <v/>
      </c>
      <c r="P542"/>
      <c r="Q542" s="11"/>
    </row>
    <row r="543" spans="1:17" x14ac:dyDescent="0.35">
      <c r="A543" s="2" t="s">
        <v>24</v>
      </c>
      <c r="O543" s="11" t="str">
        <f t="shared" si="8"/>
        <v/>
      </c>
      <c r="P543"/>
      <c r="Q543" s="11"/>
    </row>
    <row r="544" spans="1:17" x14ac:dyDescent="0.35">
      <c r="A544" s="3" t="s">
        <v>25</v>
      </c>
      <c r="B544" s="4">
        <v>11.47614589836428</v>
      </c>
      <c r="C544" s="4">
        <v>11.704664263733218</v>
      </c>
      <c r="D544" s="4">
        <v>11.965916644008699</v>
      </c>
      <c r="E544" s="4">
        <v>12.239878027693091</v>
      </c>
      <c r="F544" s="4">
        <v>12.528690678944386</v>
      </c>
      <c r="G544" s="4">
        <v>12.830647507246219</v>
      </c>
      <c r="H544" s="4">
        <v>13.14397432272521</v>
      </c>
      <c r="I544" s="4">
        <v>13.471632754621645</v>
      </c>
      <c r="J544" s="4">
        <v>13.821568093342915</v>
      </c>
      <c r="K544" s="4">
        <v>14.199516803927109</v>
      </c>
      <c r="L544" s="4">
        <v>14.599937901114656</v>
      </c>
      <c r="M544" s="4">
        <v>15.020179910761584</v>
      </c>
      <c r="N544" s="4">
        <v>15.466011925992177</v>
      </c>
      <c r="O544" s="11">
        <f t="shared" si="8"/>
        <v>2.7046168370109733E-2</v>
      </c>
      <c r="P544"/>
      <c r="Q544" s="11"/>
    </row>
    <row r="545" spans="1:17" x14ac:dyDescent="0.35">
      <c r="A545" s="3" t="s">
        <v>26</v>
      </c>
      <c r="B545" s="4">
        <v>127.55948107088487</v>
      </c>
      <c r="C545" s="4">
        <v>130.18673342183578</v>
      </c>
      <c r="D545" s="4">
        <v>133.06888826378847</v>
      </c>
      <c r="E545" s="4">
        <v>136.2702729975756</v>
      </c>
      <c r="F545" s="4">
        <v>139.70327382827779</v>
      </c>
      <c r="G545" s="4">
        <v>143.6013890117535</v>
      </c>
      <c r="H545" s="4">
        <v>147.68595336816597</v>
      </c>
      <c r="I545" s="4">
        <v>152.2693054964582</v>
      </c>
      <c r="J545" s="4">
        <v>157.2411825222344</v>
      </c>
      <c r="K545" s="4">
        <v>162.63743159922572</v>
      </c>
      <c r="L545" s="4">
        <v>168.59305278158854</v>
      </c>
      <c r="M545" s="4">
        <v>175.17039676978226</v>
      </c>
      <c r="N545" s="4">
        <v>182.33001690084822</v>
      </c>
      <c r="O545" s="11">
        <f t="shared" si="8"/>
        <v>3.4699451312382341E-2</v>
      </c>
      <c r="P545"/>
      <c r="Q545" s="11"/>
    </row>
    <row r="546" spans="1:17" x14ac:dyDescent="0.35">
      <c r="A546" s="2" t="s">
        <v>27</v>
      </c>
      <c r="O546" s="11" t="str">
        <f t="shared" si="8"/>
        <v/>
      </c>
      <c r="P546"/>
      <c r="Q546" s="11"/>
    </row>
    <row r="547" spans="1:17" x14ac:dyDescent="0.35">
      <c r="A547" s="3" t="s">
        <v>30</v>
      </c>
      <c r="B547" s="4">
        <v>21.349428080774796</v>
      </c>
      <c r="C547" s="4">
        <v>22.206773781354467</v>
      </c>
      <c r="D547" s="4">
        <v>23.152020255484352</v>
      </c>
      <c r="E547" s="4">
        <v>24.15080908036985</v>
      </c>
      <c r="F547" s="4">
        <v>25.209613322395995</v>
      </c>
      <c r="G547" s="4">
        <v>26.32757256926806</v>
      </c>
      <c r="H547" s="4">
        <v>27.503506875266567</v>
      </c>
      <c r="I547" s="4">
        <v>28.745942892842429</v>
      </c>
      <c r="J547" s="4">
        <v>30.074610136513979</v>
      </c>
      <c r="K547" s="4">
        <v>31.505865864564914</v>
      </c>
      <c r="L547" s="4">
        <v>33.032165815651098</v>
      </c>
      <c r="M547" s="4">
        <v>34.651704455404669</v>
      </c>
      <c r="N547" s="4">
        <v>36.381778090186351</v>
      </c>
      <c r="O547" s="11">
        <f t="shared" si="8"/>
        <v>4.7291517525546965E-2</v>
      </c>
      <c r="P547"/>
      <c r="Q547" s="11"/>
    </row>
    <row r="548" spans="1:17" x14ac:dyDescent="0.35">
      <c r="A548" s="3" t="s">
        <v>32</v>
      </c>
      <c r="B548" s="4">
        <v>10.218582275914896</v>
      </c>
      <c r="C548" s="4">
        <v>10.321837435315242</v>
      </c>
      <c r="D548" s="4">
        <v>10.437899672649161</v>
      </c>
      <c r="E548" s="4">
        <v>10.562204603711685</v>
      </c>
      <c r="F548" s="4">
        <v>10.701907104857719</v>
      </c>
      <c r="G548" s="4">
        <v>10.858677986392836</v>
      </c>
      <c r="H548" s="4">
        <v>11.027388503486673</v>
      </c>
      <c r="I548" s="4">
        <v>11.222580117949413</v>
      </c>
      <c r="J548" s="4">
        <v>11.43638662977601</v>
      </c>
      <c r="K548" s="4">
        <v>11.664824797344869</v>
      </c>
      <c r="L548" s="4">
        <v>11.920018138229491</v>
      </c>
      <c r="M548" s="4">
        <v>12.192476235185586</v>
      </c>
      <c r="N548" s="4">
        <v>12.489537079414161</v>
      </c>
      <c r="O548" s="11">
        <f t="shared" si="8"/>
        <v>2.0190654994311164E-2</v>
      </c>
      <c r="P548"/>
      <c r="Q548" s="11"/>
    </row>
    <row r="549" spans="1:17" x14ac:dyDescent="0.35">
      <c r="A549" s="3" t="s">
        <v>29</v>
      </c>
      <c r="B549" s="4">
        <v>28.440654819323171</v>
      </c>
      <c r="C549" s="4">
        <v>29.431602146033477</v>
      </c>
      <c r="D549" s="4">
        <v>30.485675017459283</v>
      </c>
      <c r="E549" s="4">
        <v>31.596885826474288</v>
      </c>
      <c r="F549" s="4">
        <v>32.760318761954217</v>
      </c>
      <c r="G549" s="4">
        <v>33.989587469290335</v>
      </c>
      <c r="H549" s="4">
        <v>35.317120398189218</v>
      </c>
      <c r="I549" s="4">
        <v>36.730089574541012</v>
      </c>
      <c r="J549" s="4">
        <v>38.247814814783659</v>
      </c>
      <c r="K549" s="4">
        <v>39.867251702648623</v>
      </c>
      <c r="L549" s="4">
        <v>41.583037818922136</v>
      </c>
      <c r="M549" s="4">
        <v>43.432379804276323</v>
      </c>
      <c r="N549" s="4">
        <v>45.428869240551251</v>
      </c>
      <c r="O549" s="11">
        <f t="shared" si="8"/>
        <v>4.2312640817443375E-2</v>
      </c>
      <c r="P549"/>
      <c r="Q549" s="11"/>
    </row>
    <row r="550" spans="1:17" x14ac:dyDescent="0.35">
      <c r="A550" s="3" t="s">
        <v>31</v>
      </c>
      <c r="B550" s="4">
        <v>20.188294499188228</v>
      </c>
      <c r="C550" s="4">
        <v>20.772347337328561</v>
      </c>
      <c r="D550" s="4">
        <v>21.393481219722545</v>
      </c>
      <c r="E550" s="4">
        <v>22.046793173172194</v>
      </c>
      <c r="F550" s="4">
        <v>22.728232300928276</v>
      </c>
      <c r="G550" s="4">
        <v>23.44668847607435</v>
      </c>
      <c r="H550" s="4">
        <v>24.223821574164116</v>
      </c>
      <c r="I550" s="4">
        <v>25.049749460609618</v>
      </c>
      <c r="J550" s="4">
        <v>25.936727779579112</v>
      </c>
      <c r="K550" s="4">
        <v>26.881558045348314</v>
      </c>
      <c r="L550" s="4">
        <v>27.879539088630374</v>
      </c>
      <c r="M550" s="4">
        <v>28.954604988705135</v>
      </c>
      <c r="N550" s="4">
        <v>30.114393346916795</v>
      </c>
      <c r="O550" s="11">
        <f t="shared" si="8"/>
        <v>3.6400264319812581E-2</v>
      </c>
      <c r="P550"/>
      <c r="Q550" s="11"/>
    </row>
    <row r="551" spans="1:17" x14ac:dyDescent="0.35">
      <c r="A551" s="3" t="s">
        <v>28</v>
      </c>
      <c r="B551" s="4">
        <v>50.609481911001552</v>
      </c>
      <c r="C551" s="4">
        <v>50.77044714597406</v>
      </c>
      <c r="D551" s="4">
        <v>50.981469811044008</v>
      </c>
      <c r="E551" s="4">
        <v>51.362605358484515</v>
      </c>
      <c r="F551" s="4">
        <v>51.819760718258422</v>
      </c>
      <c r="G551" s="4">
        <v>52.563034028137167</v>
      </c>
      <c r="H551" s="4">
        <v>53.261562524148331</v>
      </c>
      <c r="I551" s="4">
        <v>54.222083789669767</v>
      </c>
      <c r="J551" s="4">
        <v>55.307542983084403</v>
      </c>
      <c r="K551" s="4">
        <v>56.544540520442212</v>
      </c>
      <c r="L551" s="4">
        <v>58.074093939358306</v>
      </c>
      <c r="M551" s="4">
        <v>59.900400982893217</v>
      </c>
      <c r="N551" s="4">
        <v>61.932382081715247</v>
      </c>
      <c r="O551" s="11">
        <f t="shared" si="8"/>
        <v>2.3709575464645406E-2</v>
      </c>
      <c r="P551"/>
      <c r="Q551" s="11"/>
    </row>
    <row r="552" spans="1:17" x14ac:dyDescent="0.35">
      <c r="A552" s="3" t="s">
        <v>33</v>
      </c>
      <c r="B552" s="4">
        <v>8.2291853830465129</v>
      </c>
      <c r="C552" s="4">
        <v>8.3883898395631817</v>
      </c>
      <c r="D552" s="4">
        <v>8.5842589314378177</v>
      </c>
      <c r="E552" s="4">
        <v>8.7908529830561495</v>
      </c>
      <c r="F552" s="4">
        <v>9.0121322988275541</v>
      </c>
      <c r="G552" s="4">
        <v>9.2464759898369859</v>
      </c>
      <c r="H552" s="4">
        <v>9.4965278156362505</v>
      </c>
      <c r="I552" s="4">
        <v>9.7704924154675972</v>
      </c>
      <c r="J552" s="4">
        <v>10.059668271840144</v>
      </c>
      <c r="K552" s="4">
        <v>10.372907472803902</v>
      </c>
      <c r="L552" s="4">
        <v>10.704135881911778</v>
      </c>
      <c r="M552" s="4">
        <v>11.059010214078905</v>
      </c>
      <c r="N552" s="4">
        <v>11.449068988056602</v>
      </c>
      <c r="O552" s="11">
        <f t="shared" si="8"/>
        <v>3.0994325907144116E-2</v>
      </c>
      <c r="P552"/>
      <c r="Q552" s="11"/>
    </row>
    <row r="553" spans="1:17" x14ac:dyDescent="0.35">
      <c r="A553" s="2" t="s">
        <v>34</v>
      </c>
      <c r="O553" s="11" t="str">
        <f t="shared" si="8"/>
        <v/>
      </c>
      <c r="P553"/>
      <c r="Q553" s="11"/>
    </row>
    <row r="554" spans="1:17" x14ac:dyDescent="0.35">
      <c r="A554" s="3" t="s">
        <v>36</v>
      </c>
      <c r="B554" s="4">
        <v>50.518261491888467</v>
      </c>
      <c r="C554" s="4">
        <v>51.99557376385561</v>
      </c>
      <c r="D554" s="4">
        <v>53.574034410440738</v>
      </c>
      <c r="E554" s="4">
        <v>55.314428900797438</v>
      </c>
      <c r="F554" s="4">
        <v>57.147879476011212</v>
      </c>
      <c r="G554" s="4">
        <v>59.218699633155204</v>
      </c>
      <c r="H554" s="4">
        <v>61.451817370027285</v>
      </c>
      <c r="I554" s="4">
        <v>63.922643796153871</v>
      </c>
      <c r="J554" s="4">
        <v>66.576745310349523</v>
      </c>
      <c r="K554" s="4">
        <v>69.46643329419031</v>
      </c>
      <c r="L554" s="4">
        <v>72.656641950377193</v>
      </c>
      <c r="M554" s="4">
        <v>76.174177392615888</v>
      </c>
      <c r="N554" s="4">
        <v>79.985364397438119</v>
      </c>
      <c r="O554" s="11">
        <f t="shared" si="8"/>
        <v>4.3879183758482494E-2</v>
      </c>
      <c r="P554"/>
      <c r="Q554" s="11"/>
    </row>
    <row r="555" spans="1:17" x14ac:dyDescent="0.35">
      <c r="A555" s="3" t="s">
        <v>37</v>
      </c>
      <c r="B555" s="4">
        <v>30.021782219140697</v>
      </c>
      <c r="C555" s="4">
        <v>30.640519408638848</v>
      </c>
      <c r="D555" s="4">
        <v>31.381795698210357</v>
      </c>
      <c r="E555" s="4">
        <v>32.200064839265593</v>
      </c>
      <c r="F555" s="4">
        <v>33.080005887419382</v>
      </c>
      <c r="G555" s="4">
        <v>34.076306678324535</v>
      </c>
      <c r="H555" s="4">
        <v>35.136650255187917</v>
      </c>
      <c r="I555" s="4">
        <v>36.338293839596197</v>
      </c>
      <c r="J555" s="4">
        <v>37.608211219708835</v>
      </c>
      <c r="K555" s="4">
        <v>39.008335323981058</v>
      </c>
      <c r="L555" s="4">
        <v>40.553052291815732</v>
      </c>
      <c r="M555" s="4">
        <v>42.245203801620228</v>
      </c>
      <c r="N555" s="4">
        <v>44.104914705267525</v>
      </c>
      <c r="O555" s="11">
        <f t="shared" si="8"/>
        <v>3.7540179443883652E-2</v>
      </c>
      <c r="P555"/>
      <c r="Q555" s="11"/>
    </row>
    <row r="556" spans="1:17" x14ac:dyDescent="0.35">
      <c r="A556" s="3" t="s">
        <v>35</v>
      </c>
      <c r="B556" s="4">
        <v>46.732970940232349</v>
      </c>
      <c r="C556" s="4">
        <v>47.297908018685604</v>
      </c>
      <c r="D556" s="4">
        <v>47.897015992327667</v>
      </c>
      <c r="E556" s="4">
        <v>48.564914802244076</v>
      </c>
      <c r="F556" s="4">
        <v>49.307933303889257</v>
      </c>
      <c r="G556" s="4">
        <v>50.134954584191249</v>
      </c>
      <c r="H556" s="4">
        <v>50.916622027061564</v>
      </c>
      <c r="I556" s="4">
        <v>51.795789433154184</v>
      </c>
      <c r="J556" s="4">
        <v>52.8032069300302</v>
      </c>
      <c r="K556" s="4">
        <v>53.866407919725987</v>
      </c>
      <c r="L556" s="4">
        <v>55.016947515973044</v>
      </c>
      <c r="M556" s="4">
        <v>56.288513115596373</v>
      </c>
      <c r="N556" s="4">
        <v>57.659476753049091</v>
      </c>
      <c r="O556" s="11">
        <f t="shared" si="8"/>
        <v>2.0177461235839394E-2</v>
      </c>
      <c r="P556"/>
      <c r="Q556" s="11"/>
    </row>
    <row r="557" spans="1:17" x14ac:dyDescent="0.35">
      <c r="A557" s="3" t="s">
        <v>38</v>
      </c>
      <c r="B557" s="4">
        <v>11.762612317987649</v>
      </c>
      <c r="C557" s="4">
        <v>11.957396494388931</v>
      </c>
      <c r="D557" s="4">
        <v>12.181958806818399</v>
      </c>
      <c r="E557" s="4">
        <v>12.430742482961588</v>
      </c>
      <c r="F557" s="4">
        <v>12.69614583990233</v>
      </c>
      <c r="G557" s="4">
        <v>13.002075623328738</v>
      </c>
      <c r="H557" s="4">
        <v>13.324838038614402</v>
      </c>
      <c r="I557" s="4">
        <v>13.684211182175597</v>
      </c>
      <c r="J557" s="4">
        <v>14.074587155488736</v>
      </c>
      <c r="K557" s="4">
        <v>14.49577186525547</v>
      </c>
      <c r="L557" s="4">
        <v>14.966348924537224</v>
      </c>
      <c r="M557" s="4">
        <v>15.482682370711357</v>
      </c>
      <c r="N557" s="4">
        <v>16.046272971085671</v>
      </c>
      <c r="O557" s="11">
        <f t="shared" si="8"/>
        <v>3.0508649093815551E-2</v>
      </c>
      <c r="P557"/>
      <c r="Q557" s="11"/>
    </row>
    <row r="558" spans="1:17" x14ac:dyDescent="0.35">
      <c r="A558" s="2" t="s">
        <v>22</v>
      </c>
      <c r="O558" s="11" t="str">
        <f t="shared" si="8"/>
        <v/>
      </c>
      <c r="P558"/>
      <c r="Q558" s="11"/>
    </row>
    <row r="559" spans="1:17" x14ac:dyDescent="0.35">
      <c r="A559" s="3" t="s">
        <v>39</v>
      </c>
      <c r="B559" s="4">
        <v>41.311900933456428</v>
      </c>
      <c r="C559" s="4">
        <v>41.71295697623151</v>
      </c>
      <c r="D559" s="4">
        <v>42.151076760140654</v>
      </c>
      <c r="E559" s="4">
        <v>42.775665518992895</v>
      </c>
      <c r="F559" s="4">
        <v>43.477449063262668</v>
      </c>
      <c r="G559" s="4">
        <v>44.472909469492834</v>
      </c>
      <c r="H559" s="4">
        <v>45.510974118001286</v>
      </c>
      <c r="I559" s="4">
        <v>46.855099764170177</v>
      </c>
      <c r="J559" s="4">
        <v>48.327384134079693</v>
      </c>
      <c r="K559" s="4">
        <v>50.0024777114578</v>
      </c>
      <c r="L559" s="4">
        <v>51.970913900152397</v>
      </c>
      <c r="M559" s="4">
        <v>54.291584061755998</v>
      </c>
      <c r="N559" s="4">
        <v>56.867347610881353</v>
      </c>
      <c r="O559" s="11">
        <f t="shared" si="8"/>
        <v>3.5744152329407392E-2</v>
      </c>
      <c r="P559"/>
      <c r="Q559" s="11"/>
    </row>
    <row r="560" spans="1:17" x14ac:dyDescent="0.35">
      <c r="A560" s="3" t="s">
        <v>41</v>
      </c>
      <c r="B560" s="4">
        <v>26.635592142791026</v>
      </c>
      <c r="C560" s="4">
        <v>27.084592961056483</v>
      </c>
      <c r="D560" s="4">
        <v>27.548577157894936</v>
      </c>
      <c r="E560" s="4">
        <v>28.036545325577066</v>
      </c>
      <c r="F560" s="4">
        <v>28.55871654155488</v>
      </c>
      <c r="G560" s="4">
        <v>29.110701511739517</v>
      </c>
      <c r="H560" s="4">
        <v>29.681418960767974</v>
      </c>
      <c r="I560" s="4">
        <v>30.289929923957175</v>
      </c>
      <c r="J560" s="4">
        <v>30.958006638117322</v>
      </c>
      <c r="K560" s="4">
        <v>31.660750660279149</v>
      </c>
      <c r="L560" s="4">
        <v>32.421453581691893</v>
      </c>
      <c r="M560" s="4">
        <v>33.233838027660461</v>
      </c>
      <c r="N560" s="4">
        <v>34.101857307601051</v>
      </c>
      <c r="O560" s="11">
        <f t="shared" si="8"/>
        <v>2.2864035442039087E-2</v>
      </c>
      <c r="P560"/>
      <c r="Q560" s="11"/>
    </row>
    <row r="561" spans="1:17" x14ac:dyDescent="0.35">
      <c r="A561" s="3" t="s">
        <v>40</v>
      </c>
      <c r="B561" s="4">
        <v>33.432446033412369</v>
      </c>
      <c r="C561" s="4">
        <v>34.191949700524013</v>
      </c>
      <c r="D561" s="4">
        <v>35.051038204731583</v>
      </c>
      <c r="E561" s="4">
        <v>35.951858296515383</v>
      </c>
      <c r="F561" s="4">
        <v>36.901028196550662</v>
      </c>
      <c r="G561" s="4">
        <v>37.893899210935203</v>
      </c>
      <c r="H561" s="4">
        <v>38.925571353364859</v>
      </c>
      <c r="I561" s="4">
        <v>40.005114071512622</v>
      </c>
      <c r="J561" s="4">
        <v>41.15649383495014</v>
      </c>
      <c r="K561" s="4">
        <v>42.397359915059518</v>
      </c>
      <c r="L561" s="4">
        <v>43.711878374717259</v>
      </c>
      <c r="M561" s="4">
        <v>45.092689304666983</v>
      </c>
      <c r="N561" s="4">
        <v>46.55762894353041</v>
      </c>
      <c r="O561" s="11">
        <f t="shared" si="8"/>
        <v>2.985126891606919E-2</v>
      </c>
      <c r="P561"/>
      <c r="Q561" s="11"/>
    </row>
    <row r="562" spans="1:17" x14ac:dyDescent="0.35">
      <c r="A562" s="3" t="s">
        <v>42</v>
      </c>
      <c r="B562" s="4">
        <v>37.655687859589335</v>
      </c>
      <c r="C562" s="4">
        <v>38.901898047756987</v>
      </c>
      <c r="D562" s="4">
        <v>40.284112785029997</v>
      </c>
      <c r="E562" s="4">
        <v>41.746081884183347</v>
      </c>
      <c r="F562" s="4">
        <v>43.294770705853985</v>
      </c>
      <c r="G562" s="4">
        <v>44.954526326832166</v>
      </c>
      <c r="H562" s="4">
        <v>46.711963258757045</v>
      </c>
      <c r="I562" s="4">
        <v>48.590794491439873</v>
      </c>
      <c r="J562" s="4">
        <v>50.620866008430148</v>
      </c>
      <c r="K562" s="4">
        <v>52.776360116356365</v>
      </c>
      <c r="L562" s="4">
        <v>55.088744826141635</v>
      </c>
      <c r="M562" s="4">
        <v>57.572465286460393</v>
      </c>
      <c r="N562" s="4">
        <v>60.269194964827584</v>
      </c>
      <c r="O562" s="11">
        <f t="shared" si="8"/>
        <v>4.2770777570001015E-2</v>
      </c>
      <c r="P562"/>
      <c r="Q562" s="11"/>
    </row>
    <row r="563" spans="1:17" x14ac:dyDescent="0.35">
      <c r="A563" s="1" t="s">
        <v>66</v>
      </c>
      <c r="O563" s="11" t="str">
        <f t="shared" si="8"/>
        <v/>
      </c>
      <c r="P563"/>
      <c r="Q563" s="11"/>
    </row>
    <row r="564" spans="1:17" x14ac:dyDescent="0.35">
      <c r="A564" s="2" t="s">
        <v>24</v>
      </c>
      <c r="O564" s="11" t="str">
        <f t="shared" si="8"/>
        <v/>
      </c>
      <c r="P564"/>
      <c r="Q564" s="11"/>
    </row>
    <row r="565" spans="1:17" x14ac:dyDescent="0.35">
      <c r="A565" s="3" t="s">
        <v>25</v>
      </c>
      <c r="B565" s="4">
        <v>4.5162869518199198</v>
      </c>
      <c r="C565" s="4">
        <v>4.5840061870386801</v>
      </c>
      <c r="D565" s="4">
        <v>4.6539957211741543</v>
      </c>
      <c r="E565" s="4">
        <v>4.7277628701186192</v>
      </c>
      <c r="F565" s="4">
        <v>4.8070093391702367</v>
      </c>
      <c r="G565" s="4">
        <v>4.890965431807877</v>
      </c>
      <c r="H565" s="4">
        <v>4.9777426457011904</v>
      </c>
      <c r="I565" s="4">
        <v>5.0705212265026081</v>
      </c>
      <c r="J565" s="4">
        <v>5.172911993766304</v>
      </c>
      <c r="K565" s="4">
        <v>5.2807009272397627</v>
      </c>
      <c r="L565" s="4">
        <v>5.3977421773956307</v>
      </c>
      <c r="M565" s="4">
        <v>5.5229389073645558</v>
      </c>
      <c r="N565" s="4">
        <v>5.6569022833959917</v>
      </c>
      <c r="O565" s="11">
        <f t="shared" si="8"/>
        <v>2.100130608492623E-2</v>
      </c>
      <c r="P565"/>
      <c r="Q565" s="11"/>
    </row>
    <row r="566" spans="1:17" x14ac:dyDescent="0.35">
      <c r="A566" s="3" t="s">
        <v>26</v>
      </c>
      <c r="B566" s="4">
        <v>46.027300622377986</v>
      </c>
      <c r="C566" s="4">
        <v>46.700439063073709</v>
      </c>
      <c r="D566" s="4">
        <v>47.502780315576068</v>
      </c>
      <c r="E566" s="4">
        <v>48.333103655569232</v>
      </c>
      <c r="F566" s="4">
        <v>49.204331550382982</v>
      </c>
      <c r="G566" s="4">
        <v>50.142926038092902</v>
      </c>
      <c r="H566" s="4">
        <v>51.185898190024517</v>
      </c>
      <c r="I566" s="4">
        <v>52.365678117287302</v>
      </c>
      <c r="J566" s="4">
        <v>53.621422820813635</v>
      </c>
      <c r="K566" s="4">
        <v>54.958226175012854</v>
      </c>
      <c r="L566" s="4">
        <v>56.435957478352677</v>
      </c>
      <c r="M566" s="4">
        <v>58.06840302803046</v>
      </c>
      <c r="N566" s="4">
        <v>59.8711783132606</v>
      </c>
      <c r="O566" s="11">
        <f t="shared" si="8"/>
        <v>2.5654669931316768E-2</v>
      </c>
      <c r="P566"/>
      <c r="Q566" s="11"/>
    </row>
    <row r="567" spans="1:17" x14ac:dyDescent="0.35">
      <c r="A567" s="2" t="s">
        <v>27</v>
      </c>
      <c r="O567" s="11" t="str">
        <f t="shared" si="8"/>
        <v/>
      </c>
      <c r="P567"/>
      <c r="Q567" s="11"/>
    </row>
    <row r="568" spans="1:17" x14ac:dyDescent="0.35">
      <c r="A568" s="3" t="s">
        <v>30</v>
      </c>
      <c r="B568" s="4">
        <v>8.107253774117595</v>
      </c>
      <c r="C568" s="4">
        <v>8.36229614513835</v>
      </c>
      <c r="D568" s="4">
        <v>8.6454973423963839</v>
      </c>
      <c r="E568" s="4">
        <v>8.9432588042480905</v>
      </c>
      <c r="F568" s="4">
        <v>9.2575438284694211</v>
      </c>
      <c r="G568" s="4">
        <v>9.5875502915468083</v>
      </c>
      <c r="H568" s="4">
        <v>9.932378634975322</v>
      </c>
      <c r="I568" s="4">
        <v>10.294657063521324</v>
      </c>
      <c r="J568" s="4">
        <v>10.680931053214506</v>
      </c>
      <c r="K568" s="4">
        <v>11.096322339159059</v>
      </c>
      <c r="L568" s="4">
        <v>11.537353469436413</v>
      </c>
      <c r="M568" s="4">
        <v>12.002653736885764</v>
      </c>
      <c r="N568" s="4">
        <v>12.497502464083533</v>
      </c>
      <c r="O568" s="11">
        <f t="shared" si="8"/>
        <v>3.8592261310819352E-2</v>
      </c>
      <c r="P568"/>
      <c r="Q568" s="11"/>
    </row>
    <row r="569" spans="1:17" x14ac:dyDescent="0.35">
      <c r="A569" s="3" t="s">
        <v>32</v>
      </c>
      <c r="B569" s="4">
        <v>4.3548575906754801</v>
      </c>
      <c r="C569" s="4">
        <v>4.3826772222000443</v>
      </c>
      <c r="D569" s="4">
        <v>4.4174341028264887</v>
      </c>
      <c r="E569" s="4">
        <v>4.4609457960043564</v>
      </c>
      <c r="F569" s="4">
        <v>4.5099469642776935</v>
      </c>
      <c r="G569" s="4">
        <v>4.5717093840565397</v>
      </c>
      <c r="H569" s="4">
        <v>4.6367906757295243</v>
      </c>
      <c r="I569" s="4">
        <v>4.7148108937106628</v>
      </c>
      <c r="J569" s="4">
        <v>4.8017697256925587</v>
      </c>
      <c r="K569" s="4">
        <v>4.8983342051168766</v>
      </c>
      <c r="L569" s="4">
        <v>5.0081102750601971</v>
      </c>
      <c r="M569" s="4">
        <v>5.1323365980135467</v>
      </c>
      <c r="N569" s="4">
        <v>5.2691862966436256</v>
      </c>
      <c r="O569" s="11">
        <f t="shared" si="8"/>
        <v>2.0491230330620915E-2</v>
      </c>
      <c r="P569"/>
      <c r="Q569" s="11"/>
    </row>
    <row r="570" spans="1:17" x14ac:dyDescent="0.35">
      <c r="A570" s="3" t="s">
        <v>29</v>
      </c>
      <c r="B570" s="4">
        <v>9.8199330225859462</v>
      </c>
      <c r="C570" s="4">
        <v>10.100846901188607</v>
      </c>
      <c r="D570" s="4">
        <v>10.392561880638057</v>
      </c>
      <c r="E570" s="4">
        <v>10.698750969743951</v>
      </c>
      <c r="F570" s="4">
        <v>11.023714675557812</v>
      </c>
      <c r="G570" s="4">
        <v>11.366303017043386</v>
      </c>
      <c r="H570" s="4">
        <v>11.722686581182481</v>
      </c>
      <c r="I570" s="4">
        <v>12.100751815365449</v>
      </c>
      <c r="J570" s="4">
        <v>12.509822435440634</v>
      </c>
      <c r="K570" s="4">
        <v>12.940776235794399</v>
      </c>
      <c r="L570" s="4">
        <v>13.403745554440656</v>
      </c>
      <c r="M570" s="4">
        <v>13.897088165675807</v>
      </c>
      <c r="N570" s="4">
        <v>14.423341164357598</v>
      </c>
      <c r="O570" s="11">
        <f t="shared" si="8"/>
        <v>3.4613384252265768E-2</v>
      </c>
      <c r="P570"/>
      <c r="Q570" s="11"/>
    </row>
    <row r="571" spans="1:17" x14ac:dyDescent="0.35">
      <c r="A571" s="3" t="s">
        <v>31</v>
      </c>
      <c r="B571" s="4">
        <v>6.7613251970224191</v>
      </c>
      <c r="C571" s="4">
        <v>6.8967215316034753</v>
      </c>
      <c r="D571" s="4">
        <v>7.0516289617676238</v>
      </c>
      <c r="E571" s="4">
        <v>7.2153797830402659</v>
      </c>
      <c r="F571" s="4">
        <v>7.3887514336908806</v>
      </c>
      <c r="G571" s="4">
        <v>7.5754386854114832</v>
      </c>
      <c r="H571" s="4">
        <v>7.7725811795807527</v>
      </c>
      <c r="I571" s="4">
        <v>7.983621324138249</v>
      </c>
      <c r="J571" s="4">
        <v>8.2128245285104953</v>
      </c>
      <c r="K571" s="4">
        <v>8.4551963468297071</v>
      </c>
      <c r="L571" s="4">
        <v>8.7151515901682348</v>
      </c>
      <c r="M571" s="4">
        <v>8.994176331724276</v>
      </c>
      <c r="N571" s="4">
        <v>9.2979174051840179</v>
      </c>
      <c r="O571" s="11">
        <f t="shared" si="8"/>
        <v>2.970098474781285E-2</v>
      </c>
      <c r="P571"/>
      <c r="Q571" s="11"/>
    </row>
    <row r="572" spans="1:17" x14ac:dyDescent="0.35">
      <c r="A572" s="3" t="s">
        <v>28</v>
      </c>
      <c r="B572" s="4">
        <v>19.504503868029495</v>
      </c>
      <c r="C572" s="4">
        <v>19.511026423340489</v>
      </c>
      <c r="D572" s="4">
        <v>19.578047248708259</v>
      </c>
      <c r="E572" s="4">
        <v>19.627802540860024</v>
      </c>
      <c r="F572" s="4">
        <v>19.670930351975279</v>
      </c>
      <c r="G572" s="4">
        <v>19.72304739458135</v>
      </c>
      <c r="H572" s="4">
        <v>19.837169010909079</v>
      </c>
      <c r="I572" s="4">
        <v>20.024347260097869</v>
      </c>
      <c r="J572" s="4">
        <v>20.210004817733179</v>
      </c>
      <c r="K572" s="4">
        <v>20.404832276472376</v>
      </c>
      <c r="L572" s="4">
        <v>20.656627403096351</v>
      </c>
      <c r="M572" s="4">
        <v>20.977973997231388</v>
      </c>
      <c r="N572" s="4">
        <v>21.371875482670617</v>
      </c>
      <c r="O572" s="11">
        <f t="shared" si="8"/>
        <v>1.1535737515863098E-2</v>
      </c>
      <c r="P572"/>
      <c r="Q572" s="11"/>
    </row>
    <row r="573" spans="1:17" x14ac:dyDescent="0.35">
      <c r="A573" s="3" t="s">
        <v>33</v>
      </c>
      <c r="B573" s="4">
        <v>1.995714121766972</v>
      </c>
      <c r="C573" s="4">
        <v>2.0308770266414262</v>
      </c>
      <c r="D573" s="4">
        <v>2.0716065004134112</v>
      </c>
      <c r="E573" s="4">
        <v>2.1147286317911624</v>
      </c>
      <c r="F573" s="4">
        <v>2.1604536355821287</v>
      </c>
      <c r="G573" s="4">
        <v>2.2098426972612173</v>
      </c>
      <c r="H573" s="4">
        <v>2.2620347533485545</v>
      </c>
      <c r="I573" s="4">
        <v>2.3180109869563514</v>
      </c>
      <c r="J573" s="4">
        <v>2.3789822539885677</v>
      </c>
      <c r="K573" s="4">
        <v>2.4434656988802028</v>
      </c>
      <c r="L573" s="4">
        <v>2.5127113635464529</v>
      </c>
      <c r="M573" s="4">
        <v>2.5871131058642307</v>
      </c>
      <c r="N573" s="4">
        <v>2.6682577837171988</v>
      </c>
      <c r="O573" s="11">
        <f t="shared" si="8"/>
        <v>2.7295068972194192E-2</v>
      </c>
      <c r="P573"/>
      <c r="Q573" s="11"/>
    </row>
    <row r="574" spans="1:17" x14ac:dyDescent="0.35">
      <c r="A574" s="2" t="s">
        <v>34</v>
      </c>
      <c r="O574" s="11" t="str">
        <f t="shared" si="8"/>
        <v/>
      </c>
      <c r="P574"/>
      <c r="Q574" s="11"/>
    </row>
    <row r="575" spans="1:17" x14ac:dyDescent="0.35">
      <c r="A575" s="3" t="s">
        <v>36</v>
      </c>
      <c r="B575" s="4">
        <v>18.592571664854848</v>
      </c>
      <c r="C575" s="4">
        <v>18.967073190651554</v>
      </c>
      <c r="D575" s="4">
        <v>19.392344060531574</v>
      </c>
      <c r="E575" s="4">
        <v>19.83744167106958</v>
      </c>
      <c r="F575" s="4">
        <v>20.308264174472011</v>
      </c>
      <c r="G575" s="4">
        <v>20.80239945242143</v>
      </c>
      <c r="H575" s="4">
        <v>21.368877978032401</v>
      </c>
      <c r="I575" s="4">
        <v>21.993785098768633</v>
      </c>
      <c r="J575" s="4">
        <v>22.66415440161731</v>
      </c>
      <c r="K575" s="4">
        <v>23.383910266360122</v>
      </c>
      <c r="L575" s="4">
        <v>24.165225915134638</v>
      </c>
      <c r="M575" s="4">
        <v>25.023742204099083</v>
      </c>
      <c r="N575" s="4">
        <v>25.968961665676883</v>
      </c>
      <c r="O575" s="11">
        <f t="shared" si="8"/>
        <v>3.2198020734178684E-2</v>
      </c>
      <c r="P575"/>
      <c r="Q575" s="11"/>
    </row>
    <row r="576" spans="1:17" x14ac:dyDescent="0.35">
      <c r="A576" s="3" t="s">
        <v>37</v>
      </c>
      <c r="B576" s="4">
        <v>10.704307717995004</v>
      </c>
      <c r="C576" s="4">
        <v>10.897402439887371</v>
      </c>
      <c r="D576" s="4">
        <v>11.110797722182079</v>
      </c>
      <c r="E576" s="4">
        <v>11.333768873949365</v>
      </c>
      <c r="F576" s="4">
        <v>11.574630352631255</v>
      </c>
      <c r="G576" s="4">
        <v>11.82754286355452</v>
      </c>
      <c r="H576" s="4">
        <v>12.105008482727783</v>
      </c>
      <c r="I576" s="4">
        <v>12.410847208613413</v>
      </c>
      <c r="J576" s="4">
        <v>12.742578573291517</v>
      </c>
      <c r="K576" s="4">
        <v>13.094419379053187</v>
      </c>
      <c r="L576" s="4">
        <v>13.484069895542072</v>
      </c>
      <c r="M576" s="4">
        <v>13.907355002469698</v>
      </c>
      <c r="N576" s="4">
        <v>14.36785476451826</v>
      </c>
      <c r="O576" s="11">
        <f t="shared" si="8"/>
        <v>2.8184510459705103E-2</v>
      </c>
      <c r="P576"/>
      <c r="Q576" s="11"/>
    </row>
    <row r="577" spans="1:17" x14ac:dyDescent="0.35">
      <c r="A577" s="3" t="s">
        <v>35</v>
      </c>
      <c r="B577" s="4">
        <v>16.333725365657727</v>
      </c>
      <c r="C577" s="4">
        <v>16.434056803164907</v>
      </c>
      <c r="D577" s="4">
        <v>16.58666550100218</v>
      </c>
      <c r="E577" s="4">
        <v>16.738929221382925</v>
      </c>
      <c r="F577" s="4">
        <v>16.889346296163289</v>
      </c>
      <c r="G577" s="4">
        <v>17.072067713942687</v>
      </c>
      <c r="H577" s="4">
        <v>17.252201432201318</v>
      </c>
      <c r="I577" s="4">
        <v>17.478876326824235</v>
      </c>
      <c r="J577" s="4">
        <v>17.709532956005049</v>
      </c>
      <c r="K577" s="4">
        <v>17.944554069643573</v>
      </c>
      <c r="L577" s="4">
        <v>18.215226537445005</v>
      </c>
      <c r="M577" s="4">
        <v>18.526675214970204</v>
      </c>
      <c r="N577" s="4">
        <v>18.874393154628393</v>
      </c>
      <c r="O577" s="11">
        <f t="shared" si="8"/>
        <v>1.4440772459241342E-2</v>
      </c>
      <c r="P577"/>
      <c r="Q577" s="11"/>
    </row>
    <row r="578" spans="1:17" x14ac:dyDescent="0.35">
      <c r="A578" s="3" t="s">
        <v>38</v>
      </c>
      <c r="B578" s="4">
        <v>4.9129828256903254</v>
      </c>
      <c r="C578" s="4">
        <v>4.9859128164085558</v>
      </c>
      <c r="D578" s="4">
        <v>5.0669687530343852</v>
      </c>
      <c r="E578" s="4">
        <v>5.1507267592859804</v>
      </c>
      <c r="F578" s="4">
        <v>5.239100066286662</v>
      </c>
      <c r="G578" s="4">
        <v>5.3318814399821415</v>
      </c>
      <c r="H578" s="4">
        <v>5.4375529427642064</v>
      </c>
      <c r="I578" s="4">
        <v>5.5526907095836302</v>
      </c>
      <c r="J578" s="4">
        <v>5.6780688836660609</v>
      </c>
      <c r="K578" s="4">
        <v>5.8160433871957338</v>
      </c>
      <c r="L578" s="4">
        <v>5.9691773076265848</v>
      </c>
      <c r="M578" s="4">
        <v>6.1335695138560347</v>
      </c>
      <c r="N578" s="4">
        <v>6.316871011833058</v>
      </c>
      <c r="O578" s="11">
        <f t="shared" si="8"/>
        <v>2.4512733898539814E-2</v>
      </c>
      <c r="P578"/>
      <c r="Q578" s="11"/>
    </row>
    <row r="579" spans="1:17" x14ac:dyDescent="0.35">
      <c r="A579" s="2" t="s">
        <v>22</v>
      </c>
      <c r="O579" s="11" t="str">
        <f t="shared" si="8"/>
        <v/>
      </c>
      <c r="P579"/>
      <c r="Q579" s="11"/>
    </row>
    <row r="580" spans="1:17" x14ac:dyDescent="0.35">
      <c r="A580" s="3" t="s">
        <v>39</v>
      </c>
      <c r="B580" s="4">
        <v>12.903651182563294</v>
      </c>
      <c r="C580" s="4">
        <v>12.972977950003482</v>
      </c>
      <c r="D580" s="4">
        <v>13.129808669564817</v>
      </c>
      <c r="E580" s="4">
        <v>13.265552372242823</v>
      </c>
      <c r="F580" s="4">
        <v>13.400213674698158</v>
      </c>
      <c r="G580" s="4">
        <v>13.532289989100747</v>
      </c>
      <c r="H580" s="4">
        <v>13.721426635966559</v>
      </c>
      <c r="I580" s="4">
        <v>13.972906824497983</v>
      </c>
      <c r="J580" s="4">
        <v>14.216633373126626</v>
      </c>
      <c r="K580" s="4">
        <v>14.455679611471723</v>
      </c>
      <c r="L580" s="4">
        <v>14.735019299731398</v>
      </c>
      <c r="M580" s="4">
        <v>15.074369219429819</v>
      </c>
      <c r="N580" s="4">
        <v>15.470217419359223</v>
      </c>
      <c r="O580" s="11">
        <f t="shared" si="8"/>
        <v>1.9303672083152812E-2</v>
      </c>
      <c r="P580"/>
      <c r="Q580" s="11"/>
    </row>
    <row r="581" spans="1:17" x14ac:dyDescent="0.35">
      <c r="A581" s="3" t="s">
        <v>41</v>
      </c>
      <c r="B581" s="4">
        <v>9.6623637310569261</v>
      </c>
      <c r="C581" s="4">
        <v>9.8058159164494896</v>
      </c>
      <c r="D581" s="4">
        <v>9.9540822365816268</v>
      </c>
      <c r="E581" s="4">
        <v>10.110384457280386</v>
      </c>
      <c r="F581" s="4">
        <v>10.278358171281978</v>
      </c>
      <c r="G581" s="4">
        <v>10.456352498505131</v>
      </c>
      <c r="H581" s="4">
        <v>10.640325635433754</v>
      </c>
      <c r="I581" s="4">
        <v>10.837072985807879</v>
      </c>
      <c r="J581" s="4">
        <v>11.05430625687957</v>
      </c>
      <c r="K581" s="4">
        <v>11.28301131375318</v>
      </c>
      <c r="L581" s="4">
        <v>11.531418111580606</v>
      </c>
      <c r="M581" s="4">
        <v>11.797174842703029</v>
      </c>
      <c r="N581" s="4">
        <v>12.08157941357155</v>
      </c>
      <c r="O581" s="11">
        <f t="shared" si="8"/>
        <v>2.0853346439971089E-2</v>
      </c>
      <c r="P581"/>
      <c r="Q581" s="11"/>
    </row>
    <row r="582" spans="1:17" x14ac:dyDescent="0.35">
      <c r="A582" s="3" t="s">
        <v>40</v>
      </c>
      <c r="B582" s="4">
        <v>13.561583267043277</v>
      </c>
      <c r="C582" s="4">
        <v>13.693635810037916</v>
      </c>
      <c r="D582" s="4">
        <v>13.848094279689505</v>
      </c>
      <c r="E582" s="4">
        <v>14.03087610429986</v>
      </c>
      <c r="F582" s="4">
        <v>14.231988324397273</v>
      </c>
      <c r="G582" s="4">
        <v>14.47455517534264</v>
      </c>
      <c r="H582" s="4">
        <v>14.72908625203091</v>
      </c>
      <c r="I582" s="4">
        <v>15.026251570068986</v>
      </c>
      <c r="J582" s="4">
        <v>15.353716046893165</v>
      </c>
      <c r="K582" s="4">
        <v>15.713902750228987</v>
      </c>
      <c r="L582" s="4">
        <v>16.118692343966039</v>
      </c>
      <c r="M582" s="4">
        <v>16.572499566664856</v>
      </c>
      <c r="N582" s="4">
        <v>17.069894583207898</v>
      </c>
      <c r="O582" s="11">
        <f t="shared" si="8"/>
        <v>2.3840324400041579E-2</v>
      </c>
      <c r="P582"/>
      <c r="Q582" s="11"/>
    </row>
    <row r="583" spans="1:17" x14ac:dyDescent="0.35">
      <c r="A583" s="3" t="s">
        <v>42</v>
      </c>
      <c r="B583" s="4">
        <v>14.41598939353441</v>
      </c>
      <c r="C583" s="4">
        <v>14.812015573621499</v>
      </c>
      <c r="D583" s="4">
        <v>15.224790850914275</v>
      </c>
      <c r="E583" s="4">
        <v>15.654053591864779</v>
      </c>
      <c r="F583" s="4">
        <v>16.100780719175813</v>
      </c>
      <c r="G583" s="4">
        <v>16.57069380695226</v>
      </c>
      <c r="H583" s="4">
        <v>17.072802312294488</v>
      </c>
      <c r="I583" s="4">
        <v>17.599967963415065</v>
      </c>
      <c r="J583" s="4">
        <v>18.169679137680582</v>
      </c>
      <c r="K583" s="4">
        <v>18.786333426798731</v>
      </c>
      <c r="L583" s="4">
        <v>19.448569900470261</v>
      </c>
      <c r="M583" s="4">
        <v>20.147298306597307</v>
      </c>
      <c r="N583" s="4">
        <v>20.906389180517923</v>
      </c>
      <c r="O583" s="11">
        <f t="shared" si="8"/>
        <v>3.3760092601862149E-2</v>
      </c>
      <c r="P583"/>
      <c r="Q583" s="11"/>
    </row>
    <row r="584" spans="1:17" x14ac:dyDescent="0.35">
      <c r="A584" s="1" t="s">
        <v>67</v>
      </c>
      <c r="O584" s="11" t="str">
        <f t="shared" si="8"/>
        <v/>
      </c>
      <c r="P584"/>
      <c r="Q584" s="11"/>
    </row>
    <row r="585" spans="1:17" x14ac:dyDescent="0.35">
      <c r="A585" s="2" t="s">
        <v>24</v>
      </c>
      <c r="O585" s="11" t="str">
        <f t="shared" si="8"/>
        <v/>
      </c>
      <c r="P585"/>
      <c r="Q585" s="11"/>
    </row>
    <row r="586" spans="1:17" x14ac:dyDescent="0.35">
      <c r="A586" s="3" t="s">
        <v>25</v>
      </c>
      <c r="B586" s="4">
        <v>69.446703022318076</v>
      </c>
      <c r="C586" s="4">
        <v>72.835776680073408</v>
      </c>
      <c r="D586" s="4">
        <v>76.681853530559792</v>
      </c>
      <c r="E586" s="4">
        <v>80.785971215999581</v>
      </c>
      <c r="F586" s="4">
        <v>85.199009438406264</v>
      </c>
      <c r="G586" s="4">
        <v>89.923966557696488</v>
      </c>
      <c r="H586" s="4">
        <v>95.004462550528061</v>
      </c>
      <c r="I586" s="4">
        <v>100.54357196935695</v>
      </c>
      <c r="J586" s="4">
        <v>106.48083167705461</v>
      </c>
      <c r="K586" s="4">
        <v>112.93281166097682</v>
      </c>
      <c r="L586" s="4">
        <v>119.86539821591425</v>
      </c>
      <c r="M586" s="4">
        <v>127.36990276995495</v>
      </c>
      <c r="N586" s="4">
        <v>135.61397447828315</v>
      </c>
      <c r="O586" s="11">
        <f t="shared" si="8"/>
        <v>6.0449167577441232E-2</v>
      </c>
      <c r="P586"/>
      <c r="Q586" s="11"/>
    </row>
    <row r="587" spans="1:17" x14ac:dyDescent="0.35">
      <c r="A587" s="3" t="s">
        <v>26</v>
      </c>
      <c r="B587" s="4">
        <v>655.33737517715724</v>
      </c>
      <c r="C587" s="4">
        <v>695.07216351624095</v>
      </c>
      <c r="D587" s="4">
        <v>737.89156729797185</v>
      </c>
      <c r="E587" s="4">
        <v>783.81808270375711</v>
      </c>
      <c r="F587" s="4">
        <v>832.89376468235093</v>
      </c>
      <c r="G587" s="4">
        <v>885.62679615397496</v>
      </c>
      <c r="H587" s="4">
        <v>943.05702103562226</v>
      </c>
      <c r="I587" s="4">
        <v>1005.1082738916903</v>
      </c>
      <c r="J587" s="4">
        <v>1072.5620625777824</v>
      </c>
      <c r="K587" s="4">
        <v>1145.636330199392</v>
      </c>
      <c r="L587" s="4">
        <v>1224.4875188108804</v>
      </c>
      <c r="M587" s="4">
        <v>1310.5241807468224</v>
      </c>
      <c r="N587" s="4">
        <v>1404.5643814295061</v>
      </c>
      <c r="O587" s="11">
        <f t="shared" si="8"/>
        <v>6.8102634018793892E-2</v>
      </c>
      <c r="P587"/>
      <c r="Q587" s="11"/>
    </row>
    <row r="588" spans="1:17" x14ac:dyDescent="0.35">
      <c r="A588" s="2" t="s">
        <v>27</v>
      </c>
      <c r="O588" s="11" t="str">
        <f t="shared" si="8"/>
        <v/>
      </c>
      <c r="P588"/>
      <c r="Q588" s="11"/>
    </row>
    <row r="589" spans="1:17" x14ac:dyDescent="0.35">
      <c r="A589" s="3" t="s">
        <v>30</v>
      </c>
      <c r="B589" s="4">
        <v>133.05013943587076</v>
      </c>
      <c r="C589" s="4">
        <v>142.89400414222078</v>
      </c>
      <c r="D589" s="4">
        <v>153.52280463073259</v>
      </c>
      <c r="E589" s="4">
        <v>164.99246239338873</v>
      </c>
      <c r="F589" s="4">
        <v>177.37552396013027</v>
      </c>
      <c r="G589" s="4">
        <v>190.80294812586803</v>
      </c>
      <c r="H589" s="4">
        <v>205.45963085846654</v>
      </c>
      <c r="I589" s="4">
        <v>221.36062946978859</v>
      </c>
      <c r="J589" s="4">
        <v>238.82262417341724</v>
      </c>
      <c r="K589" s="4">
        <v>258.03673032444499</v>
      </c>
      <c r="L589" s="4">
        <v>279.13530580519028</v>
      </c>
      <c r="M589" s="4">
        <v>302.14772148704697</v>
      </c>
      <c r="N589" s="4">
        <v>327.58610293613941</v>
      </c>
      <c r="O589" s="11">
        <f t="shared" si="8"/>
        <v>8.0275038811050789E-2</v>
      </c>
      <c r="P589"/>
      <c r="Q589" s="11"/>
    </row>
    <row r="590" spans="1:17" x14ac:dyDescent="0.35">
      <c r="A590" s="3" t="s">
        <v>32</v>
      </c>
      <c r="B590" s="4">
        <v>57.891404623458328</v>
      </c>
      <c r="C590" s="4">
        <v>60.356215433882554</v>
      </c>
      <c r="D590" s="4">
        <v>63.053134723405243</v>
      </c>
      <c r="E590" s="4">
        <v>65.876131987871659</v>
      </c>
      <c r="F590" s="4">
        <v>68.856958059056794</v>
      </c>
      <c r="G590" s="4">
        <v>72.035516314282987</v>
      </c>
      <c r="H590" s="4">
        <v>75.417292718795011</v>
      </c>
      <c r="I590" s="4">
        <v>79.166482331012887</v>
      </c>
      <c r="J590" s="4">
        <v>83.167486092574052</v>
      </c>
      <c r="K590" s="4">
        <v>87.476404907341632</v>
      </c>
      <c r="L590" s="4">
        <v>92.16207377566613</v>
      </c>
      <c r="M590" s="4">
        <v>97.267023834959318</v>
      </c>
      <c r="N590" s="4">
        <v>102.83956966587415</v>
      </c>
      <c r="O590" s="11">
        <f t="shared" si="8"/>
        <v>5.217421332264216E-2</v>
      </c>
      <c r="P590"/>
      <c r="Q590" s="11"/>
    </row>
    <row r="591" spans="1:17" x14ac:dyDescent="0.35">
      <c r="A591" s="3" t="s">
        <v>29</v>
      </c>
      <c r="B591" s="4">
        <v>151.13650568859606</v>
      </c>
      <c r="C591" s="4">
        <v>160.75604297813757</v>
      </c>
      <c r="D591" s="4">
        <v>171.63146396379818</v>
      </c>
      <c r="E591" s="4">
        <v>183.3656155107326</v>
      </c>
      <c r="F591" s="4">
        <v>196.10461655219376</v>
      </c>
      <c r="G591" s="4">
        <v>209.89171650049661</v>
      </c>
      <c r="H591" s="4">
        <v>224.8663609597333</v>
      </c>
      <c r="I591" s="4">
        <v>241.31547223698547</v>
      </c>
      <c r="J591" s="4">
        <v>259.14833380889587</v>
      </c>
      <c r="K591" s="4">
        <v>278.698434979284</v>
      </c>
      <c r="L591" s="4">
        <v>299.9446635448341</v>
      </c>
      <c r="M591" s="4">
        <v>323.17678654297924</v>
      </c>
      <c r="N591" s="4">
        <v>348.89272705930654</v>
      </c>
      <c r="O591" s="11">
        <f t="shared" si="8"/>
        <v>7.5296143322238107E-2</v>
      </c>
      <c r="P591"/>
      <c r="Q591" s="11"/>
    </row>
    <row r="592" spans="1:17" x14ac:dyDescent="0.35">
      <c r="A592" s="3" t="s">
        <v>31</v>
      </c>
      <c r="B592" s="4">
        <v>100.35139715199092</v>
      </c>
      <c r="C592" s="4">
        <v>106.683058705951</v>
      </c>
      <c r="D592" s="4">
        <v>113.45649241637676</v>
      </c>
      <c r="E592" s="4">
        <v>120.6971237085986</v>
      </c>
      <c r="F592" s="4">
        <v>128.44117909949392</v>
      </c>
      <c r="G592" s="4">
        <v>136.76536461246585</v>
      </c>
      <c r="H592" s="4">
        <v>145.78156409921547</v>
      </c>
      <c r="I592" s="4">
        <v>155.47619829945609</v>
      </c>
      <c r="J592" s="4">
        <v>166.04758461854638</v>
      </c>
      <c r="K592" s="4">
        <v>177.59822525419818</v>
      </c>
      <c r="L592" s="4">
        <v>190.18542081305489</v>
      </c>
      <c r="M592" s="4">
        <v>203.79329579018881</v>
      </c>
      <c r="N592" s="4">
        <v>218.7314753315855</v>
      </c>
      <c r="O592" s="11">
        <f t="shared" si="8"/>
        <v>6.9383782252008669E-2</v>
      </c>
      <c r="P592"/>
      <c r="Q592" s="11"/>
    </row>
    <row r="593" spans="1:17" x14ac:dyDescent="0.35">
      <c r="A593" s="3" t="s">
        <v>28</v>
      </c>
      <c r="B593" s="4">
        <v>252.25239190414925</v>
      </c>
      <c r="C593" s="4">
        <v>265.61504732273022</v>
      </c>
      <c r="D593" s="4">
        <v>279.68100004551093</v>
      </c>
      <c r="E593" s="4">
        <v>294.67191052425994</v>
      </c>
      <c r="F593" s="4">
        <v>310.40716693022796</v>
      </c>
      <c r="G593" s="4">
        <v>327.03749099187951</v>
      </c>
      <c r="H593" s="4">
        <v>345.26673109355681</v>
      </c>
      <c r="I593" s="4">
        <v>364.57406477183997</v>
      </c>
      <c r="J593" s="4">
        <v>385.38787156230251</v>
      </c>
      <c r="K593" s="4">
        <v>407.33508991859037</v>
      </c>
      <c r="L593" s="4">
        <v>430.24427894150472</v>
      </c>
      <c r="M593" s="4">
        <v>455.23041681247992</v>
      </c>
      <c r="N593" s="4">
        <v>481.90165531827756</v>
      </c>
      <c r="O593" s="11">
        <f t="shared" si="8"/>
        <v>5.6942968043185944E-2</v>
      </c>
      <c r="P593"/>
      <c r="Q593" s="11"/>
    </row>
    <row r="594" spans="1:17" x14ac:dyDescent="0.35">
      <c r="A594" s="3" t="s">
        <v>33</v>
      </c>
      <c r="B594" s="4">
        <v>30.102239395409939</v>
      </c>
      <c r="C594" s="4">
        <v>31.603571613392251</v>
      </c>
      <c r="D594" s="4">
        <v>33.228525048707972</v>
      </c>
      <c r="E594" s="4">
        <v>35.000809794905031</v>
      </c>
      <c r="F594" s="4">
        <v>36.907329519654439</v>
      </c>
      <c r="G594" s="4">
        <v>39.017726166678429</v>
      </c>
      <c r="H594" s="4">
        <v>41.26990385638323</v>
      </c>
      <c r="I594" s="4">
        <v>43.758998751964242</v>
      </c>
      <c r="J594" s="4">
        <v>46.468993999100832</v>
      </c>
      <c r="K594" s="4">
        <v>49.424256476509605</v>
      </c>
      <c r="L594" s="4">
        <v>52.681174146544485</v>
      </c>
      <c r="M594" s="4">
        <v>56.278839049122958</v>
      </c>
      <c r="N594" s="4">
        <v>60.226825596606126</v>
      </c>
      <c r="O594" s="11">
        <f t="shared" si="8"/>
        <v>6.3977818047348714E-2</v>
      </c>
      <c r="P594"/>
      <c r="Q594" s="11"/>
    </row>
    <row r="595" spans="1:17" x14ac:dyDescent="0.35">
      <c r="A595" s="2" t="s">
        <v>34</v>
      </c>
      <c r="O595" s="11" t="str">
        <f t="shared" si="8"/>
        <v/>
      </c>
      <c r="P595"/>
      <c r="Q595" s="11"/>
    </row>
    <row r="596" spans="1:17" x14ac:dyDescent="0.35">
      <c r="A596" s="3" t="s">
        <v>36</v>
      </c>
      <c r="B596" s="4">
        <v>251.78979983734698</v>
      </c>
      <c r="C596" s="4">
        <v>268.50845296597663</v>
      </c>
      <c r="D596" s="4">
        <v>286.90293725450869</v>
      </c>
      <c r="E596" s="4">
        <v>306.58290398498366</v>
      </c>
      <c r="F596" s="4">
        <v>327.75912036111032</v>
      </c>
      <c r="G596" s="4">
        <v>350.69719487825176</v>
      </c>
      <c r="H596" s="4">
        <v>375.51559724601083</v>
      </c>
      <c r="I596" s="4">
        <v>403.12928327771107</v>
      </c>
      <c r="J596" s="4">
        <v>433.10674440874726</v>
      </c>
      <c r="K596" s="4">
        <v>465.86387571347285</v>
      </c>
      <c r="L596" s="4">
        <v>501.91602689258934</v>
      </c>
      <c r="M596" s="4">
        <v>541.67470188726998</v>
      </c>
      <c r="N596" s="4">
        <v>585.61210643394281</v>
      </c>
      <c r="O596" s="11">
        <f t="shared" si="8"/>
        <v>7.5997117143718609E-2</v>
      </c>
      <c r="P596"/>
      <c r="Q596" s="11"/>
    </row>
    <row r="597" spans="1:17" x14ac:dyDescent="0.35">
      <c r="A597" s="3" t="s">
        <v>37</v>
      </c>
      <c r="B597" s="4">
        <v>166.77947348587603</v>
      </c>
      <c r="C597" s="4">
        <v>177.42376421673814</v>
      </c>
      <c r="D597" s="4">
        <v>188.79597100980121</v>
      </c>
      <c r="E597" s="4">
        <v>201.00698864413752</v>
      </c>
      <c r="F597" s="4">
        <v>214.19104420237267</v>
      </c>
      <c r="G597" s="4">
        <v>228.39050659008268</v>
      </c>
      <c r="H597" s="4">
        <v>243.59456450547131</v>
      </c>
      <c r="I597" s="4">
        <v>260.02910618074105</v>
      </c>
      <c r="J597" s="4">
        <v>277.97668929598268</v>
      </c>
      <c r="K597" s="4">
        <v>297.34201437848247</v>
      </c>
      <c r="L597" s="4">
        <v>318.45093609591618</v>
      </c>
      <c r="M597" s="4">
        <v>341.38652883199904</v>
      </c>
      <c r="N597" s="4">
        <v>366.33639151218193</v>
      </c>
      <c r="O597" s="11">
        <f t="shared" ref="O597:O660" si="9">IFERROR(RATE(2033-2026,,-G597,N597),"")</f>
        <v>6.9829510977046427E-2</v>
      </c>
      <c r="P597"/>
      <c r="Q597" s="11"/>
    </row>
    <row r="598" spans="1:17" x14ac:dyDescent="0.35">
      <c r="A598" s="3" t="s">
        <v>35</v>
      </c>
      <c r="B598" s="4">
        <v>247.62700873450342</v>
      </c>
      <c r="C598" s="4">
        <v>260.1145996733606</v>
      </c>
      <c r="D598" s="4">
        <v>273.40822438071712</v>
      </c>
      <c r="E598" s="4">
        <v>287.69497653489054</v>
      </c>
      <c r="F598" s="4">
        <v>302.69518762761368</v>
      </c>
      <c r="G598" s="4">
        <v>318.60444421303748</v>
      </c>
      <c r="H598" s="4">
        <v>336.39174300771401</v>
      </c>
      <c r="I598" s="4">
        <v>354.90712127821132</v>
      </c>
      <c r="J598" s="4">
        <v>374.9485784232337</v>
      </c>
      <c r="K598" s="4">
        <v>396.46451613057229</v>
      </c>
      <c r="L598" s="4">
        <v>418.74211053652539</v>
      </c>
      <c r="M598" s="4">
        <v>442.77533163800558</v>
      </c>
      <c r="N598" s="4">
        <v>468.81685899713534</v>
      </c>
      <c r="O598" s="11">
        <f t="shared" si="9"/>
        <v>5.673108884556035E-2</v>
      </c>
      <c r="P598"/>
      <c r="Q598" s="11"/>
    </row>
    <row r="599" spans="1:17" x14ac:dyDescent="0.35">
      <c r="A599" s="3" t="s">
        <v>38</v>
      </c>
      <c r="B599" s="4">
        <v>58.587796141748839</v>
      </c>
      <c r="C599" s="4">
        <v>61.861123340238997</v>
      </c>
      <c r="D599" s="4">
        <v>65.466288183504574</v>
      </c>
      <c r="E599" s="4">
        <v>69.319184755744928</v>
      </c>
      <c r="F599" s="4">
        <v>73.447421929660578</v>
      </c>
      <c r="G599" s="4">
        <v>77.858617030299541</v>
      </c>
      <c r="H599" s="4">
        <v>82.55957882695435</v>
      </c>
      <c r="I599" s="4">
        <v>87.586335124383695</v>
      </c>
      <c r="J599" s="4">
        <v>93.010882126873256</v>
      </c>
      <c r="K599" s="4">
        <v>98.898735637841085</v>
      </c>
      <c r="L599" s="4">
        <v>105.24384350176364</v>
      </c>
      <c r="M599" s="4">
        <v>112.05752115950267</v>
      </c>
      <c r="N599" s="4">
        <v>119.41299896452917</v>
      </c>
      <c r="O599" s="11">
        <f t="shared" si="9"/>
        <v>6.3004219936322034E-2</v>
      </c>
      <c r="P599"/>
      <c r="Q599" s="11"/>
    </row>
    <row r="600" spans="1:17" x14ac:dyDescent="0.35">
      <c r="A600" s="2" t="s">
        <v>22</v>
      </c>
      <c r="O600" s="11" t="str">
        <f t="shared" si="9"/>
        <v/>
      </c>
      <c r="P600"/>
      <c r="Q600" s="11"/>
    </row>
    <row r="601" spans="1:17" x14ac:dyDescent="0.35">
      <c r="A601" s="3" t="s">
        <v>39</v>
      </c>
      <c r="B601" s="4">
        <v>169.30355108273784</v>
      </c>
      <c r="C601" s="4">
        <v>179.72615486942732</v>
      </c>
      <c r="D601" s="4">
        <v>190.79797156364293</v>
      </c>
      <c r="E601" s="4">
        <v>202.64072764726711</v>
      </c>
      <c r="F601" s="4">
        <v>215.01732769908131</v>
      </c>
      <c r="G601" s="4">
        <v>228.17276111811168</v>
      </c>
      <c r="H601" s="4">
        <v>243.20296936187697</v>
      </c>
      <c r="I601" s="4">
        <v>259.54409493837773</v>
      </c>
      <c r="J601" s="4">
        <v>277.11269644601634</v>
      </c>
      <c r="K601" s="4">
        <v>296.29435442184183</v>
      </c>
      <c r="L601" s="4">
        <v>316.49534288527116</v>
      </c>
      <c r="M601" s="4">
        <v>338.879219464676</v>
      </c>
      <c r="N601" s="4">
        <v>363.62319455061584</v>
      </c>
      <c r="O601" s="11">
        <f t="shared" si="9"/>
        <v>6.8839610283597072E-2</v>
      </c>
      <c r="P601"/>
      <c r="Q601" s="11"/>
    </row>
    <row r="602" spans="1:17" x14ac:dyDescent="0.35">
      <c r="A602" s="3" t="s">
        <v>41</v>
      </c>
      <c r="B602" s="4">
        <v>138.17330295354566</v>
      </c>
      <c r="C602" s="4">
        <v>144.94001356676898</v>
      </c>
      <c r="D602" s="4">
        <v>152.38710875352729</v>
      </c>
      <c r="E602" s="4">
        <v>160.30442853755099</v>
      </c>
      <c r="F602" s="4">
        <v>168.74545188339516</v>
      </c>
      <c r="G602" s="4">
        <v>177.71619566137599</v>
      </c>
      <c r="H602" s="4">
        <v>187.22052096934232</v>
      </c>
      <c r="I602" s="4">
        <v>197.3282914146919</v>
      </c>
      <c r="J602" s="4">
        <v>208.18842886417278</v>
      </c>
      <c r="K602" s="4">
        <v>219.93130102884132</v>
      </c>
      <c r="L602" s="4">
        <v>232.52452256910723</v>
      </c>
      <c r="M602" s="4">
        <v>245.97466868682346</v>
      </c>
      <c r="N602" s="4">
        <v>260.42380372890358</v>
      </c>
      <c r="O602" s="11">
        <f t="shared" si="9"/>
        <v>5.6106382251778768E-2</v>
      </c>
      <c r="P602"/>
      <c r="Q602" s="11"/>
    </row>
    <row r="603" spans="1:17" x14ac:dyDescent="0.35">
      <c r="A603" s="3" t="s">
        <v>40</v>
      </c>
      <c r="B603" s="4">
        <v>197.69886824124421</v>
      </c>
      <c r="C603" s="4">
        <v>208.25947637233929</v>
      </c>
      <c r="D603" s="4">
        <v>219.89150791685779</v>
      </c>
      <c r="E603" s="4">
        <v>232.34049614264296</v>
      </c>
      <c r="F603" s="4">
        <v>245.68162635471464</v>
      </c>
      <c r="G603" s="4">
        <v>260.09305057207462</v>
      </c>
      <c r="H603" s="4">
        <v>275.54685177559099</v>
      </c>
      <c r="I603" s="4">
        <v>292.22967110455397</v>
      </c>
      <c r="J603" s="4">
        <v>310.37763214997005</v>
      </c>
      <c r="K603" s="4">
        <v>329.90159937921777</v>
      </c>
      <c r="L603" s="4">
        <v>351.06068145575767</v>
      </c>
      <c r="M603" s="4">
        <v>374.02306189309377</v>
      </c>
      <c r="N603" s="4">
        <v>399.14371804226198</v>
      </c>
      <c r="O603" s="11">
        <f t="shared" si="9"/>
        <v>6.3093608607029616E-2</v>
      </c>
      <c r="P603"/>
      <c r="Q603" s="11"/>
    </row>
    <row r="604" spans="1:17" x14ac:dyDescent="0.35">
      <c r="A604" s="3" t="s">
        <v>42</v>
      </c>
      <c r="B604" s="4">
        <v>219.60835592194763</v>
      </c>
      <c r="C604" s="4">
        <v>234.98229538777878</v>
      </c>
      <c r="D604" s="4">
        <v>251.49683259450362</v>
      </c>
      <c r="E604" s="4">
        <v>269.31840159229557</v>
      </c>
      <c r="F604" s="4">
        <v>288.64836818356611</v>
      </c>
      <c r="G604" s="4">
        <v>309.56875536010921</v>
      </c>
      <c r="H604" s="4">
        <v>332.09114147934008</v>
      </c>
      <c r="I604" s="4">
        <v>356.54978840342358</v>
      </c>
      <c r="J604" s="4">
        <v>383.36413679467779</v>
      </c>
      <c r="K604" s="4">
        <v>412.4418870304678</v>
      </c>
      <c r="L604" s="4">
        <v>444.27237011665841</v>
      </c>
      <c r="M604" s="4">
        <v>479.01713347218407</v>
      </c>
      <c r="N604" s="4">
        <v>516.98763958600784</v>
      </c>
      <c r="O604" s="11">
        <f t="shared" si="9"/>
        <v>7.6013145240991051E-2</v>
      </c>
      <c r="P604"/>
      <c r="Q604" s="11"/>
    </row>
    <row r="605" spans="1:17" x14ac:dyDescent="0.35">
      <c r="A605" s="1" t="s">
        <v>68</v>
      </c>
      <c r="O605" s="11" t="str">
        <f t="shared" si="9"/>
        <v/>
      </c>
      <c r="P605"/>
      <c r="Q605" s="11"/>
    </row>
    <row r="606" spans="1:17" x14ac:dyDescent="0.35">
      <c r="A606" s="2" t="s">
        <v>24</v>
      </c>
      <c r="O606" s="11" t="str">
        <f t="shared" si="9"/>
        <v/>
      </c>
      <c r="P606"/>
      <c r="Q606" s="11"/>
    </row>
    <row r="607" spans="1:17" x14ac:dyDescent="0.35">
      <c r="A607" s="3" t="s">
        <v>25</v>
      </c>
      <c r="B607" s="4">
        <v>5.3365485060767623</v>
      </c>
      <c r="C607" s="4">
        <v>5.4260488906724111</v>
      </c>
      <c r="D607" s="4">
        <v>5.5185357033184816</v>
      </c>
      <c r="E607" s="4">
        <v>5.6158111827910142</v>
      </c>
      <c r="F607" s="4">
        <v>5.7199210254056618</v>
      </c>
      <c r="G607" s="4">
        <v>5.8299843797478665</v>
      </c>
      <c r="H607" s="4">
        <v>5.9437804927273277</v>
      </c>
      <c r="I607" s="4">
        <v>6.065125435553071</v>
      </c>
      <c r="J607" s="4">
        <v>6.1983768727117168</v>
      </c>
      <c r="K607" s="4">
        <v>6.338546652906655</v>
      </c>
      <c r="L607" s="4">
        <v>6.4902960465178028</v>
      </c>
      <c r="M607" s="4">
        <v>6.6523654886440458</v>
      </c>
      <c r="N607" s="4">
        <v>6.8255436986082199</v>
      </c>
      <c r="O607" s="11">
        <f t="shared" si="9"/>
        <v>2.2778072657193608E-2</v>
      </c>
      <c r="P607"/>
      <c r="Q607" s="11"/>
    </row>
    <row r="608" spans="1:17" x14ac:dyDescent="0.35">
      <c r="A608" s="3" t="s">
        <v>26</v>
      </c>
      <c r="B608" s="4">
        <v>53.238044789729216</v>
      </c>
      <c r="C608" s="4">
        <v>54.523358929576553</v>
      </c>
      <c r="D608" s="4">
        <v>55.86131075362993</v>
      </c>
      <c r="E608" s="4">
        <v>57.250382957940438</v>
      </c>
      <c r="F608" s="4">
        <v>58.693604035468915</v>
      </c>
      <c r="G608" s="4">
        <v>60.211255911198997</v>
      </c>
      <c r="H608" s="4">
        <v>61.835301310890465</v>
      </c>
      <c r="I608" s="4">
        <v>63.538800296889285</v>
      </c>
      <c r="J608" s="4">
        <v>65.384060615180488</v>
      </c>
      <c r="K608" s="4">
        <v>67.385473601750547</v>
      </c>
      <c r="L608" s="4">
        <v>69.536581687269717</v>
      </c>
      <c r="M608" s="4">
        <v>71.80336589092822</v>
      </c>
      <c r="N608" s="4">
        <v>74.269704939991399</v>
      </c>
      <c r="O608" s="11">
        <f t="shared" si="9"/>
        <v>3.0431543115480922E-2</v>
      </c>
      <c r="P608"/>
      <c r="Q608" s="11"/>
    </row>
    <row r="609" spans="1:17" x14ac:dyDescent="0.35">
      <c r="A609" s="2" t="s">
        <v>27</v>
      </c>
      <c r="O609" s="11" t="str">
        <f t="shared" si="9"/>
        <v/>
      </c>
      <c r="P609"/>
      <c r="Q609" s="11"/>
    </row>
    <row r="610" spans="1:17" x14ac:dyDescent="0.35">
      <c r="A610" s="3" t="s">
        <v>30</v>
      </c>
      <c r="B610" s="4">
        <v>10.987549474130574</v>
      </c>
      <c r="C610" s="4">
        <v>11.328650243930122</v>
      </c>
      <c r="D610" s="4">
        <v>11.725696789998393</v>
      </c>
      <c r="E610" s="4">
        <v>12.14506156539216</v>
      </c>
      <c r="F610" s="4">
        <v>12.59284414940098</v>
      </c>
      <c r="G610" s="4">
        <v>13.067608393984694</v>
      </c>
      <c r="H610" s="4">
        <v>13.573859447943221</v>
      </c>
      <c r="I610" s="4">
        <v>14.124237390680435</v>
      </c>
      <c r="J610" s="4">
        <v>14.707495435750941</v>
      </c>
      <c r="K610" s="4">
        <v>15.337507222634665</v>
      </c>
      <c r="L610" s="4">
        <v>16.006683409609874</v>
      </c>
      <c r="M610" s="4">
        <v>16.724598996118718</v>
      </c>
      <c r="N610" s="4">
        <v>17.510130920569555</v>
      </c>
      <c r="O610" s="11">
        <f t="shared" si="9"/>
        <v>4.2692340201892616E-2</v>
      </c>
      <c r="P610"/>
      <c r="Q610" s="11"/>
    </row>
    <row r="611" spans="1:17" x14ac:dyDescent="0.35">
      <c r="A611" s="3" t="s">
        <v>32</v>
      </c>
      <c r="B611" s="4">
        <v>5.4371923098212251</v>
      </c>
      <c r="C611" s="4">
        <v>5.4965430720582358</v>
      </c>
      <c r="D611" s="4">
        <v>5.5699307537973937</v>
      </c>
      <c r="E611" s="4">
        <v>5.6485351968944375</v>
      </c>
      <c r="F611" s="4">
        <v>5.732803730417837</v>
      </c>
      <c r="G611" s="4">
        <v>5.8254286191581297</v>
      </c>
      <c r="H611" s="4">
        <v>5.9239627564478399</v>
      </c>
      <c r="I611" s="4">
        <v>6.0308455962269809</v>
      </c>
      <c r="J611" s="4">
        <v>6.1490487241876783</v>
      </c>
      <c r="K611" s="4">
        <v>6.2745014098584351</v>
      </c>
      <c r="L611" s="4">
        <v>6.4102540743017657</v>
      </c>
      <c r="M611" s="4">
        <v>6.557091417425907</v>
      </c>
      <c r="N611" s="4">
        <v>6.7187987527337274</v>
      </c>
      <c r="O611" s="11">
        <f t="shared" si="9"/>
        <v>2.0591539925261873E-2</v>
      </c>
      <c r="P611"/>
      <c r="Q611" s="11"/>
    </row>
    <row r="612" spans="1:17" x14ac:dyDescent="0.35">
      <c r="A612" s="3" t="s">
        <v>29</v>
      </c>
      <c r="B612" s="4">
        <v>12.384865984448643</v>
      </c>
      <c r="C612" s="4">
        <v>12.689659219805757</v>
      </c>
      <c r="D612" s="4">
        <v>13.021525093320813</v>
      </c>
      <c r="E612" s="4">
        <v>13.387064623481116</v>
      </c>
      <c r="F612" s="4">
        <v>13.778053010521072</v>
      </c>
      <c r="G612" s="4">
        <v>14.217802482884553</v>
      </c>
      <c r="H612" s="4">
        <v>14.679278371395579</v>
      </c>
      <c r="I612" s="4">
        <v>15.193762010227543</v>
      </c>
      <c r="J612" s="4">
        <v>15.750852083765231</v>
      </c>
      <c r="K612" s="4">
        <v>16.354615909097969</v>
      </c>
      <c r="L612" s="4">
        <v>17.019150568905758</v>
      </c>
      <c r="M612" s="4">
        <v>17.751433244084247</v>
      </c>
      <c r="N612" s="4">
        <v>18.548226943769329</v>
      </c>
      <c r="O612" s="11">
        <f t="shared" si="9"/>
        <v>3.8713326281995565E-2</v>
      </c>
      <c r="P612"/>
      <c r="Q612" s="11"/>
    </row>
    <row r="613" spans="1:17" x14ac:dyDescent="0.35">
      <c r="A613" s="3" t="s">
        <v>31</v>
      </c>
      <c r="B613" s="4">
        <v>7.3217710159892917</v>
      </c>
      <c r="C613" s="4">
        <v>7.5252739276117095</v>
      </c>
      <c r="D613" s="4">
        <v>7.7364931115445339</v>
      </c>
      <c r="E613" s="4">
        <v>7.9581440520340321</v>
      </c>
      <c r="F613" s="4">
        <v>8.193400387743246</v>
      </c>
      <c r="G613" s="4">
        <v>8.4413746237132337</v>
      </c>
      <c r="H613" s="4">
        <v>8.6991920926234183</v>
      </c>
      <c r="I613" s="4">
        <v>8.9726812618367102</v>
      </c>
      <c r="J613" s="4">
        <v>9.268717940012257</v>
      </c>
      <c r="K613" s="4">
        <v>9.5804894088763248</v>
      </c>
      <c r="L613" s="4">
        <v>9.9154590689123978</v>
      </c>
      <c r="M613" s="4">
        <v>10.272356577959847</v>
      </c>
      <c r="N613" s="4">
        <v>10.653004749162168</v>
      </c>
      <c r="O613" s="11">
        <f t="shared" si="9"/>
        <v>3.3801105652839308E-2</v>
      </c>
      <c r="P613"/>
      <c r="Q613" s="11"/>
    </row>
    <row r="614" spans="1:17" x14ac:dyDescent="0.35">
      <c r="A614" s="3" t="s">
        <v>28</v>
      </c>
      <c r="B614" s="4">
        <v>18.920127007114743</v>
      </c>
      <c r="C614" s="4">
        <v>19.328796187723491</v>
      </c>
      <c r="D614" s="4">
        <v>19.681860471618066</v>
      </c>
      <c r="E614" s="4">
        <v>20.011059359952874</v>
      </c>
      <c r="F614" s="4">
        <v>20.322467156705933</v>
      </c>
      <c r="G614" s="4">
        <v>20.605538271092016</v>
      </c>
      <c r="H614" s="4">
        <v>20.925556405079433</v>
      </c>
      <c r="I614" s="4">
        <v>21.198855228888405</v>
      </c>
      <c r="J614" s="4">
        <v>21.507021038805817</v>
      </c>
      <c r="K614" s="4">
        <v>21.851566743016221</v>
      </c>
      <c r="L614" s="4">
        <v>22.210219523826289</v>
      </c>
      <c r="M614" s="4">
        <v>22.530161809223955</v>
      </c>
      <c r="N614" s="4">
        <v>22.876051017883057</v>
      </c>
      <c r="O614" s="11">
        <f t="shared" si="9"/>
        <v>1.50450062447043E-2</v>
      </c>
      <c r="P614"/>
      <c r="Q614" s="11"/>
    </row>
    <row r="615" spans="1:17" x14ac:dyDescent="0.35">
      <c r="A615" s="3" t="s">
        <v>33</v>
      </c>
      <c r="B615" s="4">
        <v>3.5230875043014924</v>
      </c>
      <c r="C615" s="4">
        <v>3.5804851691196475</v>
      </c>
      <c r="D615" s="4">
        <v>3.6443402366692124</v>
      </c>
      <c r="E615" s="4">
        <v>3.7163293429768345</v>
      </c>
      <c r="F615" s="4">
        <v>3.793956626085512</v>
      </c>
      <c r="G615" s="4">
        <v>3.8834879001142344</v>
      </c>
      <c r="H615" s="4">
        <v>3.9772327301283048</v>
      </c>
      <c r="I615" s="4">
        <v>4.0835442445822681</v>
      </c>
      <c r="J615" s="4">
        <v>4.1993022653702754</v>
      </c>
      <c r="K615" s="4">
        <v>4.3253395611735863</v>
      </c>
      <c r="L615" s="4">
        <v>4.4651110882314269</v>
      </c>
      <c r="M615" s="4">
        <v>4.6200893347595873</v>
      </c>
      <c r="N615" s="4">
        <v>4.7890362544817799</v>
      </c>
      <c r="O615" s="11">
        <f t="shared" si="9"/>
        <v>3.0394989907964416E-2</v>
      </c>
      <c r="P615"/>
      <c r="Q615" s="11"/>
    </row>
    <row r="616" spans="1:17" x14ac:dyDescent="0.35">
      <c r="A616" s="2" t="s">
        <v>34</v>
      </c>
      <c r="O616" s="11" t="str">
        <f t="shared" si="9"/>
        <v/>
      </c>
      <c r="P616"/>
      <c r="Q616" s="11"/>
    </row>
    <row r="617" spans="1:17" x14ac:dyDescent="0.35">
      <c r="A617" s="3" t="s">
        <v>36</v>
      </c>
      <c r="B617" s="4">
        <v>21.220921177943925</v>
      </c>
      <c r="C617" s="4">
        <v>21.82502320983934</v>
      </c>
      <c r="D617" s="4">
        <v>22.492305912140687</v>
      </c>
      <c r="E617" s="4">
        <v>23.181977368297773</v>
      </c>
      <c r="F617" s="4">
        <v>23.903859150090554</v>
      </c>
      <c r="G617" s="4">
        <v>24.670039718627436</v>
      </c>
      <c r="H617" s="4">
        <v>25.480124623403366</v>
      </c>
      <c r="I617" s="4">
        <v>26.387304438360339</v>
      </c>
      <c r="J617" s="4">
        <v>27.348592437077496</v>
      </c>
      <c r="K617" s="4">
        <v>28.379660821179112</v>
      </c>
      <c r="L617" s="4">
        <v>29.499402364283238</v>
      </c>
      <c r="M617" s="4">
        <v>30.717191895001552</v>
      </c>
      <c r="N617" s="4">
        <v>32.043623028145561</v>
      </c>
      <c r="O617" s="11">
        <f t="shared" si="9"/>
        <v>3.806497495340129E-2</v>
      </c>
      <c r="P617"/>
      <c r="Q617" s="11"/>
    </row>
    <row r="618" spans="1:17" x14ac:dyDescent="0.35">
      <c r="A618" s="3" t="s">
        <v>37</v>
      </c>
      <c r="B618" s="4">
        <v>13.635070549861805</v>
      </c>
      <c r="C618" s="4">
        <v>13.919599680982849</v>
      </c>
      <c r="D618" s="4">
        <v>14.245642320841899</v>
      </c>
      <c r="E618" s="4">
        <v>14.583579612708757</v>
      </c>
      <c r="F618" s="4">
        <v>14.937496461616814</v>
      </c>
      <c r="G618" s="4">
        <v>15.315685909821132</v>
      </c>
      <c r="H618" s="4">
        <v>15.729862942987332</v>
      </c>
      <c r="I618" s="4">
        <v>16.190615933079773</v>
      </c>
      <c r="J618" s="4">
        <v>16.679944664818418</v>
      </c>
      <c r="K618" s="4">
        <v>17.199909924785704</v>
      </c>
      <c r="L618" s="4">
        <v>17.76975924400147</v>
      </c>
      <c r="M618" s="4">
        <v>18.394691688093886</v>
      </c>
      <c r="N618" s="4">
        <v>19.080600347539345</v>
      </c>
      <c r="O618" s="11">
        <f t="shared" si="9"/>
        <v>3.1897385201684787E-2</v>
      </c>
      <c r="P618"/>
      <c r="Q618" s="11"/>
    </row>
    <row r="619" spans="1:17" x14ac:dyDescent="0.35">
      <c r="A619" s="3" t="s">
        <v>35</v>
      </c>
      <c r="B619" s="4">
        <v>18.421151522956983</v>
      </c>
      <c r="C619" s="4">
        <v>18.820062108019762</v>
      </c>
      <c r="D619" s="4">
        <v>19.157119684721287</v>
      </c>
      <c r="E619" s="4">
        <v>19.51345916575373</v>
      </c>
      <c r="F619" s="4">
        <v>19.878013833785893</v>
      </c>
      <c r="G619" s="4">
        <v>20.247135477351577</v>
      </c>
      <c r="H619" s="4">
        <v>20.639645245662116</v>
      </c>
      <c r="I619" s="4">
        <v>20.956558336436004</v>
      </c>
      <c r="J619" s="4">
        <v>21.336133404760673</v>
      </c>
      <c r="K619" s="4">
        <v>21.766835123231658</v>
      </c>
      <c r="L619" s="4">
        <v>22.204953456720759</v>
      </c>
      <c r="M619" s="4">
        <v>22.599161004839452</v>
      </c>
      <c r="N619" s="4">
        <v>23.015976776396776</v>
      </c>
      <c r="O619" s="11">
        <f t="shared" si="9"/>
        <v>1.8479425750899246E-2</v>
      </c>
      <c r="P619"/>
      <c r="Q619" s="11"/>
    </row>
    <row r="620" spans="1:17" x14ac:dyDescent="0.35">
      <c r="A620" s="3" t="s">
        <v>38</v>
      </c>
      <c r="B620" s="4">
        <v>5.2974500450432664</v>
      </c>
      <c r="C620" s="4">
        <v>5.3847228214070144</v>
      </c>
      <c r="D620" s="4">
        <v>5.4847785392445374</v>
      </c>
      <c r="E620" s="4">
        <v>5.5871779939711947</v>
      </c>
      <c r="F620" s="4">
        <v>5.6941556153813133</v>
      </c>
      <c r="G620" s="4">
        <v>5.8083791851467117</v>
      </c>
      <c r="H620" s="4">
        <v>5.9294489915649864</v>
      </c>
      <c r="I620" s="4">
        <v>6.0694470245662311</v>
      </c>
      <c r="J620" s="4">
        <v>6.21776698123562</v>
      </c>
      <c r="K620" s="4">
        <v>6.3776143854607321</v>
      </c>
      <c r="L620" s="4">
        <v>6.5527626687820533</v>
      </c>
      <c r="M620" s="4">
        <v>6.7446867916373829</v>
      </c>
      <c r="N620" s="4">
        <v>6.9550484865179305</v>
      </c>
      <c r="O620" s="11">
        <f t="shared" si="9"/>
        <v>2.6072116774020035E-2</v>
      </c>
      <c r="P620"/>
      <c r="Q620" s="11"/>
    </row>
    <row r="621" spans="1:17" x14ac:dyDescent="0.35">
      <c r="A621" s="2" t="s">
        <v>22</v>
      </c>
      <c r="O621" s="11" t="str">
        <f t="shared" si="9"/>
        <v/>
      </c>
      <c r="P621"/>
      <c r="Q621" s="11"/>
    </row>
    <row r="622" spans="1:17" x14ac:dyDescent="0.35">
      <c r="A622" s="3" t="s">
        <v>39</v>
      </c>
      <c r="B622" s="4">
        <v>15.12574365498736</v>
      </c>
      <c r="C622" s="4">
        <v>15.575848842774995</v>
      </c>
      <c r="D622" s="4">
        <v>16.02657597053674</v>
      </c>
      <c r="E622" s="4">
        <v>16.460823358517523</v>
      </c>
      <c r="F622" s="4">
        <v>16.882784918455229</v>
      </c>
      <c r="G622" s="4">
        <v>17.288468163489725</v>
      </c>
      <c r="H622" s="4">
        <v>17.752208440076203</v>
      </c>
      <c r="I622" s="4">
        <v>18.193056552869606</v>
      </c>
      <c r="J622" s="4">
        <v>18.665663793374527</v>
      </c>
      <c r="K622" s="4">
        <v>19.202119008794298</v>
      </c>
      <c r="L622" s="4">
        <v>19.758218216638411</v>
      </c>
      <c r="M622" s="4">
        <v>20.297846391647312</v>
      </c>
      <c r="N622" s="4">
        <v>20.904741669522416</v>
      </c>
      <c r="O622" s="11">
        <f t="shared" si="9"/>
        <v>2.7505230952032968E-2</v>
      </c>
      <c r="P622"/>
      <c r="Q622" s="11"/>
    </row>
    <row r="623" spans="1:17" x14ac:dyDescent="0.35">
      <c r="A623" s="3" t="s">
        <v>41</v>
      </c>
      <c r="B623" s="4">
        <v>11.744670053503132</v>
      </c>
      <c r="C623" s="4">
        <v>11.92891956125017</v>
      </c>
      <c r="D623" s="4">
        <v>12.119325141232414</v>
      </c>
      <c r="E623" s="4">
        <v>12.319824337455437</v>
      </c>
      <c r="F623" s="4">
        <v>12.534871976846192</v>
      </c>
      <c r="G623" s="4">
        <v>12.762490518103265</v>
      </c>
      <c r="H623" s="4">
        <v>12.997777558117209</v>
      </c>
      <c r="I623" s="4">
        <v>13.249052698820504</v>
      </c>
      <c r="J623" s="4">
        <v>13.525783248954008</v>
      </c>
      <c r="K623" s="4">
        <v>13.817002330065851</v>
      </c>
      <c r="L623" s="4">
        <v>14.132823595364487</v>
      </c>
      <c r="M623" s="4">
        <v>14.47042500486843</v>
      </c>
      <c r="N623" s="4">
        <v>14.831451830486856</v>
      </c>
      <c r="O623" s="11">
        <f t="shared" si="9"/>
        <v>2.1694783902460272E-2</v>
      </c>
      <c r="P623"/>
      <c r="Q623" s="11"/>
    </row>
    <row r="624" spans="1:17" x14ac:dyDescent="0.35">
      <c r="A624" s="3" t="s">
        <v>40</v>
      </c>
      <c r="B624" s="4">
        <v>15.40424914937493</v>
      </c>
      <c r="C624" s="4">
        <v>15.613418622855558</v>
      </c>
      <c r="D624" s="4">
        <v>15.849509378545257</v>
      </c>
      <c r="E624" s="4">
        <v>16.119592869110576</v>
      </c>
      <c r="F624" s="4">
        <v>16.412566185510844</v>
      </c>
      <c r="G624" s="4">
        <v>16.755346136441197</v>
      </c>
      <c r="H624" s="4">
        <v>17.11434887752872</v>
      </c>
      <c r="I624" s="4">
        <v>17.525381508910669</v>
      </c>
      <c r="J624" s="4">
        <v>17.974631711236189</v>
      </c>
      <c r="K624" s="4">
        <v>18.465351526015088</v>
      </c>
      <c r="L624" s="4">
        <v>19.011951802787483</v>
      </c>
      <c r="M624" s="4">
        <v>19.620249319064751</v>
      </c>
      <c r="N624" s="4">
        <v>20.284487215229685</v>
      </c>
      <c r="O624" s="11">
        <f t="shared" si="9"/>
        <v>2.7681790508401381E-2</v>
      </c>
      <c r="P624"/>
      <c r="Q624" s="11"/>
    </row>
    <row r="625" spans="1:17" x14ac:dyDescent="0.35">
      <c r="A625" s="3" t="s">
        <v>42</v>
      </c>
      <c r="B625" s="4">
        <v>16.299930437940553</v>
      </c>
      <c r="C625" s="4">
        <v>16.831220793368239</v>
      </c>
      <c r="D625" s="4">
        <v>17.384435966634001</v>
      </c>
      <c r="E625" s="4">
        <v>17.965953575647916</v>
      </c>
      <c r="F625" s="4">
        <v>18.583301980062313</v>
      </c>
      <c r="G625" s="4">
        <v>19.234935472912674</v>
      </c>
      <c r="H625" s="4">
        <v>19.914746927895674</v>
      </c>
      <c r="I625" s="4">
        <v>20.636434971841563</v>
      </c>
      <c r="J625" s="4">
        <v>21.416358734327481</v>
      </c>
      <c r="K625" s="4">
        <v>22.239547389781972</v>
      </c>
      <c r="L625" s="4">
        <v>23.123884118997136</v>
      </c>
      <c r="M625" s="4">
        <v>24.067210663991784</v>
      </c>
      <c r="N625" s="4">
        <v>25.074567923360654</v>
      </c>
      <c r="O625" s="11">
        <f t="shared" si="9"/>
        <v>3.8601536209736186E-2</v>
      </c>
      <c r="P625"/>
      <c r="Q625" s="11"/>
    </row>
    <row r="626" spans="1:17" x14ac:dyDescent="0.35">
      <c r="A626" s="1" t="s">
        <v>69</v>
      </c>
      <c r="O626" s="11" t="str">
        <f t="shared" si="9"/>
        <v/>
      </c>
      <c r="P626"/>
      <c r="Q626" s="11"/>
    </row>
    <row r="627" spans="1:17" x14ac:dyDescent="0.35">
      <c r="A627" s="2" t="s">
        <v>24</v>
      </c>
      <c r="O627" s="11" t="str">
        <f t="shared" si="9"/>
        <v/>
      </c>
      <c r="P627"/>
      <c r="Q627" s="11"/>
    </row>
    <row r="628" spans="1:17" x14ac:dyDescent="0.35">
      <c r="A628" s="3" t="s">
        <v>25</v>
      </c>
      <c r="B628" s="4">
        <v>36.819044347243107</v>
      </c>
      <c r="C628" s="4">
        <v>38.176056685281218</v>
      </c>
      <c r="D628" s="4">
        <v>39.675007518424522</v>
      </c>
      <c r="E628" s="4">
        <v>41.255617750436386</v>
      </c>
      <c r="F628" s="4">
        <v>42.928113718015247</v>
      </c>
      <c r="G628" s="4">
        <v>44.690099158478077</v>
      </c>
      <c r="H628" s="4">
        <v>46.538659664441013</v>
      </c>
      <c r="I628" s="4">
        <v>48.487336178960945</v>
      </c>
      <c r="J628" s="4">
        <v>50.568389091204686</v>
      </c>
      <c r="K628" s="4">
        <v>52.807994579008557</v>
      </c>
      <c r="L628" s="4">
        <v>55.191928277770117</v>
      </c>
      <c r="M628" s="4">
        <v>57.715723662974305</v>
      </c>
      <c r="N628" s="4">
        <v>60.406776870272544</v>
      </c>
      <c r="O628" s="11">
        <f t="shared" si="9"/>
        <v>4.3989991154798451E-2</v>
      </c>
      <c r="P628"/>
      <c r="Q628" s="11"/>
    </row>
    <row r="629" spans="1:17" x14ac:dyDescent="0.35">
      <c r="A629" s="3" t="s">
        <v>26</v>
      </c>
      <c r="B629" s="4">
        <v>349.45322333638808</v>
      </c>
      <c r="C629" s="4">
        <v>365.30255024658817</v>
      </c>
      <c r="D629" s="4">
        <v>382.01548063427566</v>
      </c>
      <c r="E629" s="4">
        <v>399.61811023858149</v>
      </c>
      <c r="F629" s="4">
        <v>418.16870387613346</v>
      </c>
      <c r="G629" s="4">
        <v>437.85151314725721</v>
      </c>
      <c r="H629" s="4">
        <v>458.94909282698092</v>
      </c>
      <c r="I629" s="4">
        <v>481.32783704221856</v>
      </c>
      <c r="J629" s="4">
        <v>505.51616966982419</v>
      </c>
      <c r="K629" s="4">
        <v>531.71301617852271</v>
      </c>
      <c r="L629" s="4">
        <v>559.96521526583876</v>
      </c>
      <c r="M629" s="4">
        <v>590.09711803915377</v>
      </c>
      <c r="N629" s="4">
        <v>622.88314159007859</v>
      </c>
      <c r="O629" s="11">
        <f t="shared" si="9"/>
        <v>5.1643475330794601E-2</v>
      </c>
      <c r="P629"/>
      <c r="Q629" s="11"/>
    </row>
    <row r="630" spans="1:17" x14ac:dyDescent="0.35">
      <c r="A630" s="2" t="s">
        <v>27</v>
      </c>
      <c r="O630" s="11" t="str">
        <f t="shared" si="9"/>
        <v/>
      </c>
      <c r="P630"/>
      <c r="Q630" s="11"/>
    </row>
    <row r="631" spans="1:17" x14ac:dyDescent="0.35">
      <c r="A631" s="3" t="s">
        <v>30</v>
      </c>
      <c r="B631" s="4">
        <v>70.314488646622721</v>
      </c>
      <c r="C631" s="4">
        <v>74.357102594984497</v>
      </c>
      <c r="D631" s="4">
        <v>78.661606265136072</v>
      </c>
      <c r="E631" s="4">
        <v>83.241048813341934</v>
      </c>
      <c r="F631" s="4">
        <v>88.115601842241816</v>
      </c>
      <c r="G631" s="4">
        <v>93.332728039001438</v>
      </c>
      <c r="H631" s="4">
        <v>98.96283893396722</v>
      </c>
      <c r="I631" s="4">
        <v>104.98962879969847</v>
      </c>
      <c r="J631" s="4">
        <v>111.54014436992759</v>
      </c>
      <c r="K631" s="4">
        <v>118.67432541815344</v>
      </c>
      <c r="L631" s="4">
        <v>126.42055265688215</v>
      </c>
      <c r="M631" s="4">
        <v>134.75786098691907</v>
      </c>
      <c r="N631" s="4">
        <v>143.88084266364999</v>
      </c>
      <c r="O631" s="11">
        <f t="shared" si="9"/>
        <v>6.3782192601426327E-2</v>
      </c>
      <c r="P631"/>
      <c r="Q631" s="11"/>
    </row>
    <row r="632" spans="1:17" x14ac:dyDescent="0.35">
      <c r="A632" s="3" t="s">
        <v>32</v>
      </c>
      <c r="B632" s="4">
        <v>36.814059180573345</v>
      </c>
      <c r="C632" s="4">
        <v>37.90649750563253</v>
      </c>
      <c r="D632" s="4">
        <v>39.041730402053375</v>
      </c>
      <c r="E632" s="4">
        <v>40.233686958373596</v>
      </c>
      <c r="F632" s="4">
        <v>41.498713583473382</v>
      </c>
      <c r="G632" s="4">
        <v>42.832705761951118</v>
      </c>
      <c r="H632" s="4">
        <v>44.221444306299674</v>
      </c>
      <c r="I632" s="4">
        <v>45.694846389000169</v>
      </c>
      <c r="J632" s="4">
        <v>47.288380110277146</v>
      </c>
      <c r="K632" s="4">
        <v>48.967932133571921</v>
      </c>
      <c r="L632" s="4">
        <v>50.772106579855318</v>
      </c>
      <c r="M632" s="4">
        <v>52.695065360000612</v>
      </c>
      <c r="N632" s="4">
        <v>54.74679259540364</v>
      </c>
      <c r="O632" s="11">
        <f t="shared" si="9"/>
        <v>3.5681377374667103E-2</v>
      </c>
      <c r="P632"/>
      <c r="Q632" s="11"/>
    </row>
    <row r="633" spans="1:17" x14ac:dyDescent="0.35">
      <c r="A633" s="3" t="s">
        <v>29</v>
      </c>
      <c r="B633" s="4">
        <v>86.887282297081228</v>
      </c>
      <c r="C633" s="4">
        <v>91.376707625487214</v>
      </c>
      <c r="D633" s="4">
        <v>96.318125358918465</v>
      </c>
      <c r="E633" s="4">
        <v>101.58212388990667</v>
      </c>
      <c r="F633" s="4">
        <v>107.20501009063958</v>
      </c>
      <c r="G633" s="4">
        <v>113.19329918194417</v>
      </c>
      <c r="H633" s="4">
        <v>119.55218797023927</v>
      </c>
      <c r="I633" s="4">
        <v>126.32906127061304</v>
      </c>
      <c r="J633" s="4">
        <v>133.62238989126232</v>
      </c>
      <c r="K633" s="4">
        <v>141.51972936923571</v>
      </c>
      <c r="L633" s="4">
        <v>150.0047847166777</v>
      </c>
      <c r="M633" s="4">
        <v>159.08620773995361</v>
      </c>
      <c r="N633" s="4">
        <v>168.86034810972001</v>
      </c>
      <c r="O633" s="11">
        <f t="shared" si="9"/>
        <v>5.8803285561629337E-2</v>
      </c>
      <c r="P633"/>
      <c r="Q633" s="11"/>
    </row>
    <row r="634" spans="1:17" x14ac:dyDescent="0.35">
      <c r="A634" s="3" t="s">
        <v>31</v>
      </c>
      <c r="B634" s="4">
        <v>47.553359214561326</v>
      </c>
      <c r="C634" s="4">
        <v>49.397837237722705</v>
      </c>
      <c r="D634" s="4">
        <v>51.390045773212528</v>
      </c>
      <c r="E634" s="4">
        <v>53.561241948478489</v>
      </c>
      <c r="F634" s="4">
        <v>55.884934292410826</v>
      </c>
      <c r="G634" s="4">
        <v>58.460898427873886</v>
      </c>
      <c r="H634" s="4">
        <v>61.18722349696916</v>
      </c>
      <c r="I634" s="4">
        <v>64.199207439329754</v>
      </c>
      <c r="J634" s="4">
        <v>67.463295344885154</v>
      </c>
      <c r="K634" s="4">
        <v>71.005762330014235</v>
      </c>
      <c r="L634" s="4">
        <v>74.897606523790159</v>
      </c>
      <c r="M634" s="4">
        <v>79.182078394815179</v>
      </c>
      <c r="N634" s="4">
        <v>83.858854608914655</v>
      </c>
      <c r="O634" s="11">
        <f t="shared" si="9"/>
        <v>5.2890843164693703E-2</v>
      </c>
      <c r="P634"/>
      <c r="Q634" s="11"/>
    </row>
    <row r="635" spans="1:17" x14ac:dyDescent="0.35">
      <c r="A635" s="3" t="s">
        <v>28</v>
      </c>
      <c r="B635" s="4">
        <v>125.5538272386579</v>
      </c>
      <c r="C635" s="4">
        <v>130.52495401948812</v>
      </c>
      <c r="D635" s="4">
        <v>135.54720215573701</v>
      </c>
      <c r="E635" s="4">
        <v>140.66093758884887</v>
      </c>
      <c r="F635" s="4">
        <v>145.8910330867887</v>
      </c>
      <c r="G635" s="4">
        <v>151.25974363806523</v>
      </c>
      <c r="H635" s="4">
        <v>157.06410007604609</v>
      </c>
      <c r="I635" s="4">
        <v>162.99555385725768</v>
      </c>
      <c r="J635" s="4">
        <v>169.37292349272855</v>
      </c>
      <c r="K635" s="4">
        <v>176.28261037929099</v>
      </c>
      <c r="L635" s="4">
        <v>183.6381607689442</v>
      </c>
      <c r="M635" s="4">
        <v>191.20692188249859</v>
      </c>
      <c r="N635" s="4">
        <v>199.47892587058118</v>
      </c>
      <c r="O635" s="11">
        <f t="shared" si="9"/>
        <v>4.0321720021755589E-2</v>
      </c>
      <c r="P635"/>
      <c r="Q635" s="11"/>
    </row>
    <row r="636" spans="1:17" x14ac:dyDescent="0.35">
      <c r="A636" s="3" t="s">
        <v>33</v>
      </c>
      <c r="B636" s="4">
        <v>19.149251106134688</v>
      </c>
      <c r="C636" s="4">
        <v>19.915507948554282</v>
      </c>
      <c r="D636" s="4">
        <v>20.731778197642761</v>
      </c>
      <c r="E636" s="4">
        <v>21.594688790068336</v>
      </c>
      <c r="F636" s="4">
        <v>22.501524698594459</v>
      </c>
      <c r="G636" s="4">
        <v>23.462237256899485</v>
      </c>
      <c r="H636" s="4">
        <v>24.499957707900535</v>
      </c>
      <c r="I636" s="4">
        <v>25.606875465280392</v>
      </c>
      <c r="J636" s="4">
        <v>26.797425551948123</v>
      </c>
      <c r="K636" s="4">
        <v>28.070651127264931</v>
      </c>
      <c r="L636" s="4">
        <v>29.423932297459395</v>
      </c>
      <c r="M636" s="4">
        <v>30.884707337940938</v>
      </c>
      <c r="N636" s="4">
        <v>32.464154612081657</v>
      </c>
      <c r="O636" s="11">
        <f t="shared" si="9"/>
        <v>4.7484995798714236E-2</v>
      </c>
      <c r="P636"/>
      <c r="Q636" s="11"/>
    </row>
    <row r="637" spans="1:17" x14ac:dyDescent="0.35">
      <c r="A637" s="2" t="s">
        <v>34</v>
      </c>
      <c r="O637" s="11" t="str">
        <f t="shared" si="9"/>
        <v/>
      </c>
      <c r="P637"/>
      <c r="Q637" s="11"/>
    </row>
    <row r="638" spans="1:17" x14ac:dyDescent="0.35">
      <c r="A638" s="3" t="s">
        <v>36</v>
      </c>
      <c r="B638" s="4">
        <v>140.11634505647618</v>
      </c>
      <c r="C638" s="4">
        <v>147.57414799280326</v>
      </c>
      <c r="D638" s="4">
        <v>155.48737937135766</v>
      </c>
      <c r="E638" s="4">
        <v>163.87583925090391</v>
      </c>
      <c r="F638" s="4">
        <v>172.77297755252752</v>
      </c>
      <c r="G638" s="4">
        <v>182.26516067673506</v>
      </c>
      <c r="H638" s="4">
        <v>192.48211965254222</v>
      </c>
      <c r="I638" s="4">
        <v>203.38276424042013</v>
      </c>
      <c r="J638" s="4">
        <v>215.20428283519072</v>
      </c>
      <c r="K638" s="4">
        <v>228.05049764785574</v>
      </c>
      <c r="L638" s="4">
        <v>241.96281943882065</v>
      </c>
      <c r="M638" s="4">
        <v>256.88743821146716</v>
      </c>
      <c r="N638" s="4">
        <v>273.18220124475073</v>
      </c>
      <c r="O638" s="11">
        <f t="shared" si="9"/>
        <v>5.9514641139499593E-2</v>
      </c>
      <c r="P638"/>
      <c r="Q638" s="11"/>
    </row>
    <row r="639" spans="1:17" x14ac:dyDescent="0.35">
      <c r="A639" s="3" t="s">
        <v>37</v>
      </c>
      <c r="B639" s="4">
        <v>79.362125082481882</v>
      </c>
      <c r="C639" s="4">
        <v>83.029712777158963</v>
      </c>
      <c r="D639" s="4">
        <v>87.066719066545744</v>
      </c>
      <c r="E639" s="4">
        <v>91.350053646222804</v>
      </c>
      <c r="F639" s="4">
        <v>95.908138059582924</v>
      </c>
      <c r="G639" s="4">
        <v>100.7421083763283</v>
      </c>
      <c r="H639" s="4">
        <v>105.85185353759958</v>
      </c>
      <c r="I639" s="4">
        <v>111.27456704438974</v>
      </c>
      <c r="J639" s="4">
        <v>117.09162057864664</v>
      </c>
      <c r="K639" s="4">
        <v>123.37308363833662</v>
      </c>
      <c r="L639" s="4">
        <v>130.09697684776467</v>
      </c>
      <c r="M639" s="4">
        <v>137.26332730131301</v>
      </c>
      <c r="N639" s="4">
        <v>144.94774855884501</v>
      </c>
      <c r="O639" s="11">
        <f t="shared" si="9"/>
        <v>5.3347069072035777E-2</v>
      </c>
      <c r="P639"/>
      <c r="Q639" s="11"/>
    </row>
    <row r="640" spans="1:17" x14ac:dyDescent="0.35">
      <c r="A640" s="3" t="s">
        <v>35</v>
      </c>
      <c r="B640" s="4">
        <v>134.57534673384072</v>
      </c>
      <c r="C640" s="4">
        <v>139.48239505723666</v>
      </c>
      <c r="D640" s="4">
        <v>144.48930947925379</v>
      </c>
      <c r="E640" s="4">
        <v>149.67585032905953</v>
      </c>
      <c r="F640" s="4">
        <v>155.02075007515282</v>
      </c>
      <c r="G640" s="4">
        <v>160.60695070247294</v>
      </c>
      <c r="H640" s="4">
        <v>166.59657715289575</v>
      </c>
      <c r="I640" s="4">
        <v>172.81484019881759</v>
      </c>
      <c r="J640" s="4">
        <v>179.52402383468859</v>
      </c>
      <c r="K640" s="4">
        <v>186.78309378288958</v>
      </c>
      <c r="L640" s="4">
        <v>194.55028194575857</v>
      </c>
      <c r="M640" s="4">
        <v>202.72706837098298</v>
      </c>
      <c r="N640" s="4">
        <v>211.64279626661823</v>
      </c>
      <c r="O640" s="11">
        <f t="shared" si="9"/>
        <v>4.0207256706545361E-2</v>
      </c>
      <c r="P640"/>
      <c r="Q640" s="11"/>
    </row>
    <row r="641" spans="1:17" x14ac:dyDescent="0.35">
      <c r="A641" s="3" t="s">
        <v>38</v>
      </c>
      <c r="B641" s="4">
        <v>32.218450810832394</v>
      </c>
      <c r="C641" s="4">
        <v>33.39235110467046</v>
      </c>
      <c r="D641" s="4">
        <v>34.647080235543029</v>
      </c>
      <c r="E641" s="4">
        <v>35.97198476283166</v>
      </c>
      <c r="F641" s="4">
        <v>37.394951906885467</v>
      </c>
      <c r="G641" s="4">
        <v>38.927392550198931</v>
      </c>
      <c r="H641" s="4">
        <v>40.557202148384377</v>
      </c>
      <c r="I641" s="4">
        <v>42.343001737552065</v>
      </c>
      <c r="J641" s="4">
        <v>44.264631512502945</v>
      </c>
      <c r="K641" s="4">
        <v>46.314335688449333</v>
      </c>
      <c r="L641" s="4">
        <v>48.54706531126498</v>
      </c>
      <c r="M641" s="4">
        <v>50.935007818364916</v>
      </c>
      <c r="N641" s="4">
        <v>53.517172390137155</v>
      </c>
      <c r="O641" s="11">
        <f t="shared" si="9"/>
        <v>4.6521761428218983E-2</v>
      </c>
      <c r="P641"/>
      <c r="Q641" s="11"/>
    </row>
    <row r="642" spans="1:17" x14ac:dyDescent="0.35">
      <c r="A642" s="2" t="s">
        <v>22</v>
      </c>
      <c r="O642" s="11" t="str">
        <f t="shared" si="9"/>
        <v/>
      </c>
      <c r="P642"/>
      <c r="Q642" s="11"/>
    </row>
    <row r="643" spans="1:17" x14ac:dyDescent="0.35">
      <c r="A643" s="3" t="s">
        <v>39</v>
      </c>
      <c r="B643" s="4">
        <v>101.07419573782784</v>
      </c>
      <c r="C643" s="4">
        <v>106.83824035144937</v>
      </c>
      <c r="D643" s="4">
        <v>112.27277267808768</v>
      </c>
      <c r="E643" s="4">
        <v>117.97023893135815</v>
      </c>
      <c r="F643" s="4">
        <v>123.85060520578838</v>
      </c>
      <c r="G643" s="4">
        <v>130.03539438833593</v>
      </c>
      <c r="H643" s="4">
        <v>136.74110515571101</v>
      </c>
      <c r="I643" s="4">
        <v>143.39306818268705</v>
      </c>
      <c r="J643" s="4">
        <v>150.78554847395696</v>
      </c>
      <c r="K643" s="4">
        <v>158.82731366101279</v>
      </c>
      <c r="L643" s="4">
        <v>167.53162040424473</v>
      </c>
      <c r="M643" s="4">
        <v>176.53006310788498</v>
      </c>
      <c r="N643" s="4">
        <v>186.24643805251605</v>
      </c>
      <c r="O643" s="11">
        <f t="shared" si="9"/>
        <v>5.2663307830928714E-2</v>
      </c>
      <c r="P643"/>
      <c r="Q643" s="11"/>
    </row>
    <row r="644" spans="1:17" x14ac:dyDescent="0.35">
      <c r="A644" s="3" t="s">
        <v>41</v>
      </c>
      <c r="B644" s="4">
        <v>76.99969985541648</v>
      </c>
      <c r="C644" s="4">
        <v>79.517203034752342</v>
      </c>
      <c r="D644" s="4">
        <v>82.308485317695329</v>
      </c>
      <c r="E644" s="4">
        <v>85.245058798441306</v>
      </c>
      <c r="F644" s="4">
        <v>88.346150251038893</v>
      </c>
      <c r="G644" s="4">
        <v>91.604686308353081</v>
      </c>
      <c r="H644" s="4">
        <v>95.012627533036181</v>
      </c>
      <c r="I644" s="4">
        <v>98.595641297525248</v>
      </c>
      <c r="J644" s="4">
        <v>102.41703347421216</v>
      </c>
      <c r="K644" s="4">
        <v>106.5267584632185</v>
      </c>
      <c r="L644" s="4">
        <v>110.89245259689312</v>
      </c>
      <c r="M644" s="4">
        <v>115.50184483354094</v>
      </c>
      <c r="N644" s="4">
        <v>120.40659717512534</v>
      </c>
      <c r="O644" s="11">
        <f t="shared" si="9"/>
        <v>3.9828696717894796E-2</v>
      </c>
      <c r="P644"/>
      <c r="Q644" s="11"/>
    </row>
    <row r="645" spans="1:17" x14ac:dyDescent="0.35">
      <c r="A645" s="3" t="s">
        <v>40</v>
      </c>
      <c r="B645" s="4">
        <v>99.999961921506966</v>
      </c>
      <c r="C645" s="4">
        <v>103.72177742327854</v>
      </c>
      <c r="D645" s="4">
        <v>107.80064532046147</v>
      </c>
      <c r="E645" s="4">
        <v>112.04943886220092</v>
      </c>
      <c r="F645" s="4">
        <v>116.51916580604137</v>
      </c>
      <c r="G645" s="4">
        <v>121.27355232908694</v>
      </c>
      <c r="H645" s="4">
        <v>126.31703714950686</v>
      </c>
      <c r="I645" s="4">
        <v>131.91974248765644</v>
      </c>
      <c r="J645" s="4">
        <v>137.87998545738088</v>
      </c>
      <c r="K645" s="4">
        <v>144.28476590482094</v>
      </c>
      <c r="L645" s="4">
        <v>151.24025245838402</v>
      </c>
      <c r="M645" s="4">
        <v>158.80721374930951</v>
      </c>
      <c r="N645" s="4">
        <v>167.05453722770764</v>
      </c>
      <c r="O645" s="11">
        <f t="shared" si="9"/>
        <v>4.6815901113247717E-2</v>
      </c>
      <c r="P645"/>
      <c r="Q645" s="11"/>
    </row>
    <row r="646" spans="1:17" x14ac:dyDescent="0.35">
      <c r="A646" s="3" t="s">
        <v>42</v>
      </c>
      <c r="B646" s="4">
        <v>108.19841016887992</v>
      </c>
      <c r="C646" s="4">
        <v>113.4013861223891</v>
      </c>
      <c r="D646" s="4">
        <v>119.30858483645574</v>
      </c>
      <c r="E646" s="4">
        <v>125.60899139701752</v>
      </c>
      <c r="F646" s="4">
        <v>132.38089633128007</v>
      </c>
      <c r="G646" s="4">
        <v>139.62797927995933</v>
      </c>
      <c r="H646" s="4">
        <v>147.41698265316788</v>
      </c>
      <c r="I646" s="4">
        <v>155.90672125331079</v>
      </c>
      <c r="J646" s="4">
        <v>165.00199135547888</v>
      </c>
      <c r="K646" s="4">
        <v>174.88217272847902</v>
      </c>
      <c r="L646" s="4">
        <v>185.49281808408699</v>
      </c>
      <c r="M646" s="4">
        <v>196.97372001139254</v>
      </c>
      <c r="N646" s="4">
        <v>209.58234600500211</v>
      </c>
      <c r="O646" s="11">
        <f t="shared" si="9"/>
        <v>5.9735452485165548E-2</v>
      </c>
      <c r="P646"/>
      <c r="Q646" s="11"/>
    </row>
    <row r="647" spans="1:17" x14ac:dyDescent="0.35">
      <c r="A647" s="1" t="s">
        <v>70</v>
      </c>
      <c r="O647" s="11" t="str">
        <f t="shared" si="9"/>
        <v/>
      </c>
      <c r="P647"/>
      <c r="Q647" s="11"/>
    </row>
    <row r="648" spans="1:17" x14ac:dyDescent="0.35">
      <c r="A648" s="2" t="s">
        <v>24</v>
      </c>
      <c r="O648" s="11" t="str">
        <f t="shared" si="9"/>
        <v/>
      </c>
      <c r="P648"/>
      <c r="Q648" s="11"/>
    </row>
    <row r="649" spans="1:17" x14ac:dyDescent="0.35">
      <c r="A649" s="3" t="s">
        <v>25</v>
      </c>
      <c r="B649" s="4">
        <v>32.733046890704038</v>
      </c>
      <c r="C649" s="4">
        <v>34.213058649203361</v>
      </c>
      <c r="D649" s="4">
        <v>35.769354487242396</v>
      </c>
      <c r="E649" s="4">
        <v>37.417264312420627</v>
      </c>
      <c r="F649" s="4">
        <v>39.175205711005788</v>
      </c>
      <c r="G649" s="4">
        <v>41.04329511358798</v>
      </c>
      <c r="H649" s="4">
        <v>43.011834304327749</v>
      </c>
      <c r="I649" s="4">
        <v>45.113342665254429</v>
      </c>
      <c r="J649" s="4">
        <v>47.3876640119963</v>
      </c>
      <c r="K649" s="4">
        <v>49.807152169406137</v>
      </c>
      <c r="L649" s="4">
        <v>52.416255812547334</v>
      </c>
      <c r="M649" s="4">
        <v>55.216040370004201</v>
      </c>
      <c r="N649" s="4">
        <v>58.223987644209132</v>
      </c>
      <c r="O649" s="11">
        <f t="shared" si="9"/>
        <v>5.1221528721113581E-2</v>
      </c>
      <c r="P649"/>
      <c r="Q649" s="11"/>
    </row>
    <row r="650" spans="1:17" x14ac:dyDescent="0.35">
      <c r="A650" s="3" t="s">
        <v>26</v>
      </c>
      <c r="B650" s="4">
        <v>298.54496415255761</v>
      </c>
      <c r="C650" s="4">
        <v>313.23309010106772</v>
      </c>
      <c r="D650" s="4">
        <v>329.40686424526018</v>
      </c>
      <c r="E650" s="4">
        <v>346.66634257324233</v>
      </c>
      <c r="F650" s="4">
        <v>365.10968294746465</v>
      </c>
      <c r="G650" s="4">
        <v>384.98637712049924</v>
      </c>
      <c r="H650" s="4">
        <v>406.23678885965899</v>
      </c>
      <c r="I650" s="4">
        <v>429.11839979045368</v>
      </c>
      <c r="J650" s="4">
        <v>453.95710344108409</v>
      </c>
      <c r="K650" s="4">
        <v>480.59771546514173</v>
      </c>
      <c r="L650" s="4">
        <v>509.3946261897122</v>
      </c>
      <c r="M650" s="4">
        <v>540.56447039574459</v>
      </c>
      <c r="N650" s="4">
        <v>574.59018396394458</v>
      </c>
      <c r="O650" s="11">
        <f t="shared" si="9"/>
        <v>5.8874992013518097E-2</v>
      </c>
      <c r="P650"/>
      <c r="Q650" s="11"/>
    </row>
    <row r="651" spans="1:17" x14ac:dyDescent="0.35">
      <c r="A651" s="2" t="s">
        <v>27</v>
      </c>
      <c r="O651" s="11" t="str">
        <f t="shared" si="9"/>
        <v/>
      </c>
      <c r="P651"/>
      <c r="Q651" s="11"/>
    </row>
    <row r="652" spans="1:17" x14ac:dyDescent="0.35">
      <c r="A652" s="3" t="s">
        <v>30</v>
      </c>
      <c r="B652" s="4">
        <v>60.708919001913237</v>
      </c>
      <c r="C652" s="4">
        <v>64.610795487697473</v>
      </c>
      <c r="D652" s="4">
        <v>68.919029196282452</v>
      </c>
      <c r="E652" s="4">
        <v>73.554148181103045</v>
      </c>
      <c r="F652" s="4">
        <v>78.552553866340801</v>
      </c>
      <c r="G652" s="4">
        <v>83.930312284562334</v>
      </c>
      <c r="H652" s="4">
        <v>89.703005877009815</v>
      </c>
      <c r="I652" s="4">
        <v>95.918332495675031</v>
      </c>
      <c r="J652" s="4">
        <v>102.66476131108766</v>
      </c>
      <c r="K652" s="4">
        <v>110.02626270618694</v>
      </c>
      <c r="L652" s="4">
        <v>118.00966319583814</v>
      </c>
      <c r="M652" s="4">
        <v>126.64127205466293</v>
      </c>
      <c r="N652" s="4">
        <v>136.01799676334954</v>
      </c>
      <c r="O652" s="11">
        <f t="shared" si="9"/>
        <v>7.1405653334879748E-2</v>
      </c>
      <c r="P652"/>
      <c r="Q652" s="11"/>
    </row>
    <row r="653" spans="1:17" x14ac:dyDescent="0.35">
      <c r="A653" s="3" t="s">
        <v>32</v>
      </c>
      <c r="B653" s="4">
        <v>29.169292904941393</v>
      </c>
      <c r="C653" s="4">
        <v>30.224379835133657</v>
      </c>
      <c r="D653" s="4">
        <v>31.390407732599989</v>
      </c>
      <c r="E653" s="4">
        <v>32.619462420074761</v>
      </c>
      <c r="F653" s="4">
        <v>33.919502158445667</v>
      </c>
      <c r="G653" s="4">
        <v>35.288490344471676</v>
      </c>
      <c r="H653" s="4">
        <v>36.723986374899688</v>
      </c>
      <c r="I653" s="4">
        <v>38.236540871956301</v>
      </c>
      <c r="J653" s="4">
        <v>39.8514384041884</v>
      </c>
      <c r="K653" s="4">
        <v>41.589102048295324</v>
      </c>
      <c r="L653" s="4">
        <v>43.438083425046486</v>
      </c>
      <c r="M653" s="4">
        <v>45.394643635808386</v>
      </c>
      <c r="N653" s="4">
        <v>47.480113880972098</v>
      </c>
      <c r="O653" s="11">
        <f t="shared" si="9"/>
        <v>4.3304880358979635E-2</v>
      </c>
      <c r="P653"/>
      <c r="Q653" s="11"/>
    </row>
    <row r="654" spans="1:17" x14ac:dyDescent="0.35">
      <c r="A654" s="3" t="s">
        <v>29</v>
      </c>
      <c r="B654" s="4">
        <v>64.657392030721141</v>
      </c>
      <c r="C654" s="4">
        <v>68.491123951179986</v>
      </c>
      <c r="D654" s="4">
        <v>72.717089124782675</v>
      </c>
      <c r="E654" s="4">
        <v>77.245596465267226</v>
      </c>
      <c r="F654" s="4">
        <v>82.110260886535343</v>
      </c>
      <c r="G654" s="4">
        <v>87.322766400201175</v>
      </c>
      <c r="H654" s="4">
        <v>92.894023467495956</v>
      </c>
      <c r="I654" s="4">
        <v>98.867942065621932</v>
      </c>
      <c r="J654" s="4">
        <v>105.32958203408089</v>
      </c>
      <c r="K654" s="4">
        <v>112.35774078517983</v>
      </c>
      <c r="L654" s="4">
        <v>119.95089719118188</v>
      </c>
      <c r="M654" s="4">
        <v>128.12727499177402</v>
      </c>
      <c r="N654" s="4">
        <v>136.97609749183138</v>
      </c>
      <c r="O654" s="11">
        <f t="shared" si="9"/>
        <v>6.6426781938258794E-2</v>
      </c>
      <c r="P654"/>
      <c r="Q654" s="11"/>
    </row>
    <row r="655" spans="1:17" x14ac:dyDescent="0.35">
      <c r="A655" s="3" t="s">
        <v>31</v>
      </c>
      <c r="B655" s="4">
        <v>38.831600428198968</v>
      </c>
      <c r="C655" s="4">
        <v>40.805739177559694</v>
      </c>
      <c r="D655" s="4">
        <v>42.979639060561993</v>
      </c>
      <c r="E655" s="4">
        <v>45.302045701911531</v>
      </c>
      <c r="F655" s="4">
        <v>47.786473839431203</v>
      </c>
      <c r="G655" s="4">
        <v>50.466327609254726</v>
      </c>
      <c r="H655" s="4">
        <v>53.334694701991708</v>
      </c>
      <c r="I655" s="4">
        <v>56.426251779673947</v>
      </c>
      <c r="J655" s="4">
        <v>59.784884450356877</v>
      </c>
      <c r="K655" s="4">
        <v>63.391391201923909</v>
      </c>
      <c r="L655" s="4">
        <v>67.293661855534964</v>
      </c>
      <c r="M655" s="4">
        <v>71.521681787751888</v>
      </c>
      <c r="N655" s="4">
        <v>76.140852535944873</v>
      </c>
      <c r="O655" s="11">
        <f t="shared" si="9"/>
        <v>6.0514415143661224E-2</v>
      </c>
      <c r="P655"/>
      <c r="Q655" s="11"/>
    </row>
    <row r="656" spans="1:17" x14ac:dyDescent="0.35">
      <c r="A656" s="3" t="s">
        <v>28</v>
      </c>
      <c r="B656" s="4">
        <v>120.80684549445732</v>
      </c>
      <c r="C656" s="4">
        <v>125.37513924720315</v>
      </c>
      <c r="D656" s="4">
        <v>130.34819889177976</v>
      </c>
      <c r="E656" s="4">
        <v>135.60800170550283</v>
      </c>
      <c r="F656" s="4">
        <v>141.17628311953786</v>
      </c>
      <c r="G656" s="4">
        <v>147.23389301799898</v>
      </c>
      <c r="H656" s="4">
        <v>153.67970002710246</v>
      </c>
      <c r="I656" s="4">
        <v>160.67279995696907</v>
      </c>
      <c r="J656" s="4">
        <v>168.30908264899779</v>
      </c>
      <c r="K656" s="4">
        <v>176.23078482658502</v>
      </c>
      <c r="L656" s="4">
        <v>184.79158558604615</v>
      </c>
      <c r="M656" s="4">
        <v>194.14620940444786</v>
      </c>
      <c r="N656" s="4">
        <v>204.48190447859071</v>
      </c>
      <c r="O656" s="11">
        <f t="shared" si="9"/>
        <v>4.8040715945139256E-2</v>
      </c>
      <c r="P656"/>
      <c r="Q656" s="11"/>
    </row>
    <row r="657" spans="1:17" x14ac:dyDescent="0.35">
      <c r="A657" s="3" t="s">
        <v>33</v>
      </c>
      <c r="B657" s="4">
        <v>17.103961183029604</v>
      </c>
      <c r="C657" s="4">
        <v>17.938971051497077</v>
      </c>
      <c r="D657" s="4">
        <v>18.821854726495712</v>
      </c>
      <c r="E657" s="4">
        <v>19.754352411803549</v>
      </c>
      <c r="F657" s="4">
        <v>20.739814788179537</v>
      </c>
      <c r="G657" s="4">
        <v>21.787882577598335</v>
      </c>
      <c r="H657" s="4">
        <v>22.913212715487155</v>
      </c>
      <c r="I657" s="4">
        <v>24.109875285811835</v>
      </c>
      <c r="J657" s="4">
        <v>25.405018604368802</v>
      </c>
      <c r="K657" s="4">
        <v>26.809586066376809</v>
      </c>
      <c r="L657" s="4">
        <v>28.326990748611884</v>
      </c>
      <c r="M657" s="4">
        <v>29.949428891303672</v>
      </c>
      <c r="N657" s="4">
        <v>31.717206457465135</v>
      </c>
      <c r="O657" s="11">
        <f t="shared" si="9"/>
        <v>5.5108517665590377E-2</v>
      </c>
      <c r="P657"/>
      <c r="Q657" s="11"/>
    </row>
    <row r="658" spans="1:17" x14ac:dyDescent="0.35">
      <c r="A658" s="2" t="s">
        <v>34</v>
      </c>
      <c r="O658" s="11" t="str">
        <f t="shared" si="9"/>
        <v/>
      </c>
      <c r="P658"/>
      <c r="Q658" s="11"/>
    </row>
    <row r="659" spans="1:17" x14ac:dyDescent="0.35">
      <c r="A659" s="3" t="s">
        <v>36</v>
      </c>
      <c r="B659" s="4">
        <v>115.3057383879971</v>
      </c>
      <c r="C659" s="4">
        <v>121.88105818288123</v>
      </c>
      <c r="D659" s="4">
        <v>129.12822701074077</v>
      </c>
      <c r="E659" s="4">
        <v>136.90454456308001</v>
      </c>
      <c r="F659" s="4">
        <v>145.25956049498842</v>
      </c>
      <c r="G659" s="4">
        <v>154.30434795152451</v>
      </c>
      <c r="H659" s="4">
        <v>164.0292057331489</v>
      </c>
      <c r="I659" s="4">
        <v>174.55198163374644</v>
      </c>
      <c r="J659" s="4">
        <v>186.02164348189325</v>
      </c>
      <c r="K659" s="4">
        <v>198.39419473577337</v>
      </c>
      <c r="L659" s="4">
        <v>211.8344088076428</v>
      </c>
      <c r="M659" s="4">
        <v>226.45437676275392</v>
      </c>
      <c r="N659" s="4">
        <v>242.48074090442665</v>
      </c>
      <c r="O659" s="11">
        <f t="shared" si="9"/>
        <v>6.6701060025662118E-2</v>
      </c>
      <c r="P659"/>
      <c r="Q659" s="11"/>
    </row>
    <row r="660" spans="1:17" x14ac:dyDescent="0.35">
      <c r="A660" s="3" t="s">
        <v>37</v>
      </c>
      <c r="B660" s="4">
        <v>75.769288181330538</v>
      </c>
      <c r="C660" s="4">
        <v>79.473301890414973</v>
      </c>
      <c r="D660" s="4">
        <v>83.676575311212389</v>
      </c>
      <c r="E660" s="4">
        <v>88.162118158412554</v>
      </c>
      <c r="F660" s="4">
        <v>92.985524391448209</v>
      </c>
      <c r="G660" s="4">
        <v>98.150148475360965</v>
      </c>
      <c r="H660" s="4">
        <v>103.70368363279961</v>
      </c>
      <c r="I660" s="4">
        <v>109.75873698363137</v>
      </c>
      <c r="J660" s="4">
        <v>116.24942511777635</v>
      </c>
      <c r="K660" s="4">
        <v>123.30311787812256</v>
      </c>
      <c r="L660" s="4">
        <v>130.88270515580589</v>
      </c>
      <c r="M660" s="4">
        <v>139.08801856424094</v>
      </c>
      <c r="N660" s="4">
        <v>148.10228237178342</v>
      </c>
      <c r="O660" s="11">
        <f t="shared" si="9"/>
        <v>6.05335174132237E-2</v>
      </c>
      <c r="P660"/>
      <c r="Q660" s="11"/>
    </row>
    <row r="661" spans="1:17" x14ac:dyDescent="0.35">
      <c r="A661" s="3" t="s">
        <v>35</v>
      </c>
      <c r="B661" s="4">
        <v>110.60776007436723</v>
      </c>
      <c r="C661" s="4">
        <v>115.3244495997547</v>
      </c>
      <c r="D661" s="4">
        <v>120.33808784625074</v>
      </c>
      <c r="E661" s="4">
        <v>125.60404689910882</v>
      </c>
      <c r="F661" s="4">
        <v>131.15001788080781</v>
      </c>
      <c r="G661" s="4">
        <v>137.04866172001658</v>
      </c>
      <c r="H661" s="4">
        <v>143.25595141184345</v>
      </c>
      <c r="I661" s="4">
        <v>149.74660659008941</v>
      </c>
      <c r="J661" s="4">
        <v>156.82385382285497</v>
      </c>
      <c r="K661" s="4">
        <v>164.20465841852382</v>
      </c>
      <c r="L661" s="4">
        <v>172.11528330886188</v>
      </c>
      <c r="M661" s="4">
        <v>180.53385896947987</v>
      </c>
      <c r="N661" s="4">
        <v>189.55055703751714</v>
      </c>
      <c r="O661" s="11">
        <f t="shared" ref="O661:O724" si="10">IFERROR(RATE(2033-2026,,-G661,N661),"")</f>
        <v>4.7421457387348716E-2</v>
      </c>
      <c r="P661"/>
      <c r="Q661" s="11"/>
    </row>
    <row r="662" spans="1:17" x14ac:dyDescent="0.35">
      <c r="A662" s="3" t="s">
        <v>38</v>
      </c>
      <c r="B662" s="4">
        <v>29.595224399566764</v>
      </c>
      <c r="C662" s="4">
        <v>30.767339077220115</v>
      </c>
      <c r="D662" s="4">
        <v>32.033328564298635</v>
      </c>
      <c r="E662" s="4">
        <v>33.412897265061602</v>
      </c>
      <c r="F662" s="4">
        <v>34.889785891225998</v>
      </c>
      <c r="G662" s="4">
        <v>36.52651408718517</v>
      </c>
      <c r="H662" s="4">
        <v>38.259782386194786</v>
      </c>
      <c r="I662" s="4">
        <v>40.1744172482409</v>
      </c>
      <c r="J662" s="4">
        <v>42.249845030555846</v>
      </c>
      <c r="K662" s="4">
        <v>44.502896602128097</v>
      </c>
      <c r="L662" s="4">
        <v>46.978484729948953</v>
      </c>
      <c r="M662" s="4">
        <v>49.704256469274043</v>
      </c>
      <c r="N662" s="4">
        <v>52.680591294426584</v>
      </c>
      <c r="O662" s="11">
        <f t="shared" si="10"/>
        <v>5.3708163722227933E-2</v>
      </c>
      <c r="P662"/>
      <c r="Q662" s="11"/>
    </row>
    <row r="663" spans="1:17" x14ac:dyDescent="0.35">
      <c r="A663" s="2" t="s">
        <v>22</v>
      </c>
      <c r="O663" s="11" t="str">
        <f t="shared" si="10"/>
        <v/>
      </c>
      <c r="P663"/>
      <c r="Q663" s="11"/>
    </row>
    <row r="664" spans="1:17" x14ac:dyDescent="0.35">
      <c r="A664" s="3" t="s">
        <v>39</v>
      </c>
      <c r="B664" s="4">
        <v>96.221406614280596</v>
      </c>
      <c r="C664" s="4">
        <v>100.9769183148166</v>
      </c>
      <c r="D664" s="4">
        <v>106.37882566675495</v>
      </c>
      <c r="E664" s="4">
        <v>112.22605059790385</v>
      </c>
      <c r="F664" s="4">
        <v>118.57675784352938</v>
      </c>
      <c r="G664" s="4">
        <v>125.5140238479421</v>
      </c>
      <c r="H664" s="4">
        <v>132.69877222630129</v>
      </c>
      <c r="I664" s="4">
        <v>140.33896799632544</v>
      </c>
      <c r="J664" s="4">
        <v>148.73377503729256</v>
      </c>
      <c r="K664" s="4">
        <v>157.59250179582364</v>
      </c>
      <c r="L664" s="4">
        <v>167.07898450521992</v>
      </c>
      <c r="M664" s="4">
        <v>177.24057834738863</v>
      </c>
      <c r="N664" s="4">
        <v>188.2238137008016</v>
      </c>
      <c r="O664" s="11">
        <f t="shared" si="10"/>
        <v>5.9596050440739075E-2</v>
      </c>
      <c r="P664"/>
      <c r="Q664" s="11"/>
    </row>
    <row r="665" spans="1:17" x14ac:dyDescent="0.35">
      <c r="A665" s="3" t="s">
        <v>41</v>
      </c>
      <c r="B665" s="4">
        <v>61.431770126454936</v>
      </c>
      <c r="C665" s="4">
        <v>63.840434860596808</v>
      </c>
      <c r="D665" s="4">
        <v>66.405573373152947</v>
      </c>
      <c r="E665" s="4">
        <v>69.116010250251492</v>
      </c>
      <c r="F665" s="4">
        <v>71.96271018120774</v>
      </c>
      <c r="G665" s="4">
        <v>74.977173799249428</v>
      </c>
      <c r="H665" s="4">
        <v>78.232922085976014</v>
      </c>
      <c r="I665" s="4">
        <v>81.704445198743826</v>
      </c>
      <c r="J665" s="4">
        <v>85.437290770003116</v>
      </c>
      <c r="K665" s="4">
        <v>89.427791833881841</v>
      </c>
      <c r="L665" s="4">
        <v>93.666993547686147</v>
      </c>
      <c r="M665" s="4">
        <v>98.241653505674492</v>
      </c>
      <c r="N665" s="4">
        <v>103.18654012630482</v>
      </c>
      <c r="O665" s="11">
        <f t="shared" si="10"/>
        <v>4.6678796527345544E-2</v>
      </c>
      <c r="P665"/>
      <c r="Q665" s="11"/>
    </row>
    <row r="666" spans="1:17" x14ac:dyDescent="0.35">
      <c r="A666" s="3" t="s">
        <v>40</v>
      </c>
      <c r="B666" s="4">
        <v>78.482051143394798</v>
      </c>
      <c r="C666" s="4">
        <v>82.200311202407093</v>
      </c>
      <c r="D666" s="4">
        <v>86.127306538851627</v>
      </c>
      <c r="E666" s="4">
        <v>90.270105145692099</v>
      </c>
      <c r="F666" s="4">
        <v>94.643092434947931</v>
      </c>
      <c r="G666" s="4">
        <v>99.28927528738086</v>
      </c>
      <c r="H666" s="4">
        <v>104.27428031178349</v>
      </c>
      <c r="I666" s="4">
        <v>109.56968278214389</v>
      </c>
      <c r="J666" s="4">
        <v>115.29753659149023</v>
      </c>
      <c r="K666" s="4">
        <v>121.50567862973247</v>
      </c>
      <c r="L666" s="4">
        <v>128.20755010855322</v>
      </c>
      <c r="M666" s="4">
        <v>135.36574552395712</v>
      </c>
      <c r="N666" s="4">
        <v>143.16050361852675</v>
      </c>
      <c r="O666" s="11">
        <f t="shared" si="10"/>
        <v>5.3666038943480404E-2</v>
      </c>
      <c r="P666"/>
      <c r="Q666" s="11"/>
    </row>
    <row r="667" spans="1:17" x14ac:dyDescent="0.35">
      <c r="A667" s="3" t="s">
        <v>42</v>
      </c>
      <c r="B667" s="4">
        <v>95.142783159131312</v>
      </c>
      <c r="C667" s="4">
        <v>100.42848437245054</v>
      </c>
      <c r="D667" s="4">
        <v>106.26451315374301</v>
      </c>
      <c r="E667" s="4">
        <v>112.47144089181553</v>
      </c>
      <c r="F667" s="4">
        <v>119.10232819878539</v>
      </c>
      <c r="G667" s="4">
        <v>126.24919929951483</v>
      </c>
      <c r="H667" s="4">
        <v>134.04264853992595</v>
      </c>
      <c r="I667" s="4">
        <v>142.61864647849495</v>
      </c>
      <c r="J667" s="4">
        <v>151.87616505429452</v>
      </c>
      <c r="K667" s="4">
        <v>161.87889537510989</v>
      </c>
      <c r="L667" s="4">
        <v>172.85735384080022</v>
      </c>
      <c r="M667" s="4">
        <v>184.93253338872853</v>
      </c>
      <c r="N667" s="4">
        <v>198.24331416252056</v>
      </c>
      <c r="O667" s="11">
        <f t="shared" si="10"/>
        <v>6.6585566779254604E-2</v>
      </c>
      <c r="P667"/>
      <c r="Q667" s="11"/>
    </row>
    <row r="668" spans="1:17" x14ac:dyDescent="0.35">
      <c r="A668" s="1" t="s">
        <v>71</v>
      </c>
      <c r="O668" s="11" t="str">
        <f t="shared" si="10"/>
        <v/>
      </c>
      <c r="P668"/>
      <c r="Q668" s="11"/>
    </row>
    <row r="669" spans="1:17" x14ac:dyDescent="0.35">
      <c r="A669" s="2" t="s">
        <v>24</v>
      </c>
      <c r="O669" s="11" t="str">
        <f t="shared" si="10"/>
        <v/>
      </c>
      <c r="P669"/>
      <c r="Q669" s="11"/>
    </row>
    <row r="670" spans="1:17" x14ac:dyDescent="0.35">
      <c r="A670" s="3" t="s">
        <v>25</v>
      </c>
      <c r="B670" s="4">
        <v>17.755532827160188</v>
      </c>
      <c r="C670" s="4">
        <v>18.186378339914029</v>
      </c>
      <c r="D670" s="4">
        <v>18.674159768187877</v>
      </c>
      <c r="E670" s="4">
        <v>19.180605342482128</v>
      </c>
      <c r="F670" s="4">
        <v>19.711258819839479</v>
      </c>
      <c r="G670" s="4">
        <v>20.277289349443905</v>
      </c>
      <c r="H670" s="4">
        <v>20.894543096946073</v>
      </c>
      <c r="I670" s="4">
        <v>21.577577001637408</v>
      </c>
      <c r="J670" s="4">
        <v>22.303035829671447</v>
      </c>
      <c r="K670" s="4">
        <v>23.074075310814703</v>
      </c>
      <c r="L670" s="4">
        <v>23.916946416644922</v>
      </c>
      <c r="M670" s="4">
        <v>24.839334233417276</v>
      </c>
      <c r="N670" s="4">
        <v>25.849956739410253</v>
      </c>
      <c r="O670" s="11">
        <f t="shared" si="10"/>
        <v>3.529537671256202E-2</v>
      </c>
      <c r="P670"/>
      <c r="Q670" s="11"/>
    </row>
    <row r="671" spans="1:17" x14ac:dyDescent="0.35">
      <c r="A671" s="3" t="s">
        <v>26</v>
      </c>
      <c r="B671" s="4">
        <v>195.88211003485452</v>
      </c>
      <c r="C671" s="4">
        <v>202.31934193242392</v>
      </c>
      <c r="D671" s="4">
        <v>209.19870104905951</v>
      </c>
      <c r="E671" s="4">
        <v>216.45102136031014</v>
      </c>
      <c r="F671" s="4">
        <v>224.23996419797584</v>
      </c>
      <c r="G671" s="4">
        <v>232.62811150316773</v>
      </c>
      <c r="H671" s="4">
        <v>241.5366212350005</v>
      </c>
      <c r="I671" s="4">
        <v>251.30889342017687</v>
      </c>
      <c r="J671" s="4">
        <v>261.81601715753231</v>
      </c>
      <c r="K671" s="4">
        <v>273.00415396188959</v>
      </c>
      <c r="L671" s="4">
        <v>285.18977864309801</v>
      </c>
      <c r="M671" s="4">
        <v>298.19880394131781</v>
      </c>
      <c r="N671" s="4">
        <v>312.25065170867759</v>
      </c>
      <c r="O671" s="11">
        <f t="shared" si="10"/>
        <v>4.2948881367130036E-2</v>
      </c>
      <c r="P671"/>
      <c r="Q671" s="11"/>
    </row>
    <row r="672" spans="1:17" x14ac:dyDescent="0.35">
      <c r="A672" s="2" t="s">
        <v>27</v>
      </c>
      <c r="O672" s="11" t="str">
        <f t="shared" si="10"/>
        <v/>
      </c>
      <c r="P672"/>
      <c r="Q672" s="11"/>
    </row>
    <row r="673" spans="1:17" x14ac:dyDescent="0.35">
      <c r="A673" s="3" t="s">
        <v>30</v>
      </c>
      <c r="B673" s="4">
        <v>35.757468570050882</v>
      </c>
      <c r="C673" s="4">
        <v>37.322060973123094</v>
      </c>
      <c r="D673" s="4">
        <v>39.104539600953025</v>
      </c>
      <c r="E673" s="4">
        <v>41.000170313066221</v>
      </c>
      <c r="F673" s="4">
        <v>43.032995740342621</v>
      </c>
      <c r="G673" s="4">
        <v>45.20239646097955</v>
      </c>
      <c r="H673" s="4">
        <v>47.52816343309771</v>
      </c>
      <c r="I673" s="4">
        <v>50.059431863723226</v>
      </c>
      <c r="J673" s="4">
        <v>52.76295240444405</v>
      </c>
      <c r="K673" s="4">
        <v>55.69380173137035</v>
      </c>
      <c r="L673" s="4">
        <v>58.831670231876565</v>
      </c>
      <c r="M673" s="4">
        <v>62.218160710455336</v>
      </c>
      <c r="N673" s="4">
        <v>65.931342892989008</v>
      </c>
      <c r="O673" s="11">
        <f t="shared" si="10"/>
        <v>5.5403760695436885E-2</v>
      </c>
      <c r="P673"/>
      <c r="Q673" s="11"/>
    </row>
    <row r="674" spans="1:17" x14ac:dyDescent="0.35">
      <c r="A674" s="3" t="s">
        <v>32</v>
      </c>
      <c r="B674" s="4">
        <v>19.974573948733529</v>
      </c>
      <c r="C674" s="4">
        <v>20.299619422525353</v>
      </c>
      <c r="D674" s="4">
        <v>20.681836697885267</v>
      </c>
      <c r="E674" s="4">
        <v>21.077431944007451</v>
      </c>
      <c r="F674" s="4">
        <v>21.492102747869531</v>
      </c>
      <c r="G674" s="4">
        <v>21.937497373867199</v>
      </c>
      <c r="H674" s="4">
        <v>22.429954323102614</v>
      </c>
      <c r="I674" s="4">
        <v>22.983909637867132</v>
      </c>
      <c r="J674" s="4">
        <v>23.572952708196702</v>
      </c>
      <c r="K674" s="4">
        <v>24.199488642412717</v>
      </c>
      <c r="L674" s="4">
        <v>24.890056406892661</v>
      </c>
      <c r="M674" s="4">
        <v>25.651040648972582</v>
      </c>
      <c r="N674" s="4">
        <v>26.489673596959737</v>
      </c>
      <c r="O674" s="11">
        <f t="shared" si="10"/>
        <v>2.7302875162188867E-2</v>
      </c>
      <c r="P674"/>
      <c r="Q674" s="11"/>
    </row>
    <row r="675" spans="1:17" x14ac:dyDescent="0.35">
      <c r="A675" s="3" t="s">
        <v>29</v>
      </c>
      <c r="B675" s="4">
        <v>44.704841760765625</v>
      </c>
      <c r="C675" s="4">
        <v>46.465981295747142</v>
      </c>
      <c r="D675" s="4">
        <v>48.415259705755496</v>
      </c>
      <c r="E675" s="4">
        <v>50.460781730229613</v>
      </c>
      <c r="F675" s="4">
        <v>52.620278804942764</v>
      </c>
      <c r="G675" s="4">
        <v>54.927441622060975</v>
      </c>
      <c r="H675" s="4">
        <v>57.430487816298019</v>
      </c>
      <c r="I675" s="4">
        <v>60.176755619004091</v>
      </c>
      <c r="J675" s="4">
        <v>63.110394333149451</v>
      </c>
      <c r="K675" s="4">
        <v>66.24700995301535</v>
      </c>
      <c r="L675" s="4">
        <v>69.669219662495607</v>
      </c>
      <c r="M675" s="4">
        <v>73.410156595928072</v>
      </c>
      <c r="N675" s="4">
        <v>77.507601840363606</v>
      </c>
      <c r="O675" s="11">
        <f t="shared" si="10"/>
        <v>5.0424855871410115E-2</v>
      </c>
      <c r="P675"/>
      <c r="Q675" s="11"/>
    </row>
    <row r="676" spans="1:17" x14ac:dyDescent="0.35">
      <c r="A676" s="3" t="s">
        <v>31</v>
      </c>
      <c r="B676" s="4">
        <v>31.267853988429003</v>
      </c>
      <c r="C676" s="4">
        <v>32.471841534530846</v>
      </c>
      <c r="D676" s="4">
        <v>33.731078616071443</v>
      </c>
      <c r="E676" s="4">
        <v>35.058782305006403</v>
      </c>
      <c r="F676" s="4">
        <v>36.470707841163389</v>
      </c>
      <c r="G676" s="4">
        <v>37.965149849307274</v>
      </c>
      <c r="H676" s="4">
        <v>39.531345219961032</v>
      </c>
      <c r="I676" s="4">
        <v>41.19758504454574</v>
      </c>
      <c r="J676" s="4">
        <v>42.998104676908724</v>
      </c>
      <c r="K676" s="4">
        <v>44.904999232358989</v>
      </c>
      <c r="L676" s="4">
        <v>46.956040196628429</v>
      </c>
      <c r="M676" s="4">
        <v>49.149142267585674</v>
      </c>
      <c r="N676" s="4">
        <v>51.496847697747114</v>
      </c>
      <c r="O676" s="11">
        <f t="shared" si="10"/>
        <v>4.4512512034688818E-2</v>
      </c>
      <c r="P676"/>
      <c r="Q676" s="11"/>
    </row>
    <row r="677" spans="1:17" x14ac:dyDescent="0.35">
      <c r="A677" s="3" t="s">
        <v>28</v>
      </c>
      <c r="B677" s="4">
        <v>69.171136102930546</v>
      </c>
      <c r="C677" s="4">
        <v>70.808861059430114</v>
      </c>
      <c r="D677" s="4">
        <v>72.384147549841771</v>
      </c>
      <c r="E677" s="4">
        <v>74.036166656860445</v>
      </c>
      <c r="F677" s="4">
        <v>75.868830358540578</v>
      </c>
      <c r="G677" s="4">
        <v>77.9050325879507</v>
      </c>
      <c r="H677" s="4">
        <v>80.01302650375132</v>
      </c>
      <c r="I677" s="4">
        <v>82.404027275084616</v>
      </c>
      <c r="J677" s="4">
        <v>84.997583733074691</v>
      </c>
      <c r="K677" s="4">
        <v>87.706844175950948</v>
      </c>
      <c r="L677" s="4">
        <v>90.738000516251958</v>
      </c>
      <c r="M677" s="4">
        <v>93.841410479312458</v>
      </c>
      <c r="N677" s="4">
        <v>97.096570071666889</v>
      </c>
      <c r="O677" s="11">
        <f t="shared" si="10"/>
        <v>3.1959432525762138E-2</v>
      </c>
      <c r="P677"/>
      <c r="Q677" s="11"/>
    </row>
    <row r="678" spans="1:17" x14ac:dyDescent="0.35">
      <c r="A678" s="3" t="s">
        <v>33</v>
      </c>
      <c r="B678" s="4">
        <v>12.761768491105112</v>
      </c>
      <c r="C678" s="4">
        <v>13.13735598698139</v>
      </c>
      <c r="D678" s="4">
        <v>13.555998646740404</v>
      </c>
      <c r="E678" s="4">
        <v>13.998293753622123</v>
      </c>
      <c r="F678" s="4">
        <v>14.466307524956447</v>
      </c>
      <c r="G678" s="4">
        <v>14.967882958445964</v>
      </c>
      <c r="H678" s="4">
        <v>15.498187035735866</v>
      </c>
      <c r="I678" s="4">
        <v>16.064760981589487</v>
      </c>
      <c r="J678" s="4">
        <v>16.677065131430147</v>
      </c>
      <c r="K678" s="4">
        <v>17.326085537595922</v>
      </c>
      <c r="L678" s="4">
        <v>18.021738045597726</v>
      </c>
      <c r="M678" s="4">
        <v>18.76822747248098</v>
      </c>
      <c r="N678" s="4">
        <v>19.578572348361472</v>
      </c>
      <c r="O678" s="11">
        <f t="shared" si="10"/>
        <v>3.9106572186997215E-2</v>
      </c>
      <c r="P678"/>
      <c r="Q678" s="11"/>
    </row>
    <row r="679" spans="1:17" x14ac:dyDescent="0.35">
      <c r="A679" s="2" t="s">
        <v>34</v>
      </c>
      <c r="O679" s="11" t="str">
        <f t="shared" si="10"/>
        <v/>
      </c>
      <c r="P679"/>
      <c r="Q679" s="11"/>
    </row>
    <row r="680" spans="1:17" x14ac:dyDescent="0.35">
      <c r="A680" s="3" t="s">
        <v>36</v>
      </c>
      <c r="B680" s="4">
        <v>73.362482328142576</v>
      </c>
      <c r="C680" s="4">
        <v>76.641580558195329</v>
      </c>
      <c r="D680" s="4">
        <v>80.088226204908494</v>
      </c>
      <c r="E680" s="4">
        <v>83.736488623416292</v>
      </c>
      <c r="F680" s="4">
        <v>87.62727930799926</v>
      </c>
      <c r="G680" s="4">
        <v>91.760492325920168</v>
      </c>
      <c r="H680" s="4">
        <v>96.114078867067107</v>
      </c>
      <c r="I680" s="4">
        <v>100.76037240841559</v>
      </c>
      <c r="J680" s="4">
        <v>105.78792220320733</v>
      </c>
      <c r="K680" s="4">
        <v>111.13443817826978</v>
      </c>
      <c r="L680" s="4">
        <v>116.89861710902886</v>
      </c>
      <c r="M680" s="4">
        <v>123.08220765996211</v>
      </c>
      <c r="N680" s="4">
        <v>129.72354802501792</v>
      </c>
      <c r="O680" s="11">
        <f t="shared" si="10"/>
        <v>5.0704132760337209E-2</v>
      </c>
      <c r="P680"/>
      <c r="Q680" s="11"/>
    </row>
    <row r="681" spans="1:17" x14ac:dyDescent="0.35">
      <c r="A681" s="3" t="s">
        <v>37</v>
      </c>
      <c r="B681" s="4">
        <v>50.683093108450649</v>
      </c>
      <c r="C681" s="4">
        <v>52.429148478282897</v>
      </c>
      <c r="D681" s="4">
        <v>54.295109350627705</v>
      </c>
      <c r="E681" s="4">
        <v>56.263567804238093</v>
      </c>
      <c r="F681" s="4">
        <v>58.377527668163211</v>
      </c>
      <c r="G681" s="4">
        <v>60.653940511860398</v>
      </c>
      <c r="H681" s="4">
        <v>63.072985461126841</v>
      </c>
      <c r="I681" s="4">
        <v>65.724978944582432</v>
      </c>
      <c r="J681" s="4">
        <v>68.577263052179489</v>
      </c>
      <c r="K681" s="4">
        <v>71.616640554966779</v>
      </c>
      <c r="L681" s="4">
        <v>74.926974568630783</v>
      </c>
      <c r="M681" s="4">
        <v>78.463751944679544</v>
      </c>
      <c r="N681" s="4">
        <v>82.2857274878928</v>
      </c>
      <c r="O681" s="11">
        <f t="shared" si="10"/>
        <v>4.4536551186970891E-2</v>
      </c>
      <c r="P681"/>
      <c r="Q681" s="11"/>
    </row>
    <row r="682" spans="1:17" x14ac:dyDescent="0.35">
      <c r="A682" s="3" t="s">
        <v>35</v>
      </c>
      <c r="B682" s="4">
        <v>67.753446109462431</v>
      </c>
      <c r="C682" s="4">
        <v>68.982408115599924</v>
      </c>
      <c r="D682" s="4">
        <v>70.35841393138719</v>
      </c>
      <c r="E682" s="4">
        <v>71.799381722426318</v>
      </c>
      <c r="F682" s="4">
        <v>73.380527883758873</v>
      </c>
      <c r="G682" s="4">
        <v>75.146368672376923</v>
      </c>
      <c r="H682" s="4">
        <v>77.076229947229308</v>
      </c>
      <c r="I682" s="4">
        <v>79.310838861272146</v>
      </c>
      <c r="J682" s="4">
        <v>81.686272181084348</v>
      </c>
      <c r="K682" s="4">
        <v>84.211307197992625</v>
      </c>
      <c r="L682" s="4">
        <v>87.026800323539931</v>
      </c>
      <c r="M682" s="4">
        <v>89.999592225241088</v>
      </c>
      <c r="N682" s="4">
        <v>93.249971489353499</v>
      </c>
      <c r="O682" s="11">
        <f t="shared" si="10"/>
        <v>3.131546408058563E-2</v>
      </c>
      <c r="P682"/>
      <c r="Q682" s="11"/>
    </row>
    <row r="683" spans="1:17" x14ac:dyDescent="0.35">
      <c r="A683" s="3" t="s">
        <v>38</v>
      </c>
      <c r="B683" s="4">
        <v>21.838621315959042</v>
      </c>
      <c r="C683" s="4">
        <v>22.452583120259817</v>
      </c>
      <c r="D683" s="4">
        <v>23.131111330323982</v>
      </c>
      <c r="E683" s="4">
        <v>23.832188552711568</v>
      </c>
      <c r="F683" s="4">
        <v>24.565888157894001</v>
      </c>
      <c r="G683" s="4">
        <v>25.344599342454146</v>
      </c>
      <c r="H683" s="4">
        <v>26.167870056523288</v>
      </c>
      <c r="I683" s="4">
        <v>27.090280207544147</v>
      </c>
      <c r="J683" s="4">
        <v>28.067595550732577</v>
      </c>
      <c r="K683" s="4">
        <v>29.115843341475092</v>
      </c>
      <c r="L683" s="4">
        <v>30.254333058543349</v>
      </c>
      <c r="M683" s="4">
        <v>31.492586344852331</v>
      </c>
      <c r="N683" s="4">
        <v>32.841361445823594</v>
      </c>
      <c r="O683" s="11">
        <f t="shared" si="10"/>
        <v>3.7711266163797191E-2</v>
      </c>
      <c r="P683"/>
      <c r="Q683" s="11"/>
    </row>
    <row r="684" spans="1:17" x14ac:dyDescent="0.35">
      <c r="A684" s="2" t="s">
        <v>22</v>
      </c>
      <c r="O684" s="11" t="str">
        <f t="shared" si="10"/>
        <v/>
      </c>
      <c r="P684"/>
      <c r="Q684" s="11"/>
    </row>
    <row r="685" spans="1:17" x14ac:dyDescent="0.35">
      <c r="A685" s="3" t="s">
        <v>39</v>
      </c>
      <c r="B685" s="4">
        <v>55.641624471972307</v>
      </c>
      <c r="C685" s="4">
        <v>57.698130697988461</v>
      </c>
      <c r="D685" s="4">
        <v>59.775331286433044</v>
      </c>
      <c r="E685" s="4">
        <v>61.872421044866314</v>
      </c>
      <c r="F685" s="4">
        <v>64.183566775987231</v>
      </c>
      <c r="G685" s="4">
        <v>66.652869344972771</v>
      </c>
      <c r="H685" s="4">
        <v>69.245259726110589</v>
      </c>
      <c r="I685" s="4">
        <v>72.164558573438796</v>
      </c>
      <c r="J685" s="4">
        <v>75.296278726810897</v>
      </c>
      <c r="K685" s="4">
        <v>78.529653411448066</v>
      </c>
      <c r="L685" s="4">
        <v>82.181361055006164</v>
      </c>
      <c r="M685" s="4">
        <v>85.931426067088921</v>
      </c>
      <c r="N685" s="4">
        <v>89.925124675783167</v>
      </c>
      <c r="O685" s="11">
        <f t="shared" si="10"/>
        <v>4.3711128366455743E-2</v>
      </c>
      <c r="P685"/>
      <c r="Q685" s="11"/>
    </row>
    <row r="686" spans="1:17" x14ac:dyDescent="0.35">
      <c r="A686" s="3" t="s">
        <v>41</v>
      </c>
      <c r="B686" s="4">
        <v>39.997434919825373</v>
      </c>
      <c r="C686" s="4">
        <v>40.768049087336522</v>
      </c>
      <c r="D686" s="4">
        <v>41.716733490077296</v>
      </c>
      <c r="E686" s="4">
        <v>42.717387936957699</v>
      </c>
      <c r="F686" s="4">
        <v>43.789244531697847</v>
      </c>
      <c r="G686" s="4">
        <v>44.924410815654113</v>
      </c>
      <c r="H686" s="4">
        <v>46.135716771735439</v>
      </c>
      <c r="I686" s="4">
        <v>47.463004082812297</v>
      </c>
      <c r="J686" s="4">
        <v>48.863975520968737</v>
      </c>
      <c r="K686" s="4">
        <v>50.381612108068708</v>
      </c>
      <c r="L686" s="4">
        <v>51.986384322199079</v>
      </c>
      <c r="M686" s="4">
        <v>53.705744573862134</v>
      </c>
      <c r="N686" s="4">
        <v>55.595700534811471</v>
      </c>
      <c r="O686" s="11">
        <f t="shared" si="10"/>
        <v>3.0914595022119584E-2</v>
      </c>
      <c r="P686"/>
      <c r="Q686" s="11"/>
    </row>
    <row r="687" spans="1:17" x14ac:dyDescent="0.35">
      <c r="A687" s="3" t="s">
        <v>40</v>
      </c>
      <c r="B687" s="4">
        <v>54.95058469825878</v>
      </c>
      <c r="C687" s="4">
        <v>56.258326097828707</v>
      </c>
      <c r="D687" s="4">
        <v>57.683958652448503</v>
      </c>
      <c r="E687" s="4">
        <v>59.256441071891288</v>
      </c>
      <c r="F687" s="4">
        <v>60.939015509850265</v>
      </c>
      <c r="G687" s="4">
        <v>62.83452512617869</v>
      </c>
      <c r="H687" s="4">
        <v>64.822984777712605</v>
      </c>
      <c r="I687" s="4">
        <v>67.042306924546708</v>
      </c>
      <c r="J687" s="4">
        <v>69.446046660773021</v>
      </c>
      <c r="K687" s="4">
        <v>72.051697038346617</v>
      </c>
      <c r="L687" s="4">
        <v>74.920882992688433</v>
      </c>
      <c r="M687" s="4">
        <v>78.083693828805821</v>
      </c>
      <c r="N687" s="4">
        <v>81.525195461647982</v>
      </c>
      <c r="O687" s="11">
        <f t="shared" si="10"/>
        <v>3.7901682400237113E-2</v>
      </c>
      <c r="P687"/>
      <c r="Q687" s="11"/>
    </row>
    <row r="688" spans="1:17" x14ac:dyDescent="0.35">
      <c r="A688" s="3" t="s">
        <v>42</v>
      </c>
      <c r="B688" s="4">
        <v>63.047998771958241</v>
      </c>
      <c r="C688" s="4">
        <v>65.781214389184271</v>
      </c>
      <c r="D688" s="4">
        <v>68.696837388288543</v>
      </c>
      <c r="E688" s="4">
        <v>71.785376649076966</v>
      </c>
      <c r="F688" s="4">
        <v>75.039396200279995</v>
      </c>
      <c r="G688" s="4">
        <v>78.493595565806089</v>
      </c>
      <c r="H688" s="4">
        <v>82.227203056387907</v>
      </c>
      <c r="I688" s="4">
        <v>86.216600841016501</v>
      </c>
      <c r="J688" s="4">
        <v>90.512752078651104</v>
      </c>
      <c r="K688" s="4">
        <v>95.115266714840885</v>
      </c>
      <c r="L688" s="4">
        <v>100.01809668984926</v>
      </c>
      <c r="M688" s="4">
        <v>105.31727370497821</v>
      </c>
      <c r="N688" s="4">
        <v>111.05458777584519</v>
      </c>
      <c r="O688" s="11">
        <f t="shared" si="10"/>
        <v>5.0821372601510845E-2</v>
      </c>
      <c r="P688"/>
      <c r="Q688" s="11"/>
    </row>
    <row r="689" spans="1:17" x14ac:dyDescent="0.35">
      <c r="A689" s="1" t="s">
        <v>72</v>
      </c>
      <c r="O689" s="11" t="str">
        <f t="shared" si="10"/>
        <v/>
      </c>
      <c r="P689"/>
      <c r="Q689" s="11"/>
    </row>
    <row r="690" spans="1:17" x14ac:dyDescent="0.35">
      <c r="A690" s="2" t="s">
        <v>24</v>
      </c>
      <c r="O690" s="11" t="str">
        <f t="shared" si="10"/>
        <v/>
      </c>
      <c r="P690"/>
      <c r="Q690" s="11"/>
    </row>
    <row r="691" spans="1:17" x14ac:dyDescent="0.35">
      <c r="A691" s="3" t="s">
        <v>25</v>
      </c>
      <c r="B691" s="4">
        <v>6.2471028749718771</v>
      </c>
      <c r="C691" s="4">
        <v>6.3319511029567073</v>
      </c>
      <c r="D691" s="4">
        <v>6.4333757807360588</v>
      </c>
      <c r="E691" s="4">
        <v>6.5413187913660193</v>
      </c>
      <c r="F691" s="4">
        <v>6.6563476491283717</v>
      </c>
      <c r="G691" s="4">
        <v>6.7816421324390781</v>
      </c>
      <c r="H691" s="4">
        <v>6.9144321039244394</v>
      </c>
      <c r="I691" s="4">
        <v>7.0576214762566609</v>
      </c>
      <c r="J691" s="4">
        <v>7.2147669853818641</v>
      </c>
      <c r="K691" s="4">
        <v>7.3811992382413489</v>
      </c>
      <c r="L691" s="4">
        <v>7.5605765644007938</v>
      </c>
      <c r="M691" s="4">
        <v>7.7539227788316429</v>
      </c>
      <c r="N691" s="4">
        <v>7.9658200788683731</v>
      </c>
      <c r="O691" s="11">
        <f t="shared" si="10"/>
        <v>2.3257859845651669E-2</v>
      </c>
      <c r="P691"/>
      <c r="Q691" s="11"/>
    </row>
    <row r="692" spans="1:17" x14ac:dyDescent="0.35">
      <c r="A692" s="3" t="s">
        <v>26</v>
      </c>
      <c r="B692" s="4">
        <v>66.880365659163331</v>
      </c>
      <c r="C692" s="4">
        <v>68.273166273476264</v>
      </c>
      <c r="D692" s="4">
        <v>69.772782732533415</v>
      </c>
      <c r="E692" s="4">
        <v>71.351713339650559</v>
      </c>
      <c r="F692" s="4">
        <v>73.060390663786265</v>
      </c>
      <c r="G692" s="4">
        <v>74.913894872814836</v>
      </c>
      <c r="H692" s="4">
        <v>76.880949287877669</v>
      </c>
      <c r="I692" s="4">
        <v>79.066000275157492</v>
      </c>
      <c r="J692" s="4">
        <v>81.419958431742586</v>
      </c>
      <c r="K692" s="4">
        <v>83.919167526717402</v>
      </c>
      <c r="L692" s="4">
        <v>86.654745808557223</v>
      </c>
      <c r="M692" s="4">
        <v>89.564421186903857</v>
      </c>
      <c r="N692" s="4">
        <v>92.706778418059571</v>
      </c>
      <c r="O692" s="11">
        <f t="shared" si="10"/>
        <v>3.0911304103151117E-2</v>
      </c>
      <c r="P692"/>
      <c r="Q692" s="11"/>
    </row>
    <row r="693" spans="1:17" x14ac:dyDescent="0.35">
      <c r="A693" s="2" t="s">
        <v>27</v>
      </c>
      <c r="O693" s="11" t="str">
        <f t="shared" si="10"/>
        <v/>
      </c>
      <c r="P693"/>
      <c r="Q693" s="11"/>
    </row>
    <row r="694" spans="1:17" x14ac:dyDescent="0.35">
      <c r="A694" s="3" t="s">
        <v>30</v>
      </c>
      <c r="B694" s="4">
        <v>13.093004045404319</v>
      </c>
      <c r="C694" s="4">
        <v>13.575025394712663</v>
      </c>
      <c r="D694" s="4">
        <v>14.080171988836735</v>
      </c>
      <c r="E694" s="4">
        <v>14.608725502788666</v>
      </c>
      <c r="F694" s="4">
        <v>15.162123627116364</v>
      </c>
      <c r="G694" s="4">
        <v>15.746314218064892</v>
      </c>
      <c r="H694" s="4">
        <v>16.370574700734966</v>
      </c>
      <c r="I694" s="4">
        <v>17.02902181777003</v>
      </c>
      <c r="J694" s="4">
        <v>17.739368409241717</v>
      </c>
      <c r="K694" s="4">
        <v>18.507172871691516</v>
      </c>
      <c r="L694" s="4">
        <v>19.332497265800285</v>
      </c>
      <c r="M694" s="4">
        <v>20.207695856418383</v>
      </c>
      <c r="N694" s="4">
        <v>21.157880397097056</v>
      </c>
      <c r="O694" s="11">
        <f t="shared" si="10"/>
        <v>4.310398924227072E-2</v>
      </c>
      <c r="P694"/>
      <c r="Q694" s="11"/>
    </row>
    <row r="695" spans="1:17" x14ac:dyDescent="0.35">
      <c r="A695" s="3" t="s">
        <v>32</v>
      </c>
      <c r="B695" s="4">
        <v>5.293873011636677</v>
      </c>
      <c r="C695" s="4">
        <v>5.3672965057603568</v>
      </c>
      <c r="D695" s="4">
        <v>5.4546622572378807</v>
      </c>
      <c r="E695" s="4">
        <v>5.5465853220200776</v>
      </c>
      <c r="F695" s="4">
        <v>5.6439450725543567</v>
      </c>
      <c r="G695" s="4">
        <v>5.7458650406619007</v>
      </c>
      <c r="H695" s="4">
        <v>5.8514582068107597</v>
      </c>
      <c r="I695" s="4">
        <v>5.961965750873552</v>
      </c>
      <c r="J695" s="4">
        <v>6.080804275607365</v>
      </c>
      <c r="K695" s="4">
        <v>6.210337005200695</v>
      </c>
      <c r="L695" s="4">
        <v>6.3479374889361484</v>
      </c>
      <c r="M695" s="4">
        <v>6.4922951660424655</v>
      </c>
      <c r="N695" s="4">
        <v>6.6457682139982799</v>
      </c>
      <c r="O695" s="11">
        <f t="shared" si="10"/>
        <v>2.1003215612147123E-2</v>
      </c>
      <c r="P695"/>
      <c r="Q695" s="11"/>
    </row>
    <row r="696" spans="1:17" x14ac:dyDescent="0.35">
      <c r="A696" s="3" t="s">
        <v>29</v>
      </c>
      <c r="B696" s="4">
        <v>15.59794439466388</v>
      </c>
      <c r="C696" s="4">
        <v>16.050892828575812</v>
      </c>
      <c r="D696" s="4">
        <v>16.535287506856424</v>
      </c>
      <c r="E696" s="4">
        <v>17.045290912902189</v>
      </c>
      <c r="F696" s="4">
        <v>17.593484145660263</v>
      </c>
      <c r="G696" s="4">
        <v>18.184329809898795</v>
      </c>
      <c r="H696" s="4">
        <v>18.811166678830116</v>
      </c>
      <c r="I696" s="4">
        <v>19.500312947692645</v>
      </c>
      <c r="J696" s="4">
        <v>20.241047818637156</v>
      </c>
      <c r="K696" s="4">
        <v>21.028607083544472</v>
      </c>
      <c r="L696" s="4">
        <v>21.886816186105165</v>
      </c>
      <c r="M696" s="4">
        <v>22.801499596825987</v>
      </c>
      <c r="N696" s="4">
        <v>23.788772863041157</v>
      </c>
      <c r="O696" s="11">
        <f t="shared" si="10"/>
        <v>3.9125063401085208E-2</v>
      </c>
      <c r="P696"/>
      <c r="Q696" s="11"/>
    </row>
    <row r="697" spans="1:17" x14ac:dyDescent="0.35">
      <c r="A697" s="3" t="s">
        <v>31</v>
      </c>
      <c r="B697" s="4">
        <v>9.7548273036067492</v>
      </c>
      <c r="C697" s="4">
        <v>9.9941798488600373</v>
      </c>
      <c r="D697" s="4">
        <v>10.263750233478563</v>
      </c>
      <c r="E697" s="4">
        <v>10.548399067318684</v>
      </c>
      <c r="F697" s="4">
        <v>10.849448084387683</v>
      </c>
      <c r="G697" s="4">
        <v>11.172524322309842</v>
      </c>
      <c r="H697" s="4">
        <v>11.513684249671703</v>
      </c>
      <c r="I697" s="4">
        <v>11.878248788331826</v>
      </c>
      <c r="J697" s="4">
        <v>12.272854790686081</v>
      </c>
      <c r="K697" s="4">
        <v>12.690415315496445</v>
      </c>
      <c r="L697" s="4">
        <v>13.137837989576829</v>
      </c>
      <c r="M697" s="4">
        <v>13.617733836427179</v>
      </c>
      <c r="N697" s="4">
        <v>14.139055727235682</v>
      </c>
      <c r="O697" s="11">
        <f t="shared" si="10"/>
        <v>3.4212710739374319E-2</v>
      </c>
      <c r="P697"/>
      <c r="Q697" s="11"/>
    </row>
    <row r="698" spans="1:17" x14ac:dyDescent="0.35">
      <c r="A698" s="3" t="s">
        <v>28</v>
      </c>
      <c r="B698" s="4">
        <v>26.30726308477977</v>
      </c>
      <c r="C698" s="4">
        <v>26.464717422754475</v>
      </c>
      <c r="D698" s="4">
        <v>26.643879137996286</v>
      </c>
      <c r="E698" s="4">
        <v>26.837361794610914</v>
      </c>
      <c r="F698" s="4">
        <v>27.079776004897099</v>
      </c>
      <c r="G698" s="4">
        <v>27.373055612610621</v>
      </c>
      <c r="H698" s="4">
        <v>27.683532088824087</v>
      </c>
      <c r="I698" s="4">
        <v>28.093122974511964</v>
      </c>
      <c r="J698" s="4">
        <v>28.535668379855444</v>
      </c>
      <c r="K698" s="4">
        <v>28.985958342060144</v>
      </c>
      <c r="L698" s="4">
        <v>29.510988676719066</v>
      </c>
      <c r="M698" s="4">
        <v>30.072004031315998</v>
      </c>
      <c r="N698" s="4">
        <v>30.674823844208987</v>
      </c>
      <c r="O698" s="11">
        <f t="shared" si="10"/>
        <v>1.6402073881972602E-2</v>
      </c>
      <c r="P698"/>
      <c r="Q698" s="11"/>
    </row>
    <row r="699" spans="1:17" x14ac:dyDescent="0.35">
      <c r="A699" s="3" t="s">
        <v>33</v>
      </c>
      <c r="B699" s="4">
        <v>3.0805566940438149</v>
      </c>
      <c r="C699" s="4">
        <v>3.1530053757696304</v>
      </c>
      <c r="D699" s="4">
        <v>3.228407388863586</v>
      </c>
      <c r="E699" s="4">
        <v>3.306669531376051</v>
      </c>
      <c r="F699" s="4">
        <v>3.3879613782988725</v>
      </c>
      <c r="G699" s="4">
        <v>3.4734480017078613</v>
      </c>
      <c r="H699" s="4">
        <v>3.564965466930472</v>
      </c>
      <c r="I699" s="4">
        <v>3.6609494722341323</v>
      </c>
      <c r="J699" s="4">
        <v>3.7649817430966896</v>
      </c>
      <c r="K699" s="4">
        <v>3.8778761469654821</v>
      </c>
      <c r="L699" s="4">
        <v>3.9992447658205266</v>
      </c>
      <c r="M699" s="4">
        <v>4.1271154787054716</v>
      </c>
      <c r="N699" s="4">
        <v>4.2662974513467917</v>
      </c>
      <c r="O699" s="11">
        <f t="shared" si="10"/>
        <v>2.9806814683387604E-2</v>
      </c>
      <c r="P699"/>
      <c r="Q699" s="11"/>
    </row>
    <row r="700" spans="1:17" x14ac:dyDescent="0.35">
      <c r="A700" s="2" t="s">
        <v>34</v>
      </c>
      <c r="O700" s="11" t="str">
        <f t="shared" si="10"/>
        <v/>
      </c>
      <c r="P700"/>
      <c r="Q700" s="11"/>
    </row>
    <row r="701" spans="1:17" x14ac:dyDescent="0.35">
      <c r="A701" s="3" t="s">
        <v>36</v>
      </c>
      <c r="B701" s="4">
        <v>26.518489943941937</v>
      </c>
      <c r="C701" s="4">
        <v>27.285845126183741</v>
      </c>
      <c r="D701" s="4">
        <v>28.132893992319659</v>
      </c>
      <c r="E701" s="4">
        <v>29.008723685629143</v>
      </c>
      <c r="F701" s="4">
        <v>29.925663562668159</v>
      </c>
      <c r="G701" s="4">
        <v>30.898903363264967</v>
      </c>
      <c r="H701" s="4">
        <v>31.92802572865779</v>
      </c>
      <c r="I701" s="4">
        <v>33.079757501088295</v>
      </c>
      <c r="J701" s="4">
        <v>34.300376285002244</v>
      </c>
      <c r="K701" s="4">
        <v>35.609631609239834</v>
      </c>
      <c r="L701" s="4">
        <v>37.031349690885207</v>
      </c>
      <c r="M701" s="4">
        <v>38.577451521526626</v>
      </c>
      <c r="N701" s="4">
        <v>40.261410028991186</v>
      </c>
      <c r="O701" s="11">
        <f t="shared" si="10"/>
        <v>3.85343005780905E-2</v>
      </c>
      <c r="P701"/>
      <c r="Q701" s="11"/>
    </row>
    <row r="702" spans="1:17" x14ac:dyDescent="0.35">
      <c r="A702" s="3" t="s">
        <v>37</v>
      </c>
      <c r="B702" s="4">
        <v>16.615532281038753</v>
      </c>
      <c r="C702" s="4">
        <v>16.918989432658385</v>
      </c>
      <c r="D702" s="4">
        <v>17.254083418376037</v>
      </c>
      <c r="E702" s="4">
        <v>17.628933059195845</v>
      </c>
      <c r="F702" s="4">
        <v>18.031926206381293</v>
      </c>
      <c r="G702" s="4">
        <v>18.493002369260168</v>
      </c>
      <c r="H702" s="4">
        <v>18.975871982697136</v>
      </c>
      <c r="I702" s="4">
        <v>19.520510228711903</v>
      </c>
      <c r="J702" s="4">
        <v>20.112353295627699</v>
      </c>
      <c r="K702" s="4">
        <v>20.755656247221882</v>
      </c>
      <c r="L702" s="4">
        <v>21.467288349288697</v>
      </c>
      <c r="M702" s="4">
        <v>22.254715098619506</v>
      </c>
      <c r="N702" s="4">
        <v>23.112400427137693</v>
      </c>
      <c r="O702" s="11">
        <f t="shared" si="10"/>
        <v>3.2366603324344531E-2</v>
      </c>
      <c r="P702"/>
      <c r="Q702" s="11"/>
    </row>
    <row r="703" spans="1:17" x14ac:dyDescent="0.35">
      <c r="A703" s="3" t="s">
        <v>35</v>
      </c>
      <c r="B703" s="4">
        <v>22.908897348527191</v>
      </c>
      <c r="C703" s="4">
        <v>23.187705157881396</v>
      </c>
      <c r="D703" s="4">
        <v>23.469252694269301</v>
      </c>
      <c r="E703" s="4">
        <v>23.760806521095205</v>
      </c>
      <c r="F703" s="4">
        <v>24.114313339656682</v>
      </c>
      <c r="G703" s="4">
        <v>24.500150416465438</v>
      </c>
      <c r="H703" s="4">
        <v>24.914094825437381</v>
      </c>
      <c r="I703" s="4">
        <v>25.360594932015545</v>
      </c>
      <c r="J703" s="4">
        <v>25.858841522403381</v>
      </c>
      <c r="K703" s="4">
        <v>26.358082563605308</v>
      </c>
      <c r="L703" s="4">
        <v>26.914401289609259</v>
      </c>
      <c r="M703" s="4">
        <v>27.440050161315966</v>
      </c>
      <c r="N703" s="4">
        <v>27.988544069509416</v>
      </c>
      <c r="O703" s="11">
        <f t="shared" si="10"/>
        <v>1.9198542290252064E-2</v>
      </c>
      <c r="P703"/>
      <c r="Q703" s="11"/>
    </row>
    <row r="704" spans="1:17" x14ac:dyDescent="0.35">
      <c r="A704" s="3" t="s">
        <v>38</v>
      </c>
      <c r="B704" s="4">
        <v>7.0845489606273198</v>
      </c>
      <c r="C704" s="4">
        <v>7.2125776597094537</v>
      </c>
      <c r="D704" s="4">
        <v>7.3499284083044811</v>
      </c>
      <c r="E704" s="4">
        <v>7.4945688650963893</v>
      </c>
      <c r="F704" s="4">
        <v>7.6448352042085146</v>
      </c>
      <c r="G704" s="4">
        <v>7.8034808562633398</v>
      </c>
      <c r="H704" s="4">
        <v>7.9773888550097984</v>
      </c>
      <c r="I704" s="4">
        <v>8.1627590895984099</v>
      </c>
      <c r="J704" s="4">
        <v>8.3631543140911369</v>
      </c>
      <c r="K704" s="4">
        <v>8.5769963448917252</v>
      </c>
      <c r="L704" s="4">
        <v>8.8022830431748584</v>
      </c>
      <c r="M704" s="4">
        <v>9.0461271842733915</v>
      </c>
      <c r="N704" s="4">
        <v>9.310243971289653</v>
      </c>
      <c r="O704" s="11">
        <f t="shared" si="10"/>
        <v>2.554150557248671E-2</v>
      </c>
      <c r="P704"/>
      <c r="Q704" s="11"/>
    </row>
    <row r="705" spans="1:17" x14ac:dyDescent="0.35">
      <c r="A705" s="2" t="s">
        <v>22</v>
      </c>
      <c r="O705" s="11" t="str">
        <f t="shared" si="10"/>
        <v/>
      </c>
      <c r="P705"/>
      <c r="Q705" s="11"/>
    </row>
    <row r="706" spans="1:17" x14ac:dyDescent="0.35">
      <c r="A706" s="3" t="s">
        <v>39</v>
      </c>
      <c r="B706" s="4">
        <v>18.885980478783893</v>
      </c>
      <c r="C706" s="4">
        <v>19.262487579808145</v>
      </c>
      <c r="D706" s="4">
        <v>19.636666541506571</v>
      </c>
      <c r="E706" s="4">
        <v>20.027926592564313</v>
      </c>
      <c r="F706" s="4">
        <v>20.471258398756483</v>
      </c>
      <c r="G706" s="4">
        <v>20.974660874885345</v>
      </c>
      <c r="H706" s="4">
        <v>21.486523510465688</v>
      </c>
      <c r="I706" s="4">
        <v>22.08311752158059</v>
      </c>
      <c r="J706" s="4">
        <v>22.734459913163278</v>
      </c>
      <c r="K706" s="4">
        <v>23.409466631593574</v>
      </c>
      <c r="L706" s="4">
        <v>24.192892692623843</v>
      </c>
      <c r="M706" s="4">
        <v>25.007596892569779</v>
      </c>
      <c r="N706" s="4">
        <v>25.876196408395572</v>
      </c>
      <c r="O706" s="11">
        <f t="shared" si="10"/>
        <v>3.0455771141869061E-2</v>
      </c>
      <c r="P706"/>
      <c r="Q706" s="11"/>
    </row>
    <row r="707" spans="1:17" x14ac:dyDescent="0.35">
      <c r="A707" s="3" t="s">
        <v>41</v>
      </c>
      <c r="B707" s="4">
        <v>13.606530364594349</v>
      </c>
      <c r="C707" s="4">
        <v>13.73326179055276</v>
      </c>
      <c r="D707" s="4">
        <v>13.916157485483911</v>
      </c>
      <c r="E707" s="4">
        <v>14.111461141883707</v>
      </c>
      <c r="F707" s="4">
        <v>14.325097874830762</v>
      </c>
      <c r="G707" s="4">
        <v>14.553881568012271</v>
      </c>
      <c r="H707" s="4">
        <v>14.80145221867336</v>
      </c>
      <c r="I707" s="4">
        <v>15.079965484004072</v>
      </c>
      <c r="J707" s="4">
        <v>15.374998229498942</v>
      </c>
      <c r="K707" s="4">
        <v>15.699500156352912</v>
      </c>
      <c r="L707" s="4">
        <v>16.043315515274283</v>
      </c>
      <c r="M707" s="4">
        <v>16.414248285183703</v>
      </c>
      <c r="N707" s="4">
        <v>16.828517176864203</v>
      </c>
      <c r="O707" s="11">
        <f t="shared" si="10"/>
        <v>2.0961989113900535E-2</v>
      </c>
      <c r="P707"/>
      <c r="Q707" s="11"/>
    </row>
    <row r="708" spans="1:17" x14ac:dyDescent="0.35">
      <c r="A708" s="3" t="s">
        <v>40</v>
      </c>
      <c r="B708" s="4">
        <v>19.405551353669861</v>
      </c>
      <c r="C708" s="4">
        <v>19.713384394902683</v>
      </c>
      <c r="D708" s="4">
        <v>20.048567832801524</v>
      </c>
      <c r="E708" s="4">
        <v>20.402775813476847</v>
      </c>
      <c r="F708" s="4">
        <v>20.790125352008136</v>
      </c>
      <c r="G708" s="4">
        <v>21.214397138829376</v>
      </c>
      <c r="H708" s="4">
        <v>21.666166778838349</v>
      </c>
      <c r="I708" s="4">
        <v>22.174435921755283</v>
      </c>
      <c r="J708" s="4">
        <v>22.724582674882218</v>
      </c>
      <c r="K708" s="4">
        <v>23.309358391201425</v>
      </c>
      <c r="L708" s="4">
        <v>23.9535280288294</v>
      </c>
      <c r="M708" s="4">
        <v>24.638974643931579</v>
      </c>
      <c r="N708" s="4">
        <v>25.381168859608206</v>
      </c>
      <c r="O708" s="11">
        <f t="shared" si="10"/>
        <v>2.594917422072333E-2</v>
      </c>
      <c r="P708"/>
      <c r="Q708" s="11"/>
    </row>
    <row r="709" spans="1:17" x14ac:dyDescent="0.35">
      <c r="A709" s="3" t="s">
        <v>42</v>
      </c>
      <c r="B709" s="4">
        <v>21.229406337087095</v>
      </c>
      <c r="C709" s="4">
        <v>21.895983611169385</v>
      </c>
      <c r="D709" s="4">
        <v>22.604766653477473</v>
      </c>
      <c r="E709" s="4">
        <v>23.350868583091721</v>
      </c>
      <c r="F709" s="4">
        <v>24.13025668731926</v>
      </c>
      <c r="G709" s="4">
        <v>24.952597423526914</v>
      </c>
      <c r="H709" s="4">
        <v>25.841238883824712</v>
      </c>
      <c r="I709" s="4">
        <v>26.786102824074209</v>
      </c>
      <c r="J709" s="4">
        <v>27.800684599580016</v>
      </c>
      <c r="K709" s="4">
        <v>28.882041585810839</v>
      </c>
      <c r="L709" s="4">
        <v>30.025586136230483</v>
      </c>
      <c r="M709" s="4">
        <v>31.257524144050443</v>
      </c>
      <c r="N709" s="4">
        <v>32.586716052059963</v>
      </c>
      <c r="O709" s="11">
        <f t="shared" si="10"/>
        <v>3.8868770047891472E-2</v>
      </c>
      <c r="P709"/>
      <c r="Q709" s="11"/>
    </row>
    <row r="710" spans="1:17" x14ac:dyDescent="0.35">
      <c r="A710" s="1" t="s">
        <v>73</v>
      </c>
      <c r="O710" s="11" t="str">
        <f t="shared" si="10"/>
        <v/>
      </c>
      <c r="P710"/>
      <c r="Q710" s="11"/>
    </row>
    <row r="711" spans="1:17" x14ac:dyDescent="0.35">
      <c r="A711" s="2" t="s">
        <v>24</v>
      </c>
      <c r="O711" s="11" t="str">
        <f t="shared" si="10"/>
        <v/>
      </c>
      <c r="P711"/>
      <c r="Q711" s="11"/>
    </row>
    <row r="712" spans="1:17" x14ac:dyDescent="0.35">
      <c r="A712" s="3" t="s">
        <v>25</v>
      </c>
      <c r="B712" s="4">
        <v>125.76763891311795</v>
      </c>
      <c r="C712" s="4">
        <v>134.84700050779549</v>
      </c>
      <c r="D712" s="4">
        <v>144.90651332002361</v>
      </c>
      <c r="E712" s="4">
        <v>155.79974949844981</v>
      </c>
      <c r="F712" s="4">
        <v>167.62107579547697</v>
      </c>
      <c r="G712" s="4">
        <v>180.4240268951163</v>
      </c>
      <c r="H712" s="4">
        <v>194.26241942989392</v>
      </c>
      <c r="I712" s="4">
        <v>209.26093599775086</v>
      </c>
      <c r="J712" s="4">
        <v>225.63661052014339</v>
      </c>
      <c r="K712" s="4">
        <v>243.6026866057889</v>
      </c>
      <c r="L712" s="4">
        <v>263.20751870381508</v>
      </c>
      <c r="M712" s="4">
        <v>284.54388664652527</v>
      </c>
      <c r="N712" s="4">
        <v>307.86547134423745</v>
      </c>
      <c r="O712" s="11">
        <f t="shared" si="10"/>
        <v>7.9325339289180979E-2</v>
      </c>
      <c r="P712"/>
      <c r="Q712" s="11"/>
    </row>
    <row r="713" spans="1:17" x14ac:dyDescent="0.35">
      <c r="A713" s="3" t="s">
        <v>26</v>
      </c>
      <c r="B713" s="4">
        <v>1218.5216278602356</v>
      </c>
      <c r="C713" s="4">
        <v>1311.0667513519047</v>
      </c>
      <c r="D713" s="4">
        <v>1413.9914178755932</v>
      </c>
      <c r="E713" s="4">
        <v>1525.4187425251639</v>
      </c>
      <c r="F713" s="4">
        <v>1646.4598310819792</v>
      </c>
      <c r="G713" s="4">
        <v>1778.8341665239575</v>
      </c>
      <c r="H713" s="4">
        <v>1924.918988681037</v>
      </c>
      <c r="I713" s="4">
        <v>2087.3298936843948</v>
      </c>
      <c r="J713" s="4">
        <v>2265.3879581697888</v>
      </c>
      <c r="K713" s="4">
        <v>2460.7874650343347</v>
      </c>
      <c r="L713" s="4">
        <v>2677.8589194446686</v>
      </c>
      <c r="M713" s="4">
        <v>2919.5344972167622</v>
      </c>
      <c r="N713" s="4">
        <v>3189.2108634582714</v>
      </c>
      <c r="O713" s="11">
        <f t="shared" si="10"/>
        <v>8.697889127164489E-2</v>
      </c>
      <c r="P713"/>
      <c r="Q713" s="11"/>
    </row>
    <row r="714" spans="1:17" x14ac:dyDescent="0.35">
      <c r="A714" s="2" t="s">
        <v>27</v>
      </c>
      <c r="O714" s="11" t="str">
        <f t="shared" si="10"/>
        <v/>
      </c>
      <c r="P714"/>
      <c r="Q714" s="11"/>
    </row>
    <row r="715" spans="1:17" x14ac:dyDescent="0.35">
      <c r="A715" s="3" t="s">
        <v>30</v>
      </c>
      <c r="B715" s="4">
        <v>252.00875412253001</v>
      </c>
      <c r="C715" s="4">
        <v>275.3803977009112</v>
      </c>
      <c r="D715" s="4">
        <v>300.9949463842936</v>
      </c>
      <c r="E715" s="4">
        <v>329.16723943336433</v>
      </c>
      <c r="F715" s="4">
        <v>360.27646810586282</v>
      </c>
      <c r="G715" s="4">
        <v>394.57921740863776</v>
      </c>
      <c r="H715" s="4">
        <v>432.25730874995804</v>
      </c>
      <c r="I715" s="4">
        <v>473.92070273051507</v>
      </c>
      <c r="J715" s="4">
        <v>520.33663288821379</v>
      </c>
      <c r="K715" s="4">
        <v>571.63356885214125</v>
      </c>
      <c r="L715" s="4">
        <v>628.74599754456108</v>
      </c>
      <c r="M715" s="4">
        <v>692.21238811415458</v>
      </c>
      <c r="N715" s="4">
        <v>762.81996218562244</v>
      </c>
      <c r="O715" s="11">
        <f t="shared" si="10"/>
        <v>9.8748419084581693E-2</v>
      </c>
      <c r="P715"/>
      <c r="Q715" s="11"/>
    </row>
    <row r="716" spans="1:17" x14ac:dyDescent="0.35">
      <c r="A716" s="3" t="s">
        <v>32</v>
      </c>
      <c r="B716" s="4">
        <v>104.52760971504867</v>
      </c>
      <c r="C716" s="4">
        <v>111.25487877085777</v>
      </c>
      <c r="D716" s="4">
        <v>118.45919495411957</v>
      </c>
      <c r="E716" s="4">
        <v>126.16880913211693</v>
      </c>
      <c r="F716" s="4">
        <v>134.42339519961951</v>
      </c>
      <c r="G716" s="4">
        <v>143.30517837267996</v>
      </c>
      <c r="H716" s="4">
        <v>152.93363210770036</v>
      </c>
      <c r="I716" s="4">
        <v>163.2971756065767</v>
      </c>
      <c r="J716" s="4">
        <v>174.6067254579383</v>
      </c>
      <c r="K716" s="4">
        <v>186.97344002317683</v>
      </c>
      <c r="L716" s="4">
        <v>200.46141073893966</v>
      </c>
      <c r="M716" s="4">
        <v>215.05789670155235</v>
      </c>
      <c r="N716" s="4">
        <v>231.09358491937425</v>
      </c>
      <c r="O716" s="11">
        <f t="shared" si="10"/>
        <v>7.0647660256496325E-2</v>
      </c>
      <c r="P716"/>
      <c r="Q716" s="11"/>
    </row>
    <row r="717" spans="1:17" x14ac:dyDescent="0.35">
      <c r="A717" s="3" t="s">
        <v>29</v>
      </c>
      <c r="B717" s="4">
        <v>295.22648025454413</v>
      </c>
      <c r="C717" s="4">
        <v>320.80363652856011</v>
      </c>
      <c r="D717" s="4">
        <v>349.36915073588477</v>
      </c>
      <c r="E717" s="4">
        <v>380.67905144908127</v>
      </c>
      <c r="F717" s="4">
        <v>415.06171149356203</v>
      </c>
      <c r="G717" s="4">
        <v>452.75947296665527</v>
      </c>
      <c r="H717" s="4">
        <v>494.02552571630525</v>
      </c>
      <c r="I717" s="4">
        <v>539.30378508033345</v>
      </c>
      <c r="J717" s="4">
        <v>589.29668735293194</v>
      </c>
      <c r="K717" s="4">
        <v>644.73070478863497</v>
      </c>
      <c r="L717" s="4">
        <v>705.93039637830088</v>
      </c>
      <c r="M717" s="4">
        <v>773.35173842238487</v>
      </c>
      <c r="N717" s="4">
        <v>847.90705914074226</v>
      </c>
      <c r="O717" s="11">
        <f t="shared" si="10"/>
        <v>9.3769515669404252E-2</v>
      </c>
      <c r="P717"/>
      <c r="Q717" s="11"/>
    </row>
    <row r="718" spans="1:17" x14ac:dyDescent="0.35">
      <c r="A718" s="3" t="s">
        <v>31</v>
      </c>
      <c r="B718" s="4">
        <v>181.72884571799392</v>
      </c>
      <c r="C718" s="4">
        <v>195.69053354297307</v>
      </c>
      <c r="D718" s="4">
        <v>211.22500787747487</v>
      </c>
      <c r="E718" s="4">
        <v>228.05578307480766</v>
      </c>
      <c r="F718" s="4">
        <v>246.35218715395857</v>
      </c>
      <c r="G718" s="4">
        <v>266.37512915911719</v>
      </c>
      <c r="H718" s="4">
        <v>288.48486503587742</v>
      </c>
      <c r="I718" s="4">
        <v>313.07854370608021</v>
      </c>
      <c r="J718" s="4">
        <v>340.06045653358029</v>
      </c>
      <c r="K718" s="4">
        <v>369.69083007336008</v>
      </c>
      <c r="L718" s="4">
        <v>402.62678256584832</v>
      </c>
      <c r="M718" s="4">
        <v>439.31731408336094</v>
      </c>
      <c r="N718" s="4">
        <v>480.28276863858946</v>
      </c>
      <c r="O718" s="11">
        <f t="shared" si="10"/>
        <v>8.7857235394428079E-2</v>
      </c>
      <c r="P718"/>
      <c r="Q718" s="11"/>
    </row>
    <row r="719" spans="1:17" x14ac:dyDescent="0.35">
      <c r="A719" s="3" t="s">
        <v>28</v>
      </c>
      <c r="B719" s="4">
        <v>441.30042944014474</v>
      </c>
      <c r="C719" s="4">
        <v>468.32359345339205</v>
      </c>
      <c r="D719" s="4">
        <v>498.88054287906789</v>
      </c>
      <c r="E719" s="4">
        <v>531.23875041076735</v>
      </c>
      <c r="F719" s="4">
        <v>565.6304267643909</v>
      </c>
      <c r="G719" s="4">
        <v>602.8967240694069</v>
      </c>
      <c r="H719" s="4">
        <v>644.42899242807334</v>
      </c>
      <c r="I719" s="4">
        <v>691.39201432259028</v>
      </c>
      <c r="J719" s="4">
        <v>741.78778883936207</v>
      </c>
      <c r="K719" s="4">
        <v>796.21469367110876</v>
      </c>
      <c r="L719" s="4">
        <v>856.84521815655717</v>
      </c>
      <c r="M719" s="4">
        <v>925.12786017081226</v>
      </c>
      <c r="N719" s="4">
        <v>1001.9939006816007</v>
      </c>
      <c r="O719" s="11">
        <f t="shared" si="10"/>
        <v>7.5269805342934093E-2</v>
      </c>
      <c r="P719"/>
      <c r="Q719" s="11"/>
    </row>
    <row r="720" spans="1:17" x14ac:dyDescent="0.35">
      <c r="A720" s="3" t="s">
        <v>33</v>
      </c>
      <c r="B720" s="4">
        <v>69.497147523092082</v>
      </c>
      <c r="C720" s="4">
        <v>74.460711863005955</v>
      </c>
      <c r="D720" s="4">
        <v>79.969088364775999</v>
      </c>
      <c r="E720" s="4">
        <v>85.908858523475999</v>
      </c>
      <c r="F720" s="4">
        <v>92.336718160062546</v>
      </c>
      <c r="G720" s="4">
        <v>99.342471442576993</v>
      </c>
      <c r="H720" s="4">
        <v>107.05108407301668</v>
      </c>
      <c r="I720" s="4">
        <v>115.5986082360501</v>
      </c>
      <c r="J720" s="4">
        <v>124.93627761790562</v>
      </c>
      <c r="K720" s="4">
        <v>135.14691423170194</v>
      </c>
      <c r="L720" s="4">
        <v>146.45663276427655</v>
      </c>
      <c r="M720" s="4">
        <v>159.0111863710224</v>
      </c>
      <c r="N720" s="4">
        <v>172.97905923657976</v>
      </c>
      <c r="O720" s="11">
        <f t="shared" si="10"/>
        <v>8.2451302210161073E-2</v>
      </c>
      <c r="P720"/>
      <c r="Q720" s="11"/>
    </row>
    <row r="721" spans="1:17" x14ac:dyDescent="0.35">
      <c r="A721" s="2" t="s">
        <v>34</v>
      </c>
      <c r="O721" s="11" t="str">
        <f t="shared" si="10"/>
        <v/>
      </c>
      <c r="P721"/>
      <c r="Q721" s="11"/>
    </row>
    <row r="722" spans="1:17" x14ac:dyDescent="0.35">
      <c r="A722" s="3" t="s">
        <v>36</v>
      </c>
      <c r="B722" s="4">
        <v>458.9849002535035</v>
      </c>
      <c r="C722" s="4">
        <v>499.3410878660975</v>
      </c>
      <c r="D722" s="4">
        <v>544.44795098511668</v>
      </c>
      <c r="E722" s="4">
        <v>593.94237907367358</v>
      </c>
      <c r="F722" s="4">
        <v>648.35251611800288</v>
      </c>
      <c r="G722" s="4">
        <v>708.07462095040785</v>
      </c>
      <c r="H722" s="4">
        <v>773.5237928716848</v>
      </c>
      <c r="I722" s="4">
        <v>845.41572667893934</v>
      </c>
      <c r="J722" s="4">
        <v>924.87476330771369</v>
      </c>
      <c r="K722" s="4">
        <v>1013.0682811406573</v>
      </c>
      <c r="L722" s="4">
        <v>1110.5376392238184</v>
      </c>
      <c r="M722" s="4">
        <v>1218.0334910050735</v>
      </c>
      <c r="N722" s="4">
        <v>1337.0287928535422</v>
      </c>
      <c r="O722" s="11">
        <f t="shared" si="10"/>
        <v>9.5058675496073414E-2</v>
      </c>
      <c r="P722"/>
      <c r="Q722" s="11"/>
    </row>
    <row r="723" spans="1:17" x14ac:dyDescent="0.35">
      <c r="A723" s="3" t="s">
        <v>37</v>
      </c>
      <c r="B723" s="4">
        <v>278.44142457057563</v>
      </c>
      <c r="C723" s="4">
        <v>299.94907823290123</v>
      </c>
      <c r="D723" s="4">
        <v>324.31895458351494</v>
      </c>
      <c r="E723" s="4">
        <v>350.90120765444897</v>
      </c>
      <c r="F723" s="4">
        <v>380.04994999082709</v>
      </c>
      <c r="G723" s="4">
        <v>411.93607397384454</v>
      </c>
      <c r="H723" s="4">
        <v>446.92576832322834</v>
      </c>
      <c r="I723" s="4">
        <v>485.69461778868538</v>
      </c>
      <c r="J723" s="4">
        <v>528.18976183487598</v>
      </c>
      <c r="K723" s="4">
        <v>575.21703886059584</v>
      </c>
      <c r="L723" s="4">
        <v>626.88807192171009</v>
      </c>
      <c r="M723" s="4">
        <v>683.96604289534287</v>
      </c>
      <c r="N723" s="4">
        <v>747.68935760386228</v>
      </c>
      <c r="O723" s="11">
        <f t="shared" si="10"/>
        <v>8.8891184729635211E-2</v>
      </c>
      <c r="P723"/>
      <c r="Q723" s="11"/>
    </row>
    <row r="724" spans="1:17" x14ac:dyDescent="0.35">
      <c r="A724" s="3" t="s">
        <v>35</v>
      </c>
      <c r="B724" s="4">
        <v>472.04415273566963</v>
      </c>
      <c r="C724" s="4">
        <v>502.31116153071957</v>
      </c>
      <c r="D724" s="4">
        <v>535.07866204632421</v>
      </c>
      <c r="E724" s="4">
        <v>569.67221124599655</v>
      </c>
      <c r="F724" s="4">
        <v>606.26583907844588</v>
      </c>
      <c r="G724" s="4">
        <v>646.00674970472096</v>
      </c>
      <c r="H724" s="4">
        <v>690.3962214100668</v>
      </c>
      <c r="I724" s="4">
        <v>740.49460424491417</v>
      </c>
      <c r="J724" s="4">
        <v>794.8249385750878</v>
      </c>
      <c r="K724" s="4">
        <v>852.98169953871843</v>
      </c>
      <c r="L724" s="4">
        <v>918.67745557348621</v>
      </c>
      <c r="M724" s="4">
        <v>993.11470809693719</v>
      </c>
      <c r="N724" s="4">
        <v>1076.7174294589781</v>
      </c>
      <c r="O724" s="11">
        <f t="shared" si="10"/>
        <v>7.5709379401639798E-2</v>
      </c>
      <c r="P724"/>
      <c r="Q724" s="11"/>
    </row>
    <row r="725" spans="1:17" x14ac:dyDescent="0.35">
      <c r="A725" s="3" t="s">
        <v>38</v>
      </c>
      <c r="B725" s="4">
        <v>134.81878921360484</v>
      </c>
      <c r="C725" s="4">
        <v>144.3124242299819</v>
      </c>
      <c r="D725" s="4">
        <v>155.05236358066099</v>
      </c>
      <c r="E725" s="4">
        <v>166.7026940494946</v>
      </c>
      <c r="F725" s="4">
        <v>179.41260169018042</v>
      </c>
      <c r="G725" s="4">
        <v>193.24074879010041</v>
      </c>
      <c r="H725" s="4">
        <v>208.33562550595101</v>
      </c>
      <c r="I725" s="4">
        <v>224.98588096960697</v>
      </c>
      <c r="J725" s="4">
        <v>243.13510497225465</v>
      </c>
      <c r="K725" s="4">
        <v>263.12313210015208</v>
      </c>
      <c r="L725" s="4">
        <v>284.96327142946865</v>
      </c>
      <c r="M725" s="4">
        <v>308.9641418659337</v>
      </c>
      <c r="N725" s="4">
        <v>335.64075488612593</v>
      </c>
      <c r="O725" s="11">
        <f t="shared" ref="O725:O788" si="11">IFERROR(RATE(2033-2026,,-G725,N725),"")</f>
        <v>8.206590021551731E-2</v>
      </c>
      <c r="P725"/>
      <c r="Q725" s="11"/>
    </row>
    <row r="726" spans="1:17" x14ac:dyDescent="0.35">
      <c r="A726" s="2" t="s">
        <v>22</v>
      </c>
      <c r="O726" s="11" t="str">
        <f t="shared" si="11"/>
        <v/>
      </c>
      <c r="P726"/>
      <c r="Q726" s="11"/>
    </row>
    <row r="727" spans="1:17" x14ac:dyDescent="0.35">
      <c r="A727" s="3" t="s">
        <v>39</v>
      </c>
      <c r="B727" s="4">
        <v>326.8878895580342</v>
      </c>
      <c r="C727" s="4">
        <v>353.55571765373611</v>
      </c>
      <c r="D727" s="4">
        <v>384.59287228777612</v>
      </c>
      <c r="E727" s="4">
        <v>417.37749270205859</v>
      </c>
      <c r="F727" s="4">
        <v>452.25037008454979</v>
      </c>
      <c r="G727" s="4">
        <v>489.1000054893866</v>
      </c>
      <c r="H727" s="4">
        <v>530.91225804215787</v>
      </c>
      <c r="I727" s="4">
        <v>576.91305599433576</v>
      </c>
      <c r="J727" s="4">
        <v>626.45226851121288</v>
      </c>
      <c r="K727" s="4">
        <v>680.286197485613</v>
      </c>
      <c r="L727" s="4">
        <v>739.45429666084647</v>
      </c>
      <c r="M727" s="4">
        <v>805.71506868275674</v>
      </c>
      <c r="N727" s="4">
        <v>880.21067679287216</v>
      </c>
      <c r="O727" s="11">
        <f t="shared" si="11"/>
        <v>8.7565860627259559E-2</v>
      </c>
      <c r="P727"/>
      <c r="Q727" s="11"/>
    </row>
    <row r="728" spans="1:17" x14ac:dyDescent="0.35">
      <c r="A728" s="3" t="s">
        <v>41</v>
      </c>
      <c r="B728" s="4">
        <v>239.92037503098632</v>
      </c>
      <c r="C728" s="4">
        <v>255.43599987330543</v>
      </c>
      <c r="D728" s="4">
        <v>272.24613700717674</v>
      </c>
      <c r="E728" s="4">
        <v>290.34349330745812</v>
      </c>
      <c r="F728" s="4">
        <v>310.02642698535726</v>
      </c>
      <c r="G728" s="4">
        <v>331.48463313964254</v>
      </c>
      <c r="H728" s="4">
        <v>354.72242719705639</v>
      </c>
      <c r="I728" s="4">
        <v>380.35675066783261</v>
      </c>
      <c r="J728" s="4">
        <v>408.35736098238499</v>
      </c>
      <c r="K728" s="4">
        <v>438.79628866038553</v>
      </c>
      <c r="L728" s="4">
        <v>472.33893662229616</v>
      </c>
      <c r="M728" s="4">
        <v>508.90856688897645</v>
      </c>
      <c r="N728" s="4">
        <v>549.07647638864523</v>
      </c>
      <c r="O728" s="11">
        <f t="shared" si="11"/>
        <v>7.4756102338454061E-2</v>
      </c>
      <c r="P728"/>
      <c r="Q728" s="11"/>
    </row>
    <row r="729" spans="1:17" x14ac:dyDescent="0.35">
      <c r="A729" s="3" t="s">
        <v>40</v>
      </c>
      <c r="B729" s="4">
        <v>358.6000642844507</v>
      </c>
      <c r="C729" s="4">
        <v>384.29630497688822</v>
      </c>
      <c r="D729" s="4">
        <v>412.27184339006692</v>
      </c>
      <c r="E729" s="4">
        <v>442.55793172499079</v>
      </c>
      <c r="F729" s="4">
        <v>475.65201378326901</v>
      </c>
      <c r="G729" s="4">
        <v>511.8973284796715</v>
      </c>
      <c r="H729" s="4">
        <v>551.35917797021602</v>
      </c>
      <c r="I729" s="4">
        <v>595.05608763553801</v>
      </c>
      <c r="J729" s="4">
        <v>643.01993593081193</v>
      </c>
      <c r="K729" s="4">
        <v>695.44350851829029</v>
      </c>
      <c r="L729" s="4">
        <v>753.46409795340389</v>
      </c>
      <c r="M729" s="4">
        <v>817.06373265269895</v>
      </c>
      <c r="N729" s="4">
        <v>887.26317579602346</v>
      </c>
      <c r="O729" s="11">
        <f t="shared" si="11"/>
        <v>8.17433342908465E-2</v>
      </c>
      <c r="P729"/>
      <c r="Q729" s="11"/>
    </row>
    <row r="730" spans="1:17" x14ac:dyDescent="0.35">
      <c r="A730" s="3" t="s">
        <v>42</v>
      </c>
      <c r="B730" s="4">
        <v>418.88093789988244</v>
      </c>
      <c r="C730" s="4">
        <v>452.62572935577037</v>
      </c>
      <c r="D730" s="4">
        <v>489.78707851059693</v>
      </c>
      <c r="E730" s="4">
        <v>530.93957428910596</v>
      </c>
      <c r="F730" s="4">
        <v>576.15209602428013</v>
      </c>
      <c r="G730" s="4">
        <v>626.77622631037309</v>
      </c>
      <c r="H730" s="4">
        <v>682.1875449015007</v>
      </c>
      <c r="I730" s="4">
        <v>744.26493538443947</v>
      </c>
      <c r="J730" s="4">
        <v>813.19500326552213</v>
      </c>
      <c r="K730" s="4">
        <v>889.86415697583493</v>
      </c>
      <c r="L730" s="4">
        <v>975.80910691193708</v>
      </c>
      <c r="M730" s="4">
        <v>1072.3910156388549</v>
      </c>
      <c r="N730" s="4">
        <v>1180.526005824968</v>
      </c>
      <c r="O730" s="11">
        <f t="shared" si="11"/>
        <v>9.4662989255100333E-2</v>
      </c>
      <c r="P730"/>
      <c r="Q730" s="11"/>
    </row>
    <row r="731" spans="1:17" x14ac:dyDescent="0.35">
      <c r="A731" s="1" t="s">
        <v>74</v>
      </c>
      <c r="O731" s="11" t="str">
        <f t="shared" si="11"/>
        <v/>
      </c>
      <c r="P731"/>
      <c r="Q731" s="11"/>
    </row>
    <row r="732" spans="1:17" x14ac:dyDescent="0.35">
      <c r="A732" s="2" t="s">
        <v>24</v>
      </c>
      <c r="O732" s="11" t="str">
        <f t="shared" si="11"/>
        <v/>
      </c>
      <c r="P732"/>
      <c r="Q732" s="11"/>
    </row>
    <row r="733" spans="1:17" x14ac:dyDescent="0.35">
      <c r="A733" s="3" t="s">
        <v>25</v>
      </c>
      <c r="B733" s="4">
        <v>70.096218311887725</v>
      </c>
      <c r="C733" s="4">
        <v>74.251465921492269</v>
      </c>
      <c r="D733" s="4">
        <v>78.950314035441238</v>
      </c>
      <c r="E733" s="4">
        <v>84.003094056431721</v>
      </c>
      <c r="F733" s="4">
        <v>89.472066662382431</v>
      </c>
      <c r="G733" s="4">
        <v>95.371497971868422</v>
      </c>
      <c r="H733" s="4">
        <v>101.75908131966725</v>
      </c>
      <c r="I733" s="4">
        <v>108.75825417564563</v>
      </c>
      <c r="J733" s="4">
        <v>116.32018662272127</v>
      </c>
      <c r="K733" s="4">
        <v>124.58717884227761</v>
      </c>
      <c r="L733" s="4">
        <v>133.54062995783474</v>
      </c>
      <c r="M733" s="4">
        <v>143.30056555034079</v>
      </c>
      <c r="N733" s="4">
        <v>154.07727743418678</v>
      </c>
      <c r="O733" s="11">
        <f t="shared" si="11"/>
        <v>7.0927322477754018E-2</v>
      </c>
      <c r="P733"/>
      <c r="Q733" s="11"/>
    </row>
    <row r="734" spans="1:17" x14ac:dyDescent="0.35">
      <c r="A734" s="3" t="s">
        <v>26</v>
      </c>
      <c r="B734" s="4">
        <v>605.6073751206917</v>
      </c>
      <c r="C734" s="4">
        <v>646.14228205536665</v>
      </c>
      <c r="D734" s="4">
        <v>691.97725904233914</v>
      </c>
      <c r="E734" s="4">
        <v>741.55946756408014</v>
      </c>
      <c r="F734" s="4">
        <v>795.51375591311148</v>
      </c>
      <c r="G734" s="4">
        <v>854.05518778797034</v>
      </c>
      <c r="H734" s="4">
        <v>917.7926969233647</v>
      </c>
      <c r="I734" s="4">
        <v>987.94441431202949</v>
      </c>
      <c r="J734" s="4">
        <v>1064.1971121457073</v>
      </c>
      <c r="K734" s="4">
        <v>1147.9754495050918</v>
      </c>
      <c r="L734" s="4">
        <v>1239.2606211483403</v>
      </c>
      <c r="M734" s="4">
        <v>1339.3177072636399</v>
      </c>
      <c r="N734" s="4">
        <v>1450.2895640841612</v>
      </c>
      <c r="O734" s="11">
        <f t="shared" si="11"/>
        <v>7.858079692996206E-2</v>
      </c>
      <c r="P734"/>
      <c r="Q734" s="11"/>
    </row>
    <row r="735" spans="1:17" x14ac:dyDescent="0.35">
      <c r="A735" s="2" t="s">
        <v>27</v>
      </c>
      <c r="O735" s="11" t="str">
        <f t="shared" si="11"/>
        <v/>
      </c>
      <c r="P735"/>
      <c r="Q735" s="11"/>
    </row>
    <row r="736" spans="1:17" x14ac:dyDescent="0.35">
      <c r="A736" s="3" t="s">
        <v>30</v>
      </c>
      <c r="B736" s="4">
        <v>106.80422516509836</v>
      </c>
      <c r="C736" s="4">
        <v>115.50321662831136</v>
      </c>
      <c r="D736" s="4">
        <v>125.04236177787038</v>
      </c>
      <c r="E736" s="4">
        <v>135.45243360812208</v>
      </c>
      <c r="F736" s="4">
        <v>146.90764654753198</v>
      </c>
      <c r="G736" s="4">
        <v>159.54056352600077</v>
      </c>
      <c r="H736" s="4">
        <v>173.40149430255192</v>
      </c>
      <c r="I736" s="4">
        <v>188.84185393225656</v>
      </c>
      <c r="J736" s="4">
        <v>205.91217937810487</v>
      </c>
      <c r="K736" s="4">
        <v>224.71567659141442</v>
      </c>
      <c r="L736" s="4">
        <v>245.66379133771571</v>
      </c>
      <c r="M736" s="4">
        <v>268.80545573490298</v>
      </c>
      <c r="N736" s="4">
        <v>294.53219084205534</v>
      </c>
      <c r="O736" s="11">
        <f t="shared" si="11"/>
        <v>9.153427646957582E-2</v>
      </c>
      <c r="P736"/>
      <c r="Q736" s="11"/>
    </row>
    <row r="737" spans="1:17" x14ac:dyDescent="0.35">
      <c r="A737" s="3" t="s">
        <v>32</v>
      </c>
      <c r="B737" s="4">
        <v>62.61380154408667</v>
      </c>
      <c r="C737" s="4">
        <v>66.209493349470222</v>
      </c>
      <c r="D737" s="4">
        <v>70.029798228881873</v>
      </c>
      <c r="E737" s="4">
        <v>74.111298671473122</v>
      </c>
      <c r="F737" s="4">
        <v>78.498242462446314</v>
      </c>
      <c r="G737" s="4">
        <v>83.200083439818755</v>
      </c>
      <c r="H737" s="4">
        <v>88.206598935257588</v>
      </c>
      <c r="I737" s="4">
        <v>93.593441366089266</v>
      </c>
      <c r="J737" s="4">
        <v>99.454767854457117</v>
      </c>
      <c r="K737" s="4">
        <v>105.74719571845263</v>
      </c>
      <c r="L737" s="4">
        <v>112.5780433962338</v>
      </c>
      <c r="M737" s="4">
        <v>119.96612762868469</v>
      </c>
      <c r="N737" s="4">
        <v>127.96641310251451</v>
      </c>
      <c r="O737" s="11">
        <f t="shared" si="11"/>
        <v>6.3433456081541842E-2</v>
      </c>
      <c r="P737"/>
      <c r="Q737" s="11"/>
    </row>
    <row r="738" spans="1:17" x14ac:dyDescent="0.35">
      <c r="A738" s="3" t="s">
        <v>29</v>
      </c>
      <c r="B738" s="4">
        <v>142.17660290055258</v>
      </c>
      <c r="C738" s="4">
        <v>153.62869670969954</v>
      </c>
      <c r="D738" s="4">
        <v>166.04529436857933</v>
      </c>
      <c r="E738" s="4">
        <v>179.56207956786173</v>
      </c>
      <c r="F738" s="4">
        <v>194.34288663757846</v>
      </c>
      <c r="G738" s="4">
        <v>210.47709131762531</v>
      </c>
      <c r="H738" s="4">
        <v>228.00904811638406</v>
      </c>
      <c r="I738" s="4">
        <v>247.20572450174546</v>
      </c>
      <c r="J738" s="4">
        <v>268.40293896877841</v>
      </c>
      <c r="K738" s="4">
        <v>291.59056651547155</v>
      </c>
      <c r="L738" s="4">
        <v>317.16827380458795</v>
      </c>
      <c r="M738" s="4">
        <v>345.3163870996907</v>
      </c>
      <c r="N738" s="4">
        <v>376.32916054340603</v>
      </c>
      <c r="O738" s="11">
        <f t="shared" si="11"/>
        <v>8.6555370236125195E-2</v>
      </c>
      <c r="P738"/>
      <c r="Q738" s="11"/>
    </row>
    <row r="739" spans="1:17" x14ac:dyDescent="0.35">
      <c r="A739" s="3" t="s">
        <v>31</v>
      </c>
      <c r="B739" s="4">
        <v>76.965368501304795</v>
      </c>
      <c r="C739" s="4">
        <v>82.688060701891359</v>
      </c>
      <c r="D739" s="4">
        <v>88.869026444450697</v>
      </c>
      <c r="E739" s="4">
        <v>95.541116481118195</v>
      </c>
      <c r="F739" s="4">
        <v>102.74685400101485</v>
      </c>
      <c r="G739" s="4">
        <v>110.56265695285019</v>
      </c>
      <c r="H739" s="4">
        <v>119.09630290064474</v>
      </c>
      <c r="I739" s="4">
        <v>128.35726909460757</v>
      </c>
      <c r="J739" s="4">
        <v>138.52994422839694</v>
      </c>
      <c r="K739" s="4">
        <v>149.72613515546962</v>
      </c>
      <c r="L739" s="4">
        <v>162.02370780387537</v>
      </c>
      <c r="M739" s="4">
        <v>175.44085638271508</v>
      </c>
      <c r="N739" s="4">
        <v>190.27611066798553</v>
      </c>
      <c r="O739" s="11">
        <f t="shared" si="11"/>
        <v>8.0643030782561922E-2</v>
      </c>
      <c r="P739"/>
      <c r="Q739" s="11"/>
    </row>
    <row r="740" spans="1:17" x14ac:dyDescent="0.35">
      <c r="A740" s="3" t="s">
        <v>28</v>
      </c>
      <c r="B740" s="4">
        <v>259.09620641706152</v>
      </c>
      <c r="C740" s="4">
        <v>272.4067724968528</v>
      </c>
      <c r="D740" s="4">
        <v>288.87124494179665</v>
      </c>
      <c r="E740" s="4">
        <v>306.54607015271654</v>
      </c>
      <c r="F740" s="4">
        <v>325.67478270778179</v>
      </c>
      <c r="G740" s="4">
        <v>346.16941912216987</v>
      </c>
      <c r="H740" s="4">
        <v>368.49500741796692</v>
      </c>
      <c r="I740" s="4">
        <v>393.26494166998327</v>
      </c>
      <c r="J740" s="4">
        <v>419.40794486224615</v>
      </c>
      <c r="K740" s="4">
        <v>448.28667110009508</v>
      </c>
      <c r="L740" s="4">
        <v>478.86082954548647</v>
      </c>
      <c r="M740" s="4">
        <v>512.23326538635342</v>
      </c>
      <c r="N740" s="4">
        <v>549.66773144055628</v>
      </c>
      <c r="O740" s="11">
        <f t="shared" si="11"/>
        <v>6.82855727621101E-2</v>
      </c>
      <c r="P740"/>
      <c r="Q740" s="11"/>
    </row>
    <row r="741" spans="1:17" x14ac:dyDescent="0.35">
      <c r="A741" s="3" t="s">
        <v>33</v>
      </c>
      <c r="B741" s="4">
        <v>28.047388904475433</v>
      </c>
      <c r="C741" s="4">
        <v>29.957508090633596</v>
      </c>
      <c r="D741" s="4">
        <v>32.069847316201447</v>
      </c>
      <c r="E741" s="4">
        <v>34.349563139220244</v>
      </c>
      <c r="F741" s="4">
        <v>36.81541021914056</v>
      </c>
      <c r="G741" s="4">
        <v>39.476871401373884</v>
      </c>
      <c r="H741" s="4">
        <v>42.343326570226743</v>
      </c>
      <c r="I741" s="4">
        <v>45.439437922992909</v>
      </c>
      <c r="J741" s="4">
        <v>48.80952347644488</v>
      </c>
      <c r="K741" s="4">
        <v>52.496383266466047</v>
      </c>
      <c r="L741" s="4">
        <v>56.506605218275539</v>
      </c>
      <c r="M741" s="4">
        <v>60.856180581633723</v>
      </c>
      <c r="N741" s="4">
        <v>65.595234921830269</v>
      </c>
      <c r="O741" s="11">
        <f t="shared" si="11"/>
        <v>7.5237057121680773E-2</v>
      </c>
      <c r="P741"/>
      <c r="Q741" s="11"/>
    </row>
    <row r="742" spans="1:17" x14ac:dyDescent="0.35">
      <c r="A742" s="2" t="s">
        <v>34</v>
      </c>
      <c r="O742" s="11" t="str">
        <f t="shared" si="11"/>
        <v/>
      </c>
      <c r="P742"/>
      <c r="Q742" s="11"/>
    </row>
    <row r="743" spans="1:17" x14ac:dyDescent="0.35">
      <c r="A743" s="3" t="s">
        <v>36</v>
      </c>
      <c r="B743" s="4">
        <v>242.65894683183933</v>
      </c>
      <c r="C743" s="4">
        <v>260.76004220720364</v>
      </c>
      <c r="D743" s="4">
        <v>281.25539071198801</v>
      </c>
      <c r="E743" s="4">
        <v>303.56318827967476</v>
      </c>
      <c r="F743" s="4">
        <v>327.97574584647805</v>
      </c>
      <c r="G743" s="4">
        <v>354.62430438888214</v>
      </c>
      <c r="H743" s="4">
        <v>383.80683883651267</v>
      </c>
      <c r="I743" s="4">
        <v>416.08399674561463</v>
      </c>
      <c r="J743" s="4">
        <v>451.3867826872268</v>
      </c>
      <c r="K743" s="4">
        <v>490.38055348257149</v>
      </c>
      <c r="L743" s="4">
        <v>533.13219928665592</v>
      </c>
      <c r="M743" s="4">
        <v>580.26187979280292</v>
      </c>
      <c r="N743" s="4">
        <v>632.7866950731692</v>
      </c>
      <c r="O743" s="11">
        <f t="shared" si="11"/>
        <v>8.6242966707748295E-2</v>
      </c>
      <c r="P743"/>
      <c r="Q743" s="11"/>
    </row>
    <row r="744" spans="1:17" x14ac:dyDescent="0.35">
      <c r="A744" s="3" t="s">
        <v>37</v>
      </c>
      <c r="B744" s="4">
        <v>149.80531721660697</v>
      </c>
      <c r="C744" s="4">
        <v>160.85893091551435</v>
      </c>
      <c r="D744" s="4">
        <v>172.79189787510887</v>
      </c>
      <c r="E744" s="4">
        <v>185.66665575004532</v>
      </c>
      <c r="F744" s="4">
        <v>199.56430299077388</v>
      </c>
      <c r="G744" s="4">
        <v>214.63159602730295</v>
      </c>
      <c r="H744" s="4">
        <v>231.07585428644853</v>
      </c>
      <c r="I744" s="4">
        <v>248.9132283287837</v>
      </c>
      <c r="J744" s="4">
        <v>268.49902091489963</v>
      </c>
      <c r="K744" s="4">
        <v>290.04710234527101</v>
      </c>
      <c r="L744" s="4">
        <v>313.70513641473235</v>
      </c>
      <c r="M744" s="4">
        <v>339.50493418278768</v>
      </c>
      <c r="N744" s="4">
        <v>368.02072264891825</v>
      </c>
      <c r="O744" s="11">
        <f t="shared" si="11"/>
        <v>8.0075434251594718E-2</v>
      </c>
      <c r="P744"/>
      <c r="Q744" s="11"/>
    </row>
    <row r="745" spans="1:17" x14ac:dyDescent="0.35">
      <c r="A745" s="3" t="s">
        <v>35</v>
      </c>
      <c r="B745" s="4">
        <v>226.50045132196902</v>
      </c>
      <c r="C745" s="4">
        <v>238.50560317122006</v>
      </c>
      <c r="D745" s="4">
        <v>252.70712660266804</v>
      </c>
      <c r="E745" s="4">
        <v>267.98350976684844</v>
      </c>
      <c r="F745" s="4">
        <v>284.61144054027886</v>
      </c>
      <c r="G745" s="4">
        <v>302.48053684347337</v>
      </c>
      <c r="H745" s="4">
        <v>321.66519403206041</v>
      </c>
      <c r="I745" s="4">
        <v>342.83781122008702</v>
      </c>
      <c r="J745" s="4">
        <v>365.40311358826489</v>
      </c>
      <c r="K745" s="4">
        <v>390.00009130753278</v>
      </c>
      <c r="L745" s="4">
        <v>416.22166969137425</v>
      </c>
      <c r="M745" s="4">
        <v>444.71164045317641</v>
      </c>
      <c r="N745" s="4">
        <v>476.1289761208393</v>
      </c>
      <c r="O745" s="11">
        <f t="shared" si="11"/>
        <v>6.695656409777255E-2</v>
      </c>
      <c r="P745"/>
      <c r="Q745" s="11"/>
    </row>
    <row r="746" spans="1:17" x14ac:dyDescent="0.35">
      <c r="A746" s="3" t="s">
        <v>38</v>
      </c>
      <c r="B746" s="4">
        <v>56.738878062164069</v>
      </c>
      <c r="C746" s="4">
        <v>60.269171682920849</v>
      </c>
      <c r="D746" s="4">
        <v>64.173157888015453</v>
      </c>
      <c r="E746" s="4">
        <v>68.349207823943274</v>
      </c>
      <c r="F746" s="4">
        <v>72.834333197963147</v>
      </c>
      <c r="G746" s="4">
        <v>77.69024850018026</v>
      </c>
      <c r="H746" s="4">
        <v>83.003891088010405</v>
      </c>
      <c r="I746" s="4">
        <v>88.867632193189664</v>
      </c>
      <c r="J746" s="4">
        <v>95.22838157803713</v>
      </c>
      <c r="K746" s="4">
        <v>102.13488121199407</v>
      </c>
      <c r="L746" s="4">
        <v>109.74224571341249</v>
      </c>
      <c r="M746" s="4">
        <v>118.13981838521356</v>
      </c>
      <c r="N746" s="4">
        <v>127.43044767542125</v>
      </c>
      <c r="O746" s="11">
        <f t="shared" si="11"/>
        <v>7.3250147633127413E-2</v>
      </c>
      <c r="P746"/>
      <c r="Q746" s="11"/>
    </row>
    <row r="747" spans="1:17" x14ac:dyDescent="0.35">
      <c r="A747" s="2" t="s">
        <v>22</v>
      </c>
      <c r="O747" s="11" t="str">
        <f t="shared" si="11"/>
        <v/>
      </c>
      <c r="P747"/>
      <c r="Q747" s="11"/>
    </row>
    <row r="748" spans="1:17" x14ac:dyDescent="0.35">
      <c r="A748" s="3" t="s">
        <v>39</v>
      </c>
      <c r="B748" s="4">
        <v>166.4381884249425</v>
      </c>
      <c r="C748" s="4">
        <v>176.03772696989324</v>
      </c>
      <c r="D748" s="4">
        <v>188.39790128106301</v>
      </c>
      <c r="E748" s="4">
        <v>201.85415545863918</v>
      </c>
      <c r="F748" s="4">
        <v>216.64452936648092</v>
      </c>
      <c r="G748" s="4">
        <v>232.60179366442924</v>
      </c>
      <c r="H748" s="4">
        <v>250.09181131050309</v>
      </c>
      <c r="I748" s="4">
        <v>269.75287592538575</v>
      </c>
      <c r="J748" s="4">
        <v>290.63058462320146</v>
      </c>
      <c r="K748" s="4">
        <v>313.78555891395695</v>
      </c>
      <c r="L748" s="4">
        <v>338.33657661982329</v>
      </c>
      <c r="M748" s="4">
        <v>365.60714615002234</v>
      </c>
      <c r="N748" s="4">
        <v>396.51847960038617</v>
      </c>
      <c r="O748" s="11">
        <f t="shared" si="11"/>
        <v>7.9177570447965917E-2</v>
      </c>
      <c r="P748"/>
      <c r="Q748" s="11"/>
    </row>
    <row r="749" spans="1:17" x14ac:dyDescent="0.35">
      <c r="A749" s="3" t="s">
        <v>41</v>
      </c>
      <c r="B749" s="4">
        <v>122.18976426386779</v>
      </c>
      <c r="C749" s="4">
        <v>129.42760772268747</v>
      </c>
      <c r="D749" s="4">
        <v>137.40582947867009</v>
      </c>
      <c r="E749" s="4">
        <v>145.95482551801405</v>
      </c>
      <c r="F749" s="4">
        <v>155.13801469748407</v>
      </c>
      <c r="G749" s="4">
        <v>164.97736583051088</v>
      </c>
      <c r="H749" s="4">
        <v>175.49338130995523</v>
      </c>
      <c r="I749" s="4">
        <v>186.7689008453182</v>
      </c>
      <c r="J749" s="4">
        <v>198.96448090795968</v>
      </c>
      <c r="K749" s="4">
        <v>212.2288129469425</v>
      </c>
      <c r="L749" s="4">
        <v>226.55884454621383</v>
      </c>
      <c r="M749" s="4">
        <v>241.9888171470362</v>
      </c>
      <c r="N749" s="4">
        <v>258.68705845914178</v>
      </c>
      <c r="O749" s="11">
        <f t="shared" si="11"/>
        <v>6.6368213492870587E-2</v>
      </c>
      <c r="P749"/>
      <c r="Q749" s="11"/>
    </row>
    <row r="750" spans="1:17" x14ac:dyDescent="0.35">
      <c r="A750" s="3" t="s">
        <v>40</v>
      </c>
      <c r="B750" s="4">
        <v>179.5668797671531</v>
      </c>
      <c r="C750" s="4">
        <v>191.60981771744687</v>
      </c>
      <c r="D750" s="4">
        <v>204.53636597704488</v>
      </c>
      <c r="E750" s="4">
        <v>218.40193896644405</v>
      </c>
      <c r="F750" s="4">
        <v>233.28226283090018</v>
      </c>
      <c r="G750" s="4">
        <v>249.32765165801354</v>
      </c>
      <c r="H750" s="4">
        <v>266.75472405068444</v>
      </c>
      <c r="I750" s="4">
        <v>285.5536723676164</v>
      </c>
      <c r="J750" s="4">
        <v>306.10362390467157</v>
      </c>
      <c r="K750" s="4">
        <v>328.6126227987848</v>
      </c>
      <c r="L750" s="4">
        <v>353.20804311533902</v>
      </c>
      <c r="M750" s="4">
        <v>379.88311089965498</v>
      </c>
      <c r="N750" s="4">
        <v>409.23756354935949</v>
      </c>
      <c r="O750" s="11">
        <f t="shared" si="11"/>
        <v>7.3355479433528423E-2</v>
      </c>
      <c r="P750"/>
      <c r="Q750" s="11"/>
    </row>
    <row r="751" spans="1:17" x14ac:dyDescent="0.35">
      <c r="A751" s="3" t="s">
        <v>42</v>
      </c>
      <c r="B751" s="4">
        <v>207.50876097661603</v>
      </c>
      <c r="C751" s="4">
        <v>223.31859556683125</v>
      </c>
      <c r="D751" s="4">
        <v>240.58747634100246</v>
      </c>
      <c r="E751" s="4">
        <v>259.35164167741453</v>
      </c>
      <c r="F751" s="4">
        <v>279.92101568062867</v>
      </c>
      <c r="G751" s="4">
        <v>302.51987460688503</v>
      </c>
      <c r="H751" s="4">
        <v>327.21186157188924</v>
      </c>
      <c r="I751" s="4">
        <v>354.62721934935468</v>
      </c>
      <c r="J751" s="4">
        <v>384.81860933259577</v>
      </c>
      <c r="K751" s="4">
        <v>417.9356336876852</v>
      </c>
      <c r="L751" s="4">
        <v>454.69778682479898</v>
      </c>
      <c r="M751" s="4">
        <v>495.13919861726703</v>
      </c>
      <c r="N751" s="4">
        <v>539.92373990946044</v>
      </c>
      <c r="O751" s="11">
        <f t="shared" si="11"/>
        <v>8.6275006931828629E-2</v>
      </c>
      <c r="P751"/>
      <c r="Q751" s="11"/>
    </row>
    <row r="752" spans="1:17" x14ac:dyDescent="0.35">
      <c r="A752" s="1" t="s">
        <v>75</v>
      </c>
      <c r="O752" s="11" t="str">
        <f t="shared" si="11"/>
        <v/>
      </c>
      <c r="P752"/>
      <c r="Q752" s="11"/>
    </row>
    <row r="753" spans="1:17" x14ac:dyDescent="0.35">
      <c r="A753" s="2" t="s">
        <v>24</v>
      </c>
      <c r="O753" s="11" t="str">
        <f t="shared" si="11"/>
        <v/>
      </c>
      <c r="P753"/>
      <c r="Q753" s="11"/>
    </row>
    <row r="754" spans="1:17" x14ac:dyDescent="0.35">
      <c r="A754" s="3" t="s">
        <v>25</v>
      </c>
      <c r="B754" s="4">
        <v>31.557712349994549</v>
      </c>
      <c r="C754" s="4">
        <v>32.575266222841755</v>
      </c>
      <c r="D754" s="4">
        <v>33.708887127303186</v>
      </c>
      <c r="E754" s="4">
        <v>34.892032836572561</v>
      </c>
      <c r="F754" s="4">
        <v>36.135757510846844</v>
      </c>
      <c r="G754" s="4">
        <v>37.461755567455867</v>
      </c>
      <c r="H754" s="4">
        <v>38.901015344386316</v>
      </c>
      <c r="I754" s="4">
        <v>40.483056695652664</v>
      </c>
      <c r="J754" s="4">
        <v>42.167142041933793</v>
      </c>
      <c r="K754" s="4">
        <v>43.961347775875673</v>
      </c>
      <c r="L754" s="4">
        <v>45.91796718458739</v>
      </c>
      <c r="M754" s="4">
        <v>48.055222900942788</v>
      </c>
      <c r="N754" s="4">
        <v>50.393838749659629</v>
      </c>
      <c r="O754" s="11">
        <f t="shared" si="11"/>
        <v>4.3274215023817363E-2</v>
      </c>
      <c r="P754"/>
      <c r="Q754" s="11"/>
    </row>
    <row r="755" spans="1:17" x14ac:dyDescent="0.35">
      <c r="A755" s="3" t="s">
        <v>26</v>
      </c>
      <c r="B755" s="4">
        <v>274.96967686590892</v>
      </c>
      <c r="C755" s="4">
        <v>287.01169660770478</v>
      </c>
      <c r="D755" s="4">
        <v>300.2721796720956</v>
      </c>
      <c r="E755" s="4">
        <v>314.31791220194009</v>
      </c>
      <c r="F755" s="4">
        <v>329.24096150681589</v>
      </c>
      <c r="G755" s="4">
        <v>345.03884939472658</v>
      </c>
      <c r="H755" s="4">
        <v>361.70481686013562</v>
      </c>
      <c r="I755" s="4">
        <v>379.35960709821541</v>
      </c>
      <c r="J755" s="4">
        <v>398.27343160997935</v>
      </c>
      <c r="K755" s="4">
        <v>418.67553615399294</v>
      </c>
      <c r="L755" s="4">
        <v>440.48064124606947</v>
      </c>
      <c r="M755" s="4">
        <v>463.67870722732471</v>
      </c>
      <c r="N755" s="4">
        <v>488.5150672515299</v>
      </c>
      <c r="O755" s="11">
        <f t="shared" si="11"/>
        <v>5.0927731826003762E-2</v>
      </c>
      <c r="P755"/>
      <c r="Q755" s="11"/>
    </row>
    <row r="756" spans="1:17" x14ac:dyDescent="0.35">
      <c r="A756" s="2" t="s">
        <v>27</v>
      </c>
      <c r="O756" s="11" t="str">
        <f t="shared" si="11"/>
        <v/>
      </c>
      <c r="P756"/>
      <c r="Q756" s="11"/>
    </row>
    <row r="757" spans="1:17" x14ac:dyDescent="0.35">
      <c r="A757" s="3" t="s">
        <v>30</v>
      </c>
      <c r="B757" s="4">
        <v>56.241295641608495</v>
      </c>
      <c r="C757" s="4">
        <v>59.020843285596285</v>
      </c>
      <c r="D757" s="4">
        <v>62.028790840510275</v>
      </c>
      <c r="E757" s="4">
        <v>65.309098878977295</v>
      </c>
      <c r="F757" s="4">
        <v>68.83697386292765</v>
      </c>
      <c r="G757" s="4">
        <v>72.741982151554296</v>
      </c>
      <c r="H757" s="4">
        <v>76.907864708459542</v>
      </c>
      <c r="I757" s="4">
        <v>81.511568292198561</v>
      </c>
      <c r="J757" s="4">
        <v>86.522687765628035</v>
      </c>
      <c r="K757" s="4">
        <v>91.986061608758902</v>
      </c>
      <c r="L757" s="4">
        <v>98.006047321353194</v>
      </c>
      <c r="M757" s="4">
        <v>104.65464757229836</v>
      </c>
      <c r="N757" s="4">
        <v>111.94885188353841</v>
      </c>
      <c r="O757" s="11">
        <f t="shared" si="11"/>
        <v>6.3525206580268223E-2</v>
      </c>
      <c r="P757"/>
      <c r="Q757" s="11"/>
    </row>
    <row r="758" spans="1:17" x14ac:dyDescent="0.35">
      <c r="A758" s="3" t="s">
        <v>32</v>
      </c>
      <c r="B758" s="4">
        <v>24.088496799890649</v>
      </c>
      <c r="C758" s="4">
        <v>24.698858787118745</v>
      </c>
      <c r="D758" s="4">
        <v>25.352835425331172</v>
      </c>
      <c r="E758" s="4">
        <v>26.040979070121111</v>
      </c>
      <c r="F758" s="4">
        <v>26.78211350399468</v>
      </c>
      <c r="G758" s="4">
        <v>27.582431211808746</v>
      </c>
      <c r="H758" s="4">
        <v>28.431159204724409</v>
      </c>
      <c r="I758" s="4">
        <v>29.367519292658393</v>
      </c>
      <c r="J758" s="4">
        <v>30.374388490136578</v>
      </c>
      <c r="K758" s="4">
        <v>31.443820648605413</v>
      </c>
      <c r="L758" s="4">
        <v>32.61072725505403</v>
      </c>
      <c r="M758" s="4">
        <v>33.852897889543961</v>
      </c>
      <c r="N758" s="4">
        <v>35.193403130483915</v>
      </c>
      <c r="O758" s="11">
        <f t="shared" si="11"/>
        <v>3.5424384819894066E-2</v>
      </c>
      <c r="P758"/>
      <c r="Q758" s="11"/>
    </row>
    <row r="759" spans="1:17" x14ac:dyDescent="0.35">
      <c r="A759" s="3" t="s">
        <v>29</v>
      </c>
      <c r="B759" s="4">
        <v>60.802683827572892</v>
      </c>
      <c r="C759" s="4">
        <v>63.997220990188005</v>
      </c>
      <c r="D759" s="4">
        <v>67.377116694972827</v>
      </c>
      <c r="E759" s="4">
        <v>70.974734294557607</v>
      </c>
      <c r="F759" s="4">
        <v>74.829152054817328</v>
      </c>
      <c r="G759" s="4">
        <v>78.945526878109817</v>
      </c>
      <c r="H759" s="4">
        <v>83.310212688929298</v>
      </c>
      <c r="I759" s="4">
        <v>87.990884269906232</v>
      </c>
      <c r="J759" s="4">
        <v>93.071328596542699</v>
      </c>
      <c r="K759" s="4">
        <v>98.505032683057806</v>
      </c>
      <c r="L759" s="4">
        <v>104.38666203681315</v>
      </c>
      <c r="M759" s="4">
        <v>110.72702842736473</v>
      </c>
      <c r="N759" s="4">
        <v>117.57004457066249</v>
      </c>
      <c r="O759" s="11">
        <f t="shared" si="11"/>
        <v>5.854635082283665E-2</v>
      </c>
      <c r="P759"/>
      <c r="Q759" s="11"/>
    </row>
    <row r="760" spans="1:17" x14ac:dyDescent="0.35">
      <c r="A760" s="3" t="s">
        <v>31</v>
      </c>
      <c r="B760" s="4">
        <v>34.646368139862801</v>
      </c>
      <c r="C760" s="4">
        <v>36.252059563330214</v>
      </c>
      <c r="D760" s="4">
        <v>37.946533054551061</v>
      </c>
      <c r="E760" s="4">
        <v>39.732631904650781</v>
      </c>
      <c r="F760" s="4">
        <v>41.616408296111786</v>
      </c>
      <c r="G760" s="4">
        <v>43.616475272662342</v>
      </c>
      <c r="H760" s="4">
        <v>45.761308404978074</v>
      </c>
      <c r="I760" s="4">
        <v>48.037995526883932</v>
      </c>
      <c r="J760" s="4">
        <v>50.499647647810008</v>
      </c>
      <c r="K760" s="4">
        <v>53.166659726348406</v>
      </c>
      <c r="L760" s="4">
        <v>56.04429528321841</v>
      </c>
      <c r="M760" s="4">
        <v>59.115568909817561</v>
      </c>
      <c r="N760" s="4">
        <v>62.458607492938107</v>
      </c>
      <c r="O760" s="11">
        <f t="shared" si="11"/>
        <v>5.2633991628806609E-2</v>
      </c>
      <c r="P760"/>
      <c r="Q760" s="11"/>
    </row>
    <row r="761" spans="1:17" x14ac:dyDescent="0.35">
      <c r="A761" s="3" t="s">
        <v>28</v>
      </c>
      <c r="B761" s="4">
        <v>114.49956869312609</v>
      </c>
      <c r="C761" s="4">
        <v>118.71751245346832</v>
      </c>
      <c r="D761" s="4">
        <v>123.65701566111946</v>
      </c>
      <c r="E761" s="4">
        <v>128.77476184044261</v>
      </c>
      <c r="F761" s="4">
        <v>134.12979355138398</v>
      </c>
      <c r="G761" s="4">
        <v>139.5824613382066</v>
      </c>
      <c r="H761" s="4">
        <v>145.27010313701305</v>
      </c>
      <c r="I761" s="4">
        <v>151.06557170826511</v>
      </c>
      <c r="J761" s="4">
        <v>157.09397075661178</v>
      </c>
      <c r="K761" s="4">
        <v>163.56941678437255</v>
      </c>
      <c r="L761" s="4">
        <v>170.22547866751074</v>
      </c>
      <c r="M761" s="4">
        <v>177.02810739605258</v>
      </c>
      <c r="N761" s="4">
        <v>184.06811790706536</v>
      </c>
      <c r="O761" s="11">
        <f t="shared" si="11"/>
        <v>4.0312842750845367E-2</v>
      </c>
      <c r="P761"/>
      <c r="Q761" s="11"/>
    </row>
    <row r="762" spans="1:17" x14ac:dyDescent="0.35">
      <c r="A762" s="3" t="s">
        <v>33</v>
      </c>
      <c r="B762" s="4">
        <v>16.24897611384257</v>
      </c>
      <c r="C762" s="4">
        <v>16.900467750844978</v>
      </c>
      <c r="D762" s="4">
        <v>17.618775122914009</v>
      </c>
      <c r="E762" s="4">
        <v>18.377739049763278</v>
      </c>
      <c r="F762" s="4">
        <v>19.182277748427289</v>
      </c>
      <c r="G762" s="4">
        <v>20.031728109840675</v>
      </c>
      <c r="H762" s="4">
        <v>20.925184060417553</v>
      </c>
      <c r="I762" s="4">
        <v>21.869124703955816</v>
      </c>
      <c r="J762" s="4">
        <v>22.87855039518405</v>
      </c>
      <c r="K762" s="4">
        <v>23.965892478725578</v>
      </c>
      <c r="L762" s="4">
        <v>25.125397866707292</v>
      </c>
      <c r="M762" s="4">
        <v>26.355679933190356</v>
      </c>
      <c r="N762" s="4">
        <v>27.669881016501215</v>
      </c>
      <c r="O762" s="11">
        <f t="shared" si="11"/>
        <v>4.7228053725912024E-2</v>
      </c>
      <c r="P762"/>
      <c r="Q762" s="11"/>
    </row>
    <row r="763" spans="1:17" x14ac:dyDescent="0.35">
      <c r="A763" s="2" t="s">
        <v>34</v>
      </c>
      <c r="O763" s="11" t="str">
        <f t="shared" si="11"/>
        <v/>
      </c>
      <c r="P763"/>
      <c r="Q763" s="11"/>
    </row>
    <row r="764" spans="1:17" x14ac:dyDescent="0.35">
      <c r="A764" s="3" t="s">
        <v>36</v>
      </c>
      <c r="B764" s="4">
        <v>104.211169359387</v>
      </c>
      <c r="C764" s="4">
        <v>109.36115159447371</v>
      </c>
      <c r="D764" s="4">
        <v>115.03203286905064</v>
      </c>
      <c r="E764" s="4">
        <v>121.08447776847751</v>
      </c>
      <c r="F764" s="4">
        <v>127.55301260906604</v>
      </c>
      <c r="G764" s="4">
        <v>134.52506186296856</v>
      </c>
      <c r="H764" s="4">
        <v>141.98010491194046</v>
      </c>
      <c r="I764" s="4">
        <v>150.00843703193428</v>
      </c>
      <c r="J764" s="4">
        <v>158.72434370513182</v>
      </c>
      <c r="K764" s="4">
        <v>168.07399840035271</v>
      </c>
      <c r="L764" s="4">
        <v>178.18173772203988</v>
      </c>
      <c r="M764" s="4">
        <v>189.12381586921546</v>
      </c>
      <c r="N764" s="4">
        <v>201.06971937661456</v>
      </c>
      <c r="O764" s="11">
        <f t="shared" si="11"/>
        <v>5.9094668076949831E-2</v>
      </c>
      <c r="P764"/>
      <c r="Q764" s="11"/>
    </row>
    <row r="765" spans="1:17" x14ac:dyDescent="0.35">
      <c r="A765" s="3" t="s">
        <v>37</v>
      </c>
      <c r="B765" s="4">
        <v>66.101682864993094</v>
      </c>
      <c r="C765" s="4">
        <v>68.871149200780863</v>
      </c>
      <c r="D765" s="4">
        <v>71.932670897478374</v>
      </c>
      <c r="E765" s="4">
        <v>75.151784954628823</v>
      </c>
      <c r="F765" s="4">
        <v>78.555994588797475</v>
      </c>
      <c r="G765" s="4">
        <v>82.196887567564886</v>
      </c>
      <c r="H765" s="4">
        <v>86.148279659666628</v>
      </c>
      <c r="I765" s="4">
        <v>90.483366430215725</v>
      </c>
      <c r="J765" s="4">
        <v>95.120874071567442</v>
      </c>
      <c r="K765" s="4">
        <v>100.08644001970292</v>
      </c>
      <c r="L765" s="4">
        <v>105.50717785368091</v>
      </c>
      <c r="M765" s="4">
        <v>111.43646247427797</v>
      </c>
      <c r="N765" s="4">
        <v>117.93521588947796</v>
      </c>
      <c r="O765" s="11">
        <f t="shared" si="11"/>
        <v>5.292710281492017E-2</v>
      </c>
      <c r="P765"/>
      <c r="Q765" s="11"/>
    </row>
    <row r="766" spans="1:17" x14ac:dyDescent="0.35">
      <c r="A766" s="3" t="s">
        <v>35</v>
      </c>
      <c r="B766" s="4">
        <v>107.55507425705414</v>
      </c>
      <c r="C766" s="4">
        <v>111.77813983126694</v>
      </c>
      <c r="D766" s="4">
        <v>116.44782010160171</v>
      </c>
      <c r="E766" s="4">
        <v>121.32116979023527</v>
      </c>
      <c r="F766" s="4">
        <v>126.45688245201308</v>
      </c>
      <c r="G766" s="4">
        <v>131.67819603229933</v>
      </c>
      <c r="H766" s="4">
        <v>137.0182225224425</v>
      </c>
      <c r="I766" s="4">
        <v>142.38686470227958</v>
      </c>
      <c r="J766" s="4">
        <v>148.00294608968863</v>
      </c>
      <c r="K766" s="4">
        <v>154.11957186782689</v>
      </c>
      <c r="L766" s="4">
        <v>160.41483362394581</v>
      </c>
      <c r="M766" s="4">
        <v>166.74648312823302</v>
      </c>
      <c r="N766" s="4">
        <v>173.15439345467581</v>
      </c>
      <c r="O766" s="11">
        <f t="shared" si="11"/>
        <v>3.9892679757852795E-2</v>
      </c>
      <c r="P766"/>
      <c r="Q766" s="11"/>
    </row>
    <row r="767" spans="1:17" x14ac:dyDescent="0.35">
      <c r="A767" s="3" t="s">
        <v>38</v>
      </c>
      <c r="B767" s="4">
        <v>28.659462734469269</v>
      </c>
      <c r="C767" s="4">
        <v>29.576522204025046</v>
      </c>
      <c r="D767" s="4">
        <v>30.568542931268066</v>
      </c>
      <c r="E767" s="4">
        <v>31.652512525171066</v>
      </c>
      <c r="F767" s="4">
        <v>32.810829367786113</v>
      </c>
      <c r="G767" s="4">
        <v>34.100459499349711</v>
      </c>
      <c r="H767" s="4">
        <v>35.459225110472374</v>
      </c>
      <c r="I767" s="4">
        <v>36.963995629438472</v>
      </c>
      <c r="J767" s="4">
        <v>38.592409785525255</v>
      </c>
      <c r="K767" s="4">
        <v>40.356873641986034</v>
      </c>
      <c r="L767" s="4">
        <v>42.294859230990284</v>
      </c>
      <c r="M767" s="4">
        <v>44.427168656541049</v>
      </c>
      <c r="N767" s="4">
        <v>46.749577280421214</v>
      </c>
      <c r="O767" s="11">
        <f t="shared" si="11"/>
        <v>4.6101735147891079E-2</v>
      </c>
      <c r="P767"/>
      <c r="Q767" s="11"/>
    </row>
    <row r="768" spans="1:17" x14ac:dyDescent="0.35">
      <c r="A768" s="2" t="s">
        <v>22</v>
      </c>
      <c r="O768" s="11" t="str">
        <f t="shared" si="11"/>
        <v/>
      </c>
      <c r="P768"/>
      <c r="Q768" s="11"/>
    </row>
    <row r="769" spans="1:17" x14ac:dyDescent="0.35">
      <c r="A769" s="3" t="s">
        <v>39</v>
      </c>
      <c r="B769" s="4">
        <v>89.446055287410161</v>
      </c>
      <c r="C769" s="4">
        <v>93.947635094939756</v>
      </c>
      <c r="D769" s="4">
        <v>98.868425142916237</v>
      </c>
      <c r="E769" s="4">
        <v>104.11910098318177</v>
      </c>
      <c r="F769" s="4">
        <v>109.72262872100413</v>
      </c>
      <c r="G769" s="4">
        <v>115.59458592479837</v>
      </c>
      <c r="H769" s="4">
        <v>121.61075068360435</v>
      </c>
      <c r="I769" s="4">
        <v>127.7398413833356</v>
      </c>
      <c r="J769" s="4">
        <v>134.31192794420161</v>
      </c>
      <c r="K769" s="4">
        <v>141.45378014750969</v>
      </c>
      <c r="L769" s="4">
        <v>148.89720204566243</v>
      </c>
      <c r="M769" s="4">
        <v>156.54835200296316</v>
      </c>
      <c r="N769" s="4">
        <v>164.48716486349178</v>
      </c>
      <c r="O769" s="11">
        <f t="shared" si="11"/>
        <v>5.1683188504836282E-2</v>
      </c>
      <c r="P769"/>
      <c r="Q769" s="11"/>
    </row>
    <row r="770" spans="1:17" x14ac:dyDescent="0.35">
      <c r="A770" s="3" t="s">
        <v>41</v>
      </c>
      <c r="B770" s="4">
        <v>54.006706793715317</v>
      </c>
      <c r="C770" s="4">
        <v>55.502751677520081</v>
      </c>
      <c r="D770" s="4">
        <v>57.182094165246482</v>
      </c>
      <c r="E770" s="4">
        <v>58.929338682099839</v>
      </c>
      <c r="F770" s="4">
        <v>60.762148372637313</v>
      </c>
      <c r="G770" s="4">
        <v>62.715759238882548</v>
      </c>
      <c r="H770" s="4">
        <v>64.840338090362437</v>
      </c>
      <c r="I770" s="4">
        <v>67.182711818997149</v>
      </c>
      <c r="J770" s="4">
        <v>69.672276736742859</v>
      </c>
      <c r="K770" s="4">
        <v>72.320291913398165</v>
      </c>
      <c r="L770" s="4">
        <v>75.210543009773886</v>
      </c>
      <c r="M770" s="4">
        <v>78.369533108347284</v>
      </c>
      <c r="N770" s="4">
        <v>81.827357415670846</v>
      </c>
      <c r="O770" s="11">
        <f t="shared" si="11"/>
        <v>3.8731065323644183E-2</v>
      </c>
      <c r="P770"/>
      <c r="Q770" s="11"/>
    </row>
    <row r="771" spans="1:17" x14ac:dyDescent="0.35">
      <c r="A771" s="3" t="s">
        <v>40</v>
      </c>
      <c r="B771" s="4">
        <v>77.763713275494638</v>
      </c>
      <c r="C771" s="4">
        <v>80.764196554095975</v>
      </c>
      <c r="D771" s="4">
        <v>84.074924375352538</v>
      </c>
      <c r="E771" s="4">
        <v>87.569691749934265</v>
      </c>
      <c r="F771" s="4">
        <v>91.271104410612139</v>
      </c>
      <c r="G771" s="4">
        <v>95.175078149341928</v>
      </c>
      <c r="H771" s="4">
        <v>99.276395039870764</v>
      </c>
      <c r="I771" s="4">
        <v>103.60490217605583</v>
      </c>
      <c r="J771" s="4">
        <v>108.23064056058229</v>
      </c>
      <c r="K771" s="4">
        <v>113.21109034384467</v>
      </c>
      <c r="L771" s="4">
        <v>118.51749586128362</v>
      </c>
      <c r="M771" s="4">
        <v>124.14185919037332</v>
      </c>
      <c r="N771" s="4">
        <v>130.14465877242483</v>
      </c>
      <c r="O771" s="11">
        <f t="shared" si="11"/>
        <v>4.5718351431446598E-2</v>
      </c>
      <c r="P771"/>
      <c r="Q771" s="11"/>
    </row>
    <row r="772" spans="1:17" x14ac:dyDescent="0.35">
      <c r="A772" s="3" t="s">
        <v>42</v>
      </c>
      <c r="B772" s="4">
        <v>85.310913859283389</v>
      </c>
      <c r="C772" s="4">
        <v>89.372379503990743</v>
      </c>
      <c r="D772" s="4">
        <v>93.855623115883532</v>
      </c>
      <c r="E772" s="4">
        <v>98.591813623296815</v>
      </c>
      <c r="F772" s="4">
        <v>103.62083751340913</v>
      </c>
      <c r="G772" s="4">
        <v>109.01518164915964</v>
      </c>
      <c r="H772" s="4">
        <v>114.87834839068439</v>
      </c>
      <c r="I772" s="4">
        <v>121.31520841547945</v>
      </c>
      <c r="J772" s="4">
        <v>128.22572841038641</v>
      </c>
      <c r="K772" s="4">
        <v>135.65172152511605</v>
      </c>
      <c r="L772" s="4">
        <v>143.77336751393696</v>
      </c>
      <c r="M772" s="4">
        <v>152.67418582658377</v>
      </c>
      <c r="N772" s="4">
        <v>162.44972494960209</v>
      </c>
      <c r="O772" s="11">
        <f t="shared" si="11"/>
        <v>5.8637876201212719E-2</v>
      </c>
      <c r="P772"/>
      <c r="Q772" s="11"/>
    </row>
    <row r="773" spans="1:17" x14ac:dyDescent="0.35">
      <c r="A773" s="1" t="s">
        <v>76</v>
      </c>
      <c r="O773" s="11" t="str">
        <f t="shared" si="11"/>
        <v/>
      </c>
      <c r="P773"/>
      <c r="Q773" s="11"/>
    </row>
    <row r="774" spans="1:17" x14ac:dyDescent="0.35">
      <c r="A774" s="2" t="s">
        <v>24</v>
      </c>
      <c r="O774" s="11" t="str">
        <f t="shared" si="11"/>
        <v/>
      </c>
      <c r="P774"/>
      <c r="Q774" s="11"/>
    </row>
    <row r="775" spans="1:17" x14ac:dyDescent="0.35">
      <c r="A775" s="3" t="s">
        <v>25</v>
      </c>
      <c r="B775" s="4">
        <v>27.237348365897127</v>
      </c>
      <c r="C775" s="4">
        <v>28.216695205271023</v>
      </c>
      <c r="D775" s="4">
        <v>29.303372504511039</v>
      </c>
      <c r="E775" s="4">
        <v>30.44065780581295</v>
      </c>
      <c r="F775" s="4">
        <v>31.638703253681481</v>
      </c>
      <c r="G775" s="4">
        <v>32.917119062060095</v>
      </c>
      <c r="H775" s="4">
        <v>34.303958381442058</v>
      </c>
      <c r="I775" s="4">
        <v>35.826374486971496</v>
      </c>
      <c r="J775" s="4">
        <v>37.44972351738727</v>
      </c>
      <c r="K775" s="4">
        <v>39.182209873506807</v>
      </c>
      <c r="L775" s="4">
        <v>41.071557488779668</v>
      </c>
      <c r="M775" s="4">
        <v>43.135686285317703</v>
      </c>
      <c r="N775" s="4">
        <v>45.395003301384584</v>
      </c>
      <c r="O775" s="11">
        <f t="shared" si="11"/>
        <v>4.6986038748870577E-2</v>
      </c>
      <c r="P775"/>
      <c r="Q775" s="11"/>
    </row>
    <row r="776" spans="1:17" x14ac:dyDescent="0.35">
      <c r="A776" s="3" t="s">
        <v>26</v>
      </c>
      <c r="B776" s="4">
        <v>296.59296685380508</v>
      </c>
      <c r="C776" s="4">
        <v>309.80718912736921</v>
      </c>
      <c r="D776" s="4">
        <v>323.96323474681429</v>
      </c>
      <c r="E776" s="4">
        <v>338.98143902030927</v>
      </c>
      <c r="F776" s="4">
        <v>355.14251011650782</v>
      </c>
      <c r="G776" s="4">
        <v>372.57916125430518</v>
      </c>
      <c r="H776" s="4">
        <v>391.20278173972787</v>
      </c>
      <c r="I776" s="4">
        <v>411.60375812457232</v>
      </c>
      <c r="J776" s="4">
        <v>433.62464234920708</v>
      </c>
      <c r="K776" s="4">
        <v>457.22398037619115</v>
      </c>
      <c r="L776" s="4">
        <v>482.97753851840673</v>
      </c>
      <c r="M776" s="4">
        <v>510.65501666352333</v>
      </c>
      <c r="N776" s="4">
        <v>540.68817998815371</v>
      </c>
      <c r="O776" s="11">
        <f t="shared" si="11"/>
        <v>5.4639528670981055E-2</v>
      </c>
      <c r="P776"/>
      <c r="Q776" s="11"/>
    </row>
    <row r="777" spans="1:17" x14ac:dyDescent="0.35">
      <c r="A777" s="2" t="s">
        <v>27</v>
      </c>
      <c r="O777" s="11" t="str">
        <f t="shared" si="11"/>
        <v/>
      </c>
      <c r="P777"/>
      <c r="Q777" s="11"/>
    </row>
    <row r="778" spans="1:17" x14ac:dyDescent="0.35">
      <c r="A778" s="3" t="s">
        <v>30</v>
      </c>
      <c r="B778" s="4">
        <v>57.670830252786558</v>
      </c>
      <c r="C778" s="4">
        <v>60.980766953711409</v>
      </c>
      <c r="D778" s="4">
        <v>64.629216285150349</v>
      </c>
      <c r="E778" s="4">
        <v>68.545112502433199</v>
      </c>
      <c r="F778" s="4">
        <v>72.7535462349326</v>
      </c>
      <c r="G778" s="4">
        <v>77.310457204926081</v>
      </c>
      <c r="H778" s="4">
        <v>82.211351789914985</v>
      </c>
      <c r="I778" s="4">
        <v>87.515657671920309</v>
      </c>
      <c r="J778" s="4">
        <v>93.298487743133322</v>
      </c>
      <c r="K778" s="4">
        <v>99.538278327951843</v>
      </c>
      <c r="L778" s="4">
        <v>106.31818002681135</v>
      </c>
      <c r="M778" s="4">
        <v>113.69501760243162</v>
      </c>
      <c r="N778" s="4">
        <v>121.78320666769835</v>
      </c>
      <c r="O778" s="11">
        <f t="shared" si="11"/>
        <v>6.7069576157187477E-2</v>
      </c>
      <c r="P778"/>
      <c r="Q778" s="11"/>
    </row>
    <row r="779" spans="1:17" x14ac:dyDescent="0.35">
      <c r="A779" s="3" t="s">
        <v>32</v>
      </c>
      <c r="B779" s="4">
        <v>28.300646077761112</v>
      </c>
      <c r="C779" s="4">
        <v>29.192081993647658</v>
      </c>
      <c r="D779" s="4">
        <v>30.139962647082072</v>
      </c>
      <c r="E779" s="4">
        <v>31.137788612359504</v>
      </c>
      <c r="F779" s="4">
        <v>32.180196952399754</v>
      </c>
      <c r="G779" s="4">
        <v>33.280091914528377</v>
      </c>
      <c r="H779" s="4">
        <v>34.468630380581423</v>
      </c>
      <c r="I779" s="4">
        <v>35.732395167889266</v>
      </c>
      <c r="J779" s="4">
        <v>37.089410847234753</v>
      </c>
      <c r="K779" s="4">
        <v>38.535778716434308</v>
      </c>
      <c r="L779" s="4">
        <v>40.065403694656986</v>
      </c>
      <c r="M779" s="4">
        <v>41.713278492872654</v>
      </c>
      <c r="N779" s="4">
        <v>43.491261704877601</v>
      </c>
      <c r="O779" s="11">
        <f t="shared" si="11"/>
        <v>3.8968782221424698E-2</v>
      </c>
      <c r="P779"/>
      <c r="Q779" s="11"/>
    </row>
    <row r="780" spans="1:17" x14ac:dyDescent="0.35">
      <c r="A780" s="3" t="s">
        <v>29</v>
      </c>
      <c r="B780" s="4">
        <v>64.06364398323916</v>
      </c>
      <c r="C780" s="4">
        <v>67.656573647723164</v>
      </c>
      <c r="D780" s="4">
        <v>71.469529498885038</v>
      </c>
      <c r="E780" s="4">
        <v>75.538975061498675</v>
      </c>
      <c r="F780" s="4">
        <v>79.908998682281108</v>
      </c>
      <c r="G780" s="4">
        <v>84.588042403434827</v>
      </c>
      <c r="H780" s="4">
        <v>89.564496820334654</v>
      </c>
      <c r="I780" s="4">
        <v>94.914004259943354</v>
      </c>
      <c r="J780" s="4">
        <v>100.73058564560367</v>
      </c>
      <c r="K780" s="4">
        <v>106.96847743539971</v>
      </c>
      <c r="L780" s="4">
        <v>113.73458301234587</v>
      </c>
      <c r="M780" s="4">
        <v>121.04584946840589</v>
      </c>
      <c r="N780" s="4">
        <v>128.95560484967552</v>
      </c>
      <c r="O780" s="11">
        <f t="shared" si="11"/>
        <v>6.2090702172467621E-2</v>
      </c>
      <c r="P780"/>
      <c r="Q780" s="11"/>
    </row>
    <row r="781" spans="1:17" x14ac:dyDescent="0.35">
      <c r="A781" s="3" t="s">
        <v>31</v>
      </c>
      <c r="B781" s="4">
        <v>44.63839771433603</v>
      </c>
      <c r="C781" s="4">
        <v>46.714189259576315</v>
      </c>
      <c r="D781" s="4">
        <v>49.000301435195176</v>
      </c>
      <c r="E781" s="4">
        <v>51.43556541296833</v>
      </c>
      <c r="F781" s="4">
        <v>54.033335507815437</v>
      </c>
      <c r="G781" s="4">
        <v>56.829218681813018</v>
      </c>
      <c r="H781" s="4">
        <v>59.812818727021799</v>
      </c>
      <c r="I781" s="4">
        <v>63.020528266037466</v>
      </c>
      <c r="J781" s="4">
        <v>66.498406595452764</v>
      </c>
      <c r="K781" s="4">
        <v>70.221562064694368</v>
      </c>
      <c r="L781" s="4">
        <v>74.239800318989751</v>
      </c>
      <c r="M781" s="4">
        <v>78.582331919375974</v>
      </c>
      <c r="N781" s="4">
        <v>83.316769545693589</v>
      </c>
      <c r="O781" s="11">
        <f t="shared" si="11"/>
        <v>5.6178319164438516E-2</v>
      </c>
      <c r="P781"/>
      <c r="Q781" s="11"/>
    </row>
    <row r="782" spans="1:17" x14ac:dyDescent="0.35">
      <c r="A782" s="3" t="s">
        <v>28</v>
      </c>
      <c r="B782" s="4">
        <v>109.93285917165369</v>
      </c>
      <c r="C782" s="4">
        <v>113.46479552488751</v>
      </c>
      <c r="D782" s="4">
        <v>117.14581919937419</v>
      </c>
      <c r="E782" s="4">
        <v>120.97723611054272</v>
      </c>
      <c r="F782" s="4">
        <v>125.16240064659326</v>
      </c>
      <c r="G782" s="4">
        <v>129.72777098786014</v>
      </c>
      <c r="H782" s="4">
        <v>134.60658233060951</v>
      </c>
      <c r="I782" s="4">
        <v>140.20450887762047</v>
      </c>
      <c r="J782" s="4">
        <v>146.13475187449507</v>
      </c>
      <c r="K782" s="4">
        <v>152.44207764861733</v>
      </c>
      <c r="L782" s="4">
        <v>159.49402991850877</v>
      </c>
      <c r="M782" s="4">
        <v>166.92680914746308</v>
      </c>
      <c r="N782" s="4">
        <v>174.93010872271418</v>
      </c>
      <c r="O782" s="11">
        <f t="shared" si="11"/>
        <v>4.3631965959328382E-2</v>
      </c>
      <c r="P782"/>
      <c r="Q782" s="11"/>
    </row>
    <row r="783" spans="1:17" x14ac:dyDescent="0.35">
      <c r="A783" s="3" t="s">
        <v>33</v>
      </c>
      <c r="B783" s="4">
        <v>19.223938019925644</v>
      </c>
      <c r="C783" s="4">
        <v>20.015476953094211</v>
      </c>
      <c r="D783" s="4">
        <v>20.881778185638517</v>
      </c>
      <c r="E783" s="4">
        <v>21.787419126319794</v>
      </c>
      <c r="F783" s="4">
        <v>22.742735346167127</v>
      </c>
      <c r="G783" s="4">
        <v>23.760699123802837</v>
      </c>
      <c r="H783" s="4">
        <v>24.842860072707538</v>
      </c>
      <c r="I783" s="4">
        <v>26.043038368132915</v>
      </c>
      <c r="J783" s="4">
        <v>27.322723160674723</v>
      </c>
      <c r="K783" s="4">
        <v>28.700016056600333</v>
      </c>
      <c r="L783" s="4">
        <v>30.197099035873773</v>
      </c>
      <c r="M783" s="4">
        <v>31.827416318291878</v>
      </c>
      <c r="N783" s="4">
        <v>33.606231798879023</v>
      </c>
      <c r="O783" s="11">
        <f t="shared" si="11"/>
        <v>5.0772401808597746E-2</v>
      </c>
      <c r="P783"/>
      <c r="Q783" s="11"/>
    </row>
    <row r="784" spans="1:17" x14ac:dyDescent="0.35">
      <c r="A784" s="2" t="s">
        <v>34</v>
      </c>
      <c r="O784" s="11" t="str">
        <f t="shared" si="11"/>
        <v/>
      </c>
      <c r="P784"/>
      <c r="Q784" s="11"/>
    </row>
    <row r="785" spans="1:17" x14ac:dyDescent="0.35">
      <c r="A785" s="3" t="s">
        <v>36</v>
      </c>
      <c r="B785" s="4">
        <v>111.20709877249455</v>
      </c>
      <c r="C785" s="4">
        <v>117.38412209372858</v>
      </c>
      <c r="D785" s="4">
        <v>124.18689868874826</v>
      </c>
      <c r="E785" s="4">
        <v>131.45529743324661</v>
      </c>
      <c r="F785" s="4">
        <v>139.24123681326813</v>
      </c>
      <c r="G785" s="4">
        <v>147.55867101101987</v>
      </c>
      <c r="H785" s="4">
        <v>156.42000395250165</v>
      </c>
      <c r="I785" s="4">
        <v>165.89298284595452</v>
      </c>
      <c r="J785" s="4">
        <v>176.11339692152964</v>
      </c>
      <c r="K785" s="4">
        <v>187.20459761925733</v>
      </c>
      <c r="L785" s="4">
        <v>199.15431400701942</v>
      </c>
      <c r="M785" s="4">
        <v>211.98315394148958</v>
      </c>
      <c r="N785" s="4">
        <v>225.82882537876117</v>
      </c>
      <c r="O785" s="11">
        <f t="shared" si="11"/>
        <v>6.2678983103696864E-2</v>
      </c>
      <c r="P785"/>
      <c r="Q785" s="11"/>
    </row>
    <row r="786" spans="1:17" x14ac:dyDescent="0.35">
      <c r="A786" s="3" t="s">
        <v>37</v>
      </c>
      <c r="B786" s="4">
        <v>68.055547965081971</v>
      </c>
      <c r="C786" s="4">
        <v>71.473476086832022</v>
      </c>
      <c r="D786" s="4">
        <v>75.091385186707981</v>
      </c>
      <c r="E786" s="4">
        <v>78.917012876806254</v>
      </c>
      <c r="F786" s="4">
        <v>82.9645702679056</v>
      </c>
      <c r="G786" s="4">
        <v>87.273504582496443</v>
      </c>
      <c r="H786" s="4">
        <v>91.903564991051596</v>
      </c>
      <c r="I786" s="4">
        <v>96.832244723263258</v>
      </c>
      <c r="J786" s="4">
        <v>102.16976589932858</v>
      </c>
      <c r="K786" s="4">
        <v>107.96176515052026</v>
      </c>
      <c r="L786" s="4">
        <v>114.22379348361345</v>
      </c>
      <c r="M786" s="4">
        <v>120.92625030958557</v>
      </c>
      <c r="N786" s="4">
        <v>128.23362573945937</v>
      </c>
      <c r="O786" s="11">
        <f t="shared" si="11"/>
        <v>5.6511467092820615E-2</v>
      </c>
      <c r="P786"/>
      <c r="Q786" s="11"/>
    </row>
    <row r="787" spans="1:17" x14ac:dyDescent="0.35">
      <c r="A787" s="3" t="s">
        <v>35</v>
      </c>
      <c r="B787" s="4">
        <v>111.4418609224268</v>
      </c>
      <c r="C787" s="4">
        <v>114.71251748973947</v>
      </c>
      <c r="D787" s="4">
        <v>118.08076650490136</v>
      </c>
      <c r="E787" s="4">
        <v>121.62392605303961</v>
      </c>
      <c r="F787" s="4">
        <v>125.54918185996343</v>
      </c>
      <c r="G787" s="4">
        <v>129.93346000090747</v>
      </c>
      <c r="H787" s="4">
        <v>134.64172678754153</v>
      </c>
      <c r="I787" s="4">
        <v>140.15445975475461</v>
      </c>
      <c r="J787" s="4">
        <v>146.10006112373787</v>
      </c>
      <c r="K787" s="4">
        <v>152.24578059273244</v>
      </c>
      <c r="L787" s="4">
        <v>159.17447737172233</v>
      </c>
      <c r="M787" s="4">
        <v>166.66046938290879</v>
      </c>
      <c r="N787" s="4">
        <v>174.82842939355828</v>
      </c>
      <c r="O787" s="11">
        <f t="shared" si="11"/>
        <v>4.3309129039396412E-2</v>
      </c>
      <c r="P787"/>
      <c r="Q787" s="11"/>
    </row>
    <row r="788" spans="1:17" x14ac:dyDescent="0.35">
      <c r="A788" s="3" t="s">
        <v>38</v>
      </c>
      <c r="B788" s="4">
        <v>33.125807559698863</v>
      </c>
      <c r="C788" s="4">
        <v>34.453768662340181</v>
      </c>
      <c r="D788" s="4">
        <v>35.907556870967774</v>
      </c>
      <c r="E788" s="4">
        <v>37.425860463029778</v>
      </c>
      <c r="F788" s="4">
        <v>39.026224429052093</v>
      </c>
      <c r="G788" s="4">
        <v>40.730644721941509</v>
      </c>
      <c r="H788" s="4">
        <v>42.541444390075149</v>
      </c>
      <c r="I788" s="4">
        <v>44.550445287571414</v>
      </c>
      <c r="J788" s="4">
        <v>46.691141921998216</v>
      </c>
      <c r="K788" s="4">
        <v>48.994046887187892</v>
      </c>
      <c r="L788" s="4">
        <v>51.49651114483121</v>
      </c>
      <c r="M788" s="4">
        <v>54.220829314857099</v>
      </c>
      <c r="N788" s="4">
        <v>57.192302777759409</v>
      </c>
      <c r="O788" s="11">
        <f t="shared" si="11"/>
        <v>4.9686160307018619E-2</v>
      </c>
      <c r="P788"/>
      <c r="Q788" s="11"/>
    </row>
    <row r="789" spans="1:17" x14ac:dyDescent="0.35">
      <c r="A789" s="2" t="s">
        <v>22</v>
      </c>
      <c r="O789" s="11" t="str">
        <f t="shared" ref="O789:O852" si="12">IFERROR(RATE(2033-2026,,-G789,N789),"")</f>
        <v/>
      </c>
      <c r="P789"/>
      <c r="Q789" s="11"/>
    </row>
    <row r="790" spans="1:17" x14ac:dyDescent="0.35">
      <c r="A790" s="3" t="s">
        <v>39</v>
      </c>
      <c r="B790" s="4">
        <v>74.061116147138648</v>
      </c>
      <c r="C790" s="4">
        <v>77.711743103976119</v>
      </c>
      <c r="D790" s="4">
        <v>81.165461832624601</v>
      </c>
      <c r="E790" s="4">
        <v>84.83044719694243</v>
      </c>
      <c r="F790" s="4">
        <v>88.88232283246947</v>
      </c>
      <c r="G790" s="4">
        <v>93.347459610223439</v>
      </c>
      <c r="H790" s="4">
        <v>98.018916040459317</v>
      </c>
      <c r="I790" s="4">
        <v>103.2333676171769</v>
      </c>
      <c r="J790" s="4">
        <v>108.94214533662989</v>
      </c>
      <c r="K790" s="4">
        <v>114.97953292010561</v>
      </c>
      <c r="L790" s="4">
        <v>121.74349406317077</v>
      </c>
      <c r="M790" s="4">
        <v>128.79836035350934</v>
      </c>
      <c r="N790" s="4">
        <v>136.22968554416229</v>
      </c>
      <c r="O790" s="11">
        <f t="shared" si="12"/>
        <v>5.5486663291048406E-2</v>
      </c>
      <c r="P790"/>
      <c r="Q790" s="11"/>
    </row>
    <row r="791" spans="1:17" x14ac:dyDescent="0.35">
      <c r="A791" s="3" t="s">
        <v>41</v>
      </c>
      <c r="B791" s="4">
        <v>65.089834912169508</v>
      </c>
      <c r="C791" s="4">
        <v>67.245073190577926</v>
      </c>
      <c r="D791" s="4">
        <v>69.635477881103597</v>
      </c>
      <c r="E791" s="4">
        <v>72.163825956203283</v>
      </c>
      <c r="F791" s="4">
        <v>74.842164787131622</v>
      </c>
      <c r="G791" s="4">
        <v>77.71258969782815</v>
      </c>
      <c r="H791" s="4">
        <v>80.751970715620033</v>
      </c>
      <c r="I791" s="4">
        <v>84.001309296856135</v>
      </c>
      <c r="J791" s="4">
        <v>87.512211969298178</v>
      </c>
      <c r="K791" s="4">
        <v>91.240058494111835</v>
      </c>
      <c r="L791" s="4">
        <v>95.239261577919365</v>
      </c>
      <c r="M791" s="4">
        <v>99.534807756028002</v>
      </c>
      <c r="N791" s="4">
        <v>104.19875916447654</v>
      </c>
      <c r="O791" s="11">
        <f t="shared" si="12"/>
        <v>4.2787654166672906E-2</v>
      </c>
      <c r="P791"/>
      <c r="Q791" s="11"/>
    </row>
    <row r="792" spans="1:17" x14ac:dyDescent="0.35">
      <c r="A792" s="3" t="s">
        <v>40</v>
      </c>
      <c r="B792" s="4">
        <v>85.217542685806805</v>
      </c>
      <c r="C792" s="4">
        <v>88.466617035313121</v>
      </c>
      <c r="D792" s="4">
        <v>92.193762264617504</v>
      </c>
      <c r="E792" s="4">
        <v>96.143999408584264</v>
      </c>
      <c r="F792" s="4">
        <v>100.36972486956412</v>
      </c>
      <c r="G792" s="4">
        <v>104.86464645624046</v>
      </c>
      <c r="H792" s="4">
        <v>109.66990500654225</v>
      </c>
      <c r="I792" s="4">
        <v>114.89341983156358</v>
      </c>
      <c r="J792" s="4">
        <v>120.45166024957085</v>
      </c>
      <c r="K792" s="4">
        <v>126.46444200237097</v>
      </c>
      <c r="L792" s="4">
        <v>132.87777949786891</v>
      </c>
      <c r="M792" s="4">
        <v>139.77858972990876</v>
      </c>
      <c r="N792" s="4">
        <v>147.33378765619943</v>
      </c>
      <c r="O792" s="11">
        <f t="shared" si="12"/>
        <v>4.9774887734051886E-2</v>
      </c>
      <c r="P792"/>
      <c r="Q792" s="11"/>
    </row>
    <row r="793" spans="1:17" x14ac:dyDescent="0.35">
      <c r="A793" s="3" t="s">
        <v>42</v>
      </c>
      <c r="B793" s="4">
        <v>99.461821474587211</v>
      </c>
      <c r="C793" s="4">
        <v>104.60045100277304</v>
      </c>
      <c r="D793" s="4">
        <v>110.27190527297964</v>
      </c>
      <c r="E793" s="4">
        <v>116.28382426439225</v>
      </c>
      <c r="F793" s="4">
        <v>122.68700088102403</v>
      </c>
      <c r="G793" s="4">
        <v>129.57158455207326</v>
      </c>
      <c r="H793" s="4">
        <v>137.06594835854833</v>
      </c>
      <c r="I793" s="4">
        <v>145.30203586594718</v>
      </c>
      <c r="J793" s="4">
        <v>154.16834831109543</v>
      </c>
      <c r="K793" s="4">
        <v>163.72215683310952</v>
      </c>
      <c r="L793" s="4">
        <v>174.1885608682274</v>
      </c>
      <c r="M793" s="4">
        <v>185.6789451093949</v>
      </c>
      <c r="N793" s="4">
        <v>198.32095092469999</v>
      </c>
      <c r="O793" s="11">
        <f t="shared" si="12"/>
        <v>6.2694428728173615E-2</v>
      </c>
      <c r="P793"/>
      <c r="Q793" s="11"/>
    </row>
    <row r="794" spans="1:17" x14ac:dyDescent="0.35">
      <c r="A794" s="1" t="s">
        <v>77</v>
      </c>
      <c r="O794" s="11" t="str">
        <f t="shared" si="12"/>
        <v/>
      </c>
      <c r="P794"/>
      <c r="Q794" s="11"/>
    </row>
    <row r="795" spans="1:17" x14ac:dyDescent="0.35">
      <c r="A795" s="2" t="s">
        <v>24</v>
      </c>
      <c r="O795" s="11" t="str">
        <f t="shared" si="12"/>
        <v/>
      </c>
      <c r="P795"/>
      <c r="Q795" s="11"/>
    </row>
    <row r="796" spans="1:17" x14ac:dyDescent="0.35">
      <c r="A796" s="3" t="s">
        <v>25</v>
      </c>
      <c r="B796" s="4">
        <v>40.325758925594975</v>
      </c>
      <c r="C796" s="4">
        <v>42.31483652220362</v>
      </c>
      <c r="D796" s="4">
        <v>44.505100822164785</v>
      </c>
      <c r="E796" s="4">
        <v>46.842589709506775</v>
      </c>
      <c r="F796" s="4">
        <v>49.340620167227605</v>
      </c>
      <c r="G796" s="4">
        <v>52.032966717898731</v>
      </c>
      <c r="H796" s="4">
        <v>54.91163977734336</v>
      </c>
      <c r="I796" s="4">
        <v>58.011511255611353</v>
      </c>
      <c r="J796" s="4">
        <v>61.376718206556305</v>
      </c>
      <c r="K796" s="4">
        <v>64.986375226119065</v>
      </c>
      <c r="L796" s="4">
        <v>68.888491611987433</v>
      </c>
      <c r="M796" s="4">
        <v>73.112470074364666</v>
      </c>
      <c r="N796" s="4">
        <v>77.723745137495854</v>
      </c>
      <c r="O796" s="11">
        <f t="shared" si="12"/>
        <v>5.9001187825063056E-2</v>
      </c>
      <c r="P796"/>
      <c r="Q796" s="11"/>
    </row>
    <row r="797" spans="1:17" x14ac:dyDescent="0.35">
      <c r="A797" s="3" t="s">
        <v>26</v>
      </c>
      <c r="B797" s="4">
        <v>355.04770746918211</v>
      </c>
      <c r="C797" s="4">
        <v>376.58053609031572</v>
      </c>
      <c r="D797" s="4">
        <v>399.52237146979172</v>
      </c>
      <c r="E797" s="4">
        <v>424.09441111974456</v>
      </c>
      <c r="F797" s="4">
        <v>450.5643460660815</v>
      </c>
      <c r="G797" s="4">
        <v>479.00333867247224</v>
      </c>
      <c r="H797" s="4">
        <v>509.37004486035534</v>
      </c>
      <c r="I797" s="4">
        <v>542.11843400249904</v>
      </c>
      <c r="J797" s="4">
        <v>577.81508827710559</v>
      </c>
      <c r="K797" s="4">
        <v>616.23426923596446</v>
      </c>
      <c r="L797" s="4">
        <v>658.02556236315297</v>
      </c>
      <c r="M797" s="4">
        <v>703.32899918751264</v>
      </c>
      <c r="N797" s="4">
        <v>752.49807492606408</v>
      </c>
      <c r="O797" s="11">
        <f t="shared" si="12"/>
        <v>6.6654662611355942E-2</v>
      </c>
      <c r="P797"/>
      <c r="Q797" s="11"/>
    </row>
    <row r="798" spans="1:17" x14ac:dyDescent="0.35">
      <c r="A798" s="2" t="s">
        <v>27</v>
      </c>
      <c r="O798" s="11" t="str">
        <f t="shared" si="12"/>
        <v/>
      </c>
      <c r="P798"/>
      <c r="Q798" s="11"/>
    </row>
    <row r="799" spans="1:17" x14ac:dyDescent="0.35">
      <c r="A799" s="3" t="s">
        <v>30</v>
      </c>
      <c r="B799" s="4">
        <v>70.860640965359664</v>
      </c>
      <c r="C799" s="4">
        <v>75.93295279094859</v>
      </c>
      <c r="D799" s="4">
        <v>81.442131492940419</v>
      </c>
      <c r="E799" s="4">
        <v>87.40281097378849</v>
      </c>
      <c r="F799" s="4">
        <v>93.832162161992116</v>
      </c>
      <c r="G799" s="4">
        <v>100.80032410155943</v>
      </c>
      <c r="H799" s="4">
        <v>108.44057795273277</v>
      </c>
      <c r="I799" s="4">
        <v>116.76305936368639</v>
      </c>
      <c r="J799" s="4">
        <v>125.87757338175443</v>
      </c>
      <c r="K799" s="4">
        <v>135.83191098800611</v>
      </c>
      <c r="L799" s="4">
        <v>146.66808638717134</v>
      </c>
      <c r="M799" s="4">
        <v>158.57934606842812</v>
      </c>
      <c r="N799" s="4">
        <v>171.69491146852235</v>
      </c>
      <c r="O799" s="11">
        <f t="shared" si="12"/>
        <v>7.9051601546503036E-2</v>
      </c>
      <c r="P799"/>
      <c r="Q799" s="11"/>
    </row>
    <row r="800" spans="1:17" x14ac:dyDescent="0.35">
      <c r="A800" s="3" t="s">
        <v>32</v>
      </c>
      <c r="B800" s="4">
        <v>30.474798661165398</v>
      </c>
      <c r="C800" s="4">
        <v>31.691375473209426</v>
      </c>
      <c r="D800" s="4">
        <v>33.037516669413264</v>
      </c>
      <c r="E800" s="4">
        <v>34.450711422216379</v>
      </c>
      <c r="F800" s="4">
        <v>35.94316707217493</v>
      </c>
      <c r="G800" s="4">
        <v>37.538016773646845</v>
      </c>
      <c r="H800" s="4">
        <v>39.268368104185924</v>
      </c>
      <c r="I800" s="4">
        <v>41.166793828974235</v>
      </c>
      <c r="J800" s="4">
        <v>43.195340523865212</v>
      </c>
      <c r="K800" s="4">
        <v>45.364886198301562</v>
      </c>
      <c r="L800" s="4">
        <v>47.732218727382865</v>
      </c>
      <c r="M800" s="4">
        <v>50.320336655527008</v>
      </c>
      <c r="N800" s="4">
        <v>53.155470140590936</v>
      </c>
      <c r="O800" s="11">
        <f t="shared" si="12"/>
        <v>5.0950780582311159E-2</v>
      </c>
      <c r="P800"/>
      <c r="Q800" s="11"/>
    </row>
    <row r="801" spans="1:17" x14ac:dyDescent="0.35">
      <c r="A801" s="3" t="s">
        <v>29</v>
      </c>
      <c r="B801" s="4">
        <v>85.876663704044518</v>
      </c>
      <c r="C801" s="4">
        <v>91.290553224988926</v>
      </c>
      <c r="D801" s="4">
        <v>97.279071515453765</v>
      </c>
      <c r="E801" s="4">
        <v>103.6895015634778</v>
      </c>
      <c r="F801" s="4">
        <v>110.57897853080797</v>
      </c>
      <c r="G801" s="4">
        <v>118.04231820599618</v>
      </c>
      <c r="H801" s="4">
        <v>126.21295214889071</v>
      </c>
      <c r="I801" s="4">
        <v>135.23298494715544</v>
      </c>
      <c r="J801" s="4">
        <v>145.02360311884192</v>
      </c>
      <c r="K801" s="4">
        <v>155.66083033914737</v>
      </c>
      <c r="L801" s="4">
        <v>167.3830427817737</v>
      </c>
      <c r="M801" s="4">
        <v>180.32902977703947</v>
      </c>
      <c r="N801" s="4">
        <v>194.65861817080841</v>
      </c>
      <c r="O801" s="11">
        <f t="shared" si="12"/>
        <v>7.4072756244197305E-2</v>
      </c>
      <c r="P801"/>
      <c r="Q801" s="11"/>
    </row>
    <row r="802" spans="1:17" x14ac:dyDescent="0.35">
      <c r="A802" s="3" t="s">
        <v>31</v>
      </c>
      <c r="B802" s="4">
        <v>44.223043748814753</v>
      </c>
      <c r="C802" s="4">
        <v>46.971655851463765</v>
      </c>
      <c r="D802" s="4">
        <v>49.903962155483619</v>
      </c>
      <c r="E802" s="4">
        <v>53.048372092426909</v>
      </c>
      <c r="F802" s="4">
        <v>56.439270687740596</v>
      </c>
      <c r="G802" s="4">
        <v>60.086618459215373</v>
      </c>
      <c r="H802" s="4">
        <v>63.986317500042794</v>
      </c>
      <c r="I802" s="4">
        <v>68.19646534785808</v>
      </c>
      <c r="J802" s="4">
        <v>72.789652969129875</v>
      </c>
      <c r="K802" s="4">
        <v>77.739067529533443</v>
      </c>
      <c r="L802" s="4">
        <v>83.128165316722914</v>
      </c>
      <c r="M802" s="4">
        <v>88.976499312584806</v>
      </c>
      <c r="N802" s="4">
        <v>95.330734184555581</v>
      </c>
      <c r="O802" s="11">
        <f t="shared" si="12"/>
        <v>6.8160351189949037E-2</v>
      </c>
      <c r="P802"/>
      <c r="Q802" s="11"/>
    </row>
    <row r="803" spans="1:17" x14ac:dyDescent="0.35">
      <c r="A803" s="3" t="s">
        <v>28</v>
      </c>
      <c r="B803" s="4">
        <v>147.02120054614232</v>
      </c>
      <c r="C803" s="4">
        <v>155.19378178962631</v>
      </c>
      <c r="D803" s="4">
        <v>163.56074546371286</v>
      </c>
      <c r="E803" s="4">
        <v>172.48336122319097</v>
      </c>
      <c r="F803" s="4">
        <v>182.11537919879453</v>
      </c>
      <c r="G803" s="4">
        <v>192.34853704686213</v>
      </c>
      <c r="H803" s="4">
        <v>202.84025257859741</v>
      </c>
      <c r="I803" s="4">
        <v>213.82060290252406</v>
      </c>
      <c r="J803" s="4">
        <v>225.81462020132074</v>
      </c>
      <c r="K803" s="4">
        <v>238.47552978336444</v>
      </c>
      <c r="L803" s="4">
        <v>252.05829769562041</v>
      </c>
      <c r="M803" s="4">
        <v>266.34356046825155</v>
      </c>
      <c r="N803" s="4">
        <v>281.35818488825817</v>
      </c>
      <c r="O803" s="11">
        <f t="shared" si="12"/>
        <v>5.5834404497653797E-2</v>
      </c>
      <c r="P803"/>
      <c r="Q803" s="11"/>
    </row>
    <row r="804" spans="1:17" x14ac:dyDescent="0.35">
      <c r="A804" s="3" t="s">
        <v>33</v>
      </c>
      <c r="B804" s="4">
        <v>16.917118769250443</v>
      </c>
      <c r="C804" s="4">
        <v>17.81505348228232</v>
      </c>
      <c r="D804" s="4">
        <v>18.804044994952562</v>
      </c>
      <c r="E804" s="4">
        <v>19.862243554150751</v>
      </c>
      <c r="F804" s="4">
        <v>20.996008581798982</v>
      </c>
      <c r="G804" s="4">
        <v>22.220490803091003</v>
      </c>
      <c r="H804" s="4">
        <v>23.533216353249152</v>
      </c>
      <c r="I804" s="4">
        <v>24.950038867912223</v>
      </c>
      <c r="J804" s="4">
        <v>26.491016288749758</v>
      </c>
      <c r="K804" s="4">
        <v>28.14841962373065</v>
      </c>
      <c r="L804" s="4">
        <v>29.944243066469166</v>
      </c>
      <c r="M804" s="4">
        <v>31.892696980046285</v>
      </c>
      <c r="N804" s="4">
        <v>34.023901210824455</v>
      </c>
      <c r="O804" s="11">
        <f t="shared" si="12"/>
        <v>6.2754427777973618E-2</v>
      </c>
      <c r="P804"/>
      <c r="Q804" s="11"/>
    </row>
    <row r="805" spans="1:17" x14ac:dyDescent="0.35">
      <c r="A805" s="2" t="s">
        <v>34</v>
      </c>
      <c r="O805" s="11" t="str">
        <f t="shared" si="12"/>
        <v/>
      </c>
      <c r="P805"/>
      <c r="Q805" s="11"/>
    </row>
    <row r="806" spans="1:17" x14ac:dyDescent="0.35">
      <c r="A806" s="3" t="s">
        <v>36</v>
      </c>
      <c r="B806" s="4">
        <v>141.63680628744808</v>
      </c>
      <c r="C806" s="4">
        <v>150.83305597097299</v>
      </c>
      <c r="D806" s="4">
        <v>160.99381853719549</v>
      </c>
      <c r="E806" s="4">
        <v>171.96151800173416</v>
      </c>
      <c r="F806" s="4">
        <v>183.81505608398774</v>
      </c>
      <c r="G806" s="4">
        <v>196.71330068954182</v>
      </c>
      <c r="H806" s="4">
        <v>210.66561957243675</v>
      </c>
      <c r="I806" s="4">
        <v>225.84516138156764</v>
      </c>
      <c r="J806" s="4">
        <v>242.47017682449723</v>
      </c>
      <c r="K806" s="4">
        <v>260.51351143863877</v>
      </c>
      <c r="L806" s="4">
        <v>280.22091535302582</v>
      </c>
      <c r="M806" s="4">
        <v>301.77531836274034</v>
      </c>
      <c r="N806" s="4">
        <v>325.51722949242509</v>
      </c>
      <c r="O806" s="11">
        <f t="shared" si="12"/>
        <v>7.4604383636267868E-2</v>
      </c>
      <c r="P806"/>
      <c r="Q806" s="11"/>
    </row>
    <row r="807" spans="1:17" x14ac:dyDescent="0.35">
      <c r="A807" s="3" t="s">
        <v>37</v>
      </c>
      <c r="B807" s="4">
        <v>80.530556186877533</v>
      </c>
      <c r="C807" s="4">
        <v>85.103783796448923</v>
      </c>
      <c r="D807" s="4">
        <v>90.277449378422943</v>
      </c>
      <c r="E807" s="4">
        <v>95.830326754670338</v>
      </c>
      <c r="F807" s="4">
        <v>101.83064162172506</v>
      </c>
      <c r="G807" s="4">
        <v>108.29134161379109</v>
      </c>
      <c r="H807" s="4">
        <v>115.27454528703649</v>
      </c>
      <c r="I807" s="4">
        <v>122.91624794168936</v>
      </c>
      <c r="J807" s="4">
        <v>131.15646231891481</v>
      </c>
      <c r="K807" s="4">
        <v>140.15124188088697</v>
      </c>
      <c r="L807" s="4">
        <v>149.87416068171302</v>
      </c>
      <c r="M807" s="4">
        <v>160.45458931820639</v>
      </c>
      <c r="N807" s="4">
        <v>172.12173692841722</v>
      </c>
      <c r="O807" s="11">
        <f t="shared" si="12"/>
        <v>6.8436842253774124E-2</v>
      </c>
      <c r="P807"/>
      <c r="Q807" s="11"/>
    </row>
    <row r="808" spans="1:17" x14ac:dyDescent="0.35">
      <c r="A808" s="3" t="s">
        <v>35</v>
      </c>
      <c r="B808" s="4">
        <v>135.90771638371291</v>
      </c>
      <c r="C808" s="4">
        <v>143.72303150593348</v>
      </c>
      <c r="D808" s="4">
        <v>151.387410076241</v>
      </c>
      <c r="E808" s="4">
        <v>159.49561019112309</v>
      </c>
      <c r="F808" s="4">
        <v>168.16803064088521</v>
      </c>
      <c r="G808" s="4">
        <v>177.30507170075646</v>
      </c>
      <c r="H808" s="4">
        <v>186.79198363865743</v>
      </c>
      <c r="I808" s="4">
        <v>196.77436320027113</v>
      </c>
      <c r="J808" s="4">
        <v>207.66151491072037</v>
      </c>
      <c r="K808" s="4">
        <v>219.09568884774171</v>
      </c>
      <c r="L808" s="4">
        <v>231.50795590939731</v>
      </c>
      <c r="M808" s="4">
        <v>244.72543289705118</v>
      </c>
      <c r="N808" s="4">
        <v>258.53278336519315</v>
      </c>
      <c r="O808" s="11">
        <f t="shared" si="12"/>
        <v>5.535654791275129E-2</v>
      </c>
      <c r="P808"/>
      <c r="Q808" s="11"/>
    </row>
    <row r="809" spans="1:17" x14ac:dyDescent="0.35">
      <c r="A809" s="3" t="s">
        <v>38</v>
      </c>
      <c r="B809" s="4">
        <v>37.298387536738566</v>
      </c>
      <c r="C809" s="4">
        <v>39.235501339163953</v>
      </c>
      <c r="D809" s="4">
        <v>41.368794300097022</v>
      </c>
      <c r="E809" s="4">
        <v>43.649545881723775</v>
      </c>
      <c r="F809" s="4">
        <v>46.091237886711092</v>
      </c>
      <c r="G809" s="4">
        <v>48.726591386281626</v>
      </c>
      <c r="H809" s="4">
        <v>51.549536139568055</v>
      </c>
      <c r="I809" s="4">
        <v>54.59417273458228</v>
      </c>
      <c r="J809" s="4">
        <v>57.903652429529508</v>
      </c>
      <c r="K809" s="4">
        <v>61.460202294816099</v>
      </c>
      <c r="L809" s="4">
        <v>65.311022031004285</v>
      </c>
      <c r="M809" s="4">
        <v>69.486128683879343</v>
      </c>
      <c r="N809" s="4">
        <v>74.050070277524426</v>
      </c>
      <c r="O809" s="11">
        <f t="shared" si="12"/>
        <v>6.1611549677443388E-2</v>
      </c>
      <c r="P809"/>
      <c r="Q809" s="11"/>
    </row>
    <row r="810" spans="1:17" x14ac:dyDescent="0.35">
      <c r="A810" s="2" t="s">
        <v>22</v>
      </c>
      <c r="O810" s="11" t="str">
        <f t="shared" si="12"/>
        <v/>
      </c>
      <c r="P810"/>
      <c r="Q810" s="11"/>
    </row>
    <row r="811" spans="1:17" x14ac:dyDescent="0.35">
      <c r="A811" s="3" t="s">
        <v>39</v>
      </c>
      <c r="B811" s="4">
        <v>111.77664253935251</v>
      </c>
      <c r="C811" s="4">
        <v>119.39101853116699</v>
      </c>
      <c r="D811" s="4">
        <v>127.11403961072341</v>
      </c>
      <c r="E811" s="4">
        <v>135.40638914872238</v>
      </c>
      <c r="F811" s="4">
        <v>144.42254474480302</v>
      </c>
      <c r="G811" s="4">
        <v>154.13174910234795</v>
      </c>
      <c r="H811" s="4">
        <v>164.19318987082715</v>
      </c>
      <c r="I811" s="4">
        <v>174.93371096479643</v>
      </c>
      <c r="J811" s="4">
        <v>186.8018049478024</v>
      </c>
      <c r="K811" s="4">
        <v>199.22462313586993</v>
      </c>
      <c r="L811" s="4">
        <v>212.8887838572789</v>
      </c>
      <c r="M811" s="4">
        <v>227.66512124274436</v>
      </c>
      <c r="N811" s="4">
        <v>243.29372324701728</v>
      </c>
      <c r="O811" s="11">
        <f t="shared" si="12"/>
        <v>6.7381885811732101E-2</v>
      </c>
      <c r="P811"/>
      <c r="Q811" s="11"/>
    </row>
    <row r="812" spans="1:17" x14ac:dyDescent="0.35">
      <c r="A812" s="3" t="s">
        <v>41</v>
      </c>
      <c r="B812" s="4">
        <v>73.2702327695376</v>
      </c>
      <c r="C812" s="4">
        <v>76.714459138076492</v>
      </c>
      <c r="D812" s="4">
        <v>80.395131351351964</v>
      </c>
      <c r="E812" s="4">
        <v>84.303524424481267</v>
      </c>
      <c r="F812" s="4">
        <v>88.433188526672382</v>
      </c>
      <c r="G812" s="4">
        <v>92.82722467973845</v>
      </c>
      <c r="H812" s="4">
        <v>97.581982212450399</v>
      </c>
      <c r="I812" s="4">
        <v>102.67308683784354</v>
      </c>
      <c r="J812" s="4">
        <v>108.16461541231151</v>
      </c>
      <c r="K812" s="4">
        <v>114.0601467332132</v>
      </c>
      <c r="L812" s="4">
        <v>120.35649709932486</v>
      </c>
      <c r="M812" s="4">
        <v>127.17324923756786</v>
      </c>
      <c r="N812" s="4">
        <v>134.56612300464687</v>
      </c>
      <c r="O812" s="11">
        <f t="shared" si="12"/>
        <v>5.4477205929371414E-2</v>
      </c>
      <c r="P812"/>
      <c r="Q812" s="11"/>
    </row>
    <row r="813" spans="1:17" x14ac:dyDescent="0.35">
      <c r="A813" s="3" t="s">
        <v>40</v>
      </c>
      <c r="B813" s="4">
        <v>96.78413329520167</v>
      </c>
      <c r="C813" s="4">
        <v>102.12425537790213</v>
      </c>
      <c r="D813" s="4">
        <v>107.79949189043019</v>
      </c>
      <c r="E813" s="4">
        <v>113.82540416939281</v>
      </c>
      <c r="F813" s="4">
        <v>120.22714437911084</v>
      </c>
      <c r="G813" s="4">
        <v>127.0668681643424</v>
      </c>
      <c r="H813" s="4">
        <v>134.43741673089971</v>
      </c>
      <c r="I813" s="4">
        <v>142.31300142941814</v>
      </c>
      <c r="J813" s="4">
        <v>150.86235420258902</v>
      </c>
      <c r="K813" s="4">
        <v>160.16195094787699</v>
      </c>
      <c r="L813" s="4">
        <v>170.24498655542095</v>
      </c>
      <c r="M813" s="4">
        <v>181.07788973432454</v>
      </c>
      <c r="N813" s="4">
        <v>192.91700393251693</v>
      </c>
      <c r="O813" s="11">
        <f t="shared" si="12"/>
        <v>6.1464452624530257E-2</v>
      </c>
      <c r="P813"/>
      <c r="Q813" s="11"/>
    </row>
    <row r="814" spans="1:17" x14ac:dyDescent="0.35">
      <c r="A814" s="3" t="s">
        <v>42</v>
      </c>
      <c r="B814" s="4">
        <v>113.54245779068533</v>
      </c>
      <c r="C814" s="4">
        <v>120.66563956537374</v>
      </c>
      <c r="D814" s="4">
        <v>128.71880943945095</v>
      </c>
      <c r="E814" s="4">
        <v>137.40168308665486</v>
      </c>
      <c r="F814" s="4">
        <v>146.82208858272287</v>
      </c>
      <c r="G814" s="4">
        <v>157.01046344394223</v>
      </c>
      <c r="H814" s="4">
        <v>168.06909582352151</v>
      </c>
      <c r="I814" s="4">
        <v>180.21014602605234</v>
      </c>
      <c r="J814" s="4">
        <v>193.36303192095903</v>
      </c>
      <c r="K814" s="4">
        <v>207.77392364512343</v>
      </c>
      <c r="L814" s="4">
        <v>223.4237864631157</v>
      </c>
      <c r="M814" s="4">
        <v>240.52520904724051</v>
      </c>
      <c r="N814" s="4">
        <v>259.4449698793789</v>
      </c>
      <c r="O814" s="11">
        <f t="shared" si="12"/>
        <v>7.4383976999855023E-2</v>
      </c>
      <c r="P814"/>
      <c r="Q814" s="11"/>
    </row>
    <row r="815" spans="1:17" x14ac:dyDescent="0.35">
      <c r="A815" s="1" t="s">
        <v>78</v>
      </c>
      <c r="O815" s="11" t="str">
        <f t="shared" si="12"/>
        <v/>
      </c>
      <c r="P815"/>
      <c r="Q815" s="11"/>
    </row>
    <row r="816" spans="1:17" x14ac:dyDescent="0.35">
      <c r="A816" s="2" t="s">
        <v>24</v>
      </c>
      <c r="O816" s="11" t="str">
        <f t="shared" si="12"/>
        <v/>
      </c>
      <c r="P816"/>
      <c r="Q816" s="11"/>
    </row>
    <row r="817" spans="1:17" x14ac:dyDescent="0.35">
      <c r="A817" s="3" t="s">
        <v>25</v>
      </c>
      <c r="B817" s="4">
        <v>21.381022770340458</v>
      </c>
      <c r="C817" s="4">
        <v>21.74442394606308</v>
      </c>
      <c r="D817" s="4">
        <v>22.147538712013624</v>
      </c>
      <c r="E817" s="4">
        <v>22.600638466593594</v>
      </c>
      <c r="F817" s="4">
        <v>23.088647978264223</v>
      </c>
      <c r="G817" s="4">
        <v>23.64977052327686</v>
      </c>
      <c r="H817" s="4">
        <v>24.237323285690138</v>
      </c>
      <c r="I817" s="4">
        <v>24.902264359033094</v>
      </c>
      <c r="J817" s="4">
        <v>25.62572518604129</v>
      </c>
      <c r="K817" s="4">
        <v>26.412907410026751</v>
      </c>
      <c r="L817" s="4">
        <v>27.285039159647468</v>
      </c>
      <c r="M817" s="4">
        <v>28.251291919642014</v>
      </c>
      <c r="N817" s="4">
        <v>29.304287099950717</v>
      </c>
      <c r="O817" s="11">
        <f t="shared" si="12"/>
        <v>3.1099566359737423E-2</v>
      </c>
      <c r="P817"/>
      <c r="Q817" s="11"/>
    </row>
    <row r="818" spans="1:17" x14ac:dyDescent="0.35">
      <c r="A818" s="3" t="s">
        <v>26</v>
      </c>
      <c r="B818" s="4">
        <v>194.04614547694416</v>
      </c>
      <c r="C818" s="4">
        <v>200.11653560649953</v>
      </c>
      <c r="D818" s="4">
        <v>206.57127794718897</v>
      </c>
      <c r="E818" s="4">
        <v>213.36558422060071</v>
      </c>
      <c r="F818" s="4">
        <v>220.46249103296179</v>
      </c>
      <c r="G818" s="4">
        <v>227.95021191272343</v>
      </c>
      <c r="H818" s="4">
        <v>236.04190716497465</v>
      </c>
      <c r="I818" s="4">
        <v>244.64531537923463</v>
      </c>
      <c r="J818" s="4">
        <v>253.88352090482161</v>
      </c>
      <c r="K818" s="4">
        <v>263.72943708825227</v>
      </c>
      <c r="L818" s="4">
        <v>274.14096820570273</v>
      </c>
      <c r="M818" s="4">
        <v>285.35718977477632</v>
      </c>
      <c r="N818" s="4">
        <v>297.45872044135643</v>
      </c>
      <c r="O818" s="11">
        <f t="shared" si="12"/>
        <v>3.8753228131666227E-2</v>
      </c>
      <c r="P818"/>
      <c r="Q818" s="11"/>
    </row>
    <row r="819" spans="1:17" x14ac:dyDescent="0.35">
      <c r="A819" s="2" t="s">
        <v>27</v>
      </c>
      <c r="O819" s="11" t="str">
        <f t="shared" si="12"/>
        <v/>
      </c>
      <c r="P819"/>
      <c r="Q819" s="11"/>
    </row>
    <row r="820" spans="1:17" x14ac:dyDescent="0.35">
      <c r="A820" s="3" t="s">
        <v>30</v>
      </c>
      <c r="B820" s="4">
        <v>35.030206464805282</v>
      </c>
      <c r="C820" s="4">
        <v>36.596962046099165</v>
      </c>
      <c r="D820" s="4">
        <v>38.24829481742659</v>
      </c>
      <c r="E820" s="4">
        <v>39.9866612556756</v>
      </c>
      <c r="F820" s="4">
        <v>41.817730568227503</v>
      </c>
      <c r="G820" s="4">
        <v>43.759756987639257</v>
      </c>
      <c r="H820" s="4">
        <v>45.840775204981874</v>
      </c>
      <c r="I820" s="4">
        <v>48.047185316593108</v>
      </c>
      <c r="J820" s="4">
        <v>50.431504896538861</v>
      </c>
      <c r="K820" s="4">
        <v>53.013253764392168</v>
      </c>
      <c r="L820" s="4">
        <v>55.796741168659253</v>
      </c>
      <c r="M820" s="4">
        <v>58.764096202986266</v>
      </c>
      <c r="N820" s="4">
        <v>61.992101187538651</v>
      </c>
      <c r="O820" s="11">
        <f t="shared" si="12"/>
        <v>5.1014673364802282E-2</v>
      </c>
      <c r="P820"/>
      <c r="Q820" s="11"/>
    </row>
    <row r="821" spans="1:17" x14ac:dyDescent="0.35">
      <c r="A821" s="3" t="s">
        <v>32</v>
      </c>
      <c r="B821" s="4">
        <v>17.805117012215891</v>
      </c>
      <c r="C821" s="4">
        <v>18.106148199891816</v>
      </c>
      <c r="D821" s="4">
        <v>18.417225538818638</v>
      </c>
      <c r="E821" s="4">
        <v>18.74436773098984</v>
      </c>
      <c r="F821" s="4">
        <v>19.094409298480123</v>
      </c>
      <c r="G821" s="4">
        <v>19.464418916181977</v>
      </c>
      <c r="H821" s="4">
        <v>19.84699019420859</v>
      </c>
      <c r="I821" s="4">
        <v>20.25487046714148</v>
      </c>
      <c r="J821" s="4">
        <v>20.702622539268717</v>
      </c>
      <c r="K821" s="4">
        <v>21.173601856198772</v>
      </c>
      <c r="L821" s="4">
        <v>21.68338842281733</v>
      </c>
      <c r="M821" s="4">
        <v>22.227789623842938</v>
      </c>
      <c r="N821" s="4">
        <v>22.80945461307056</v>
      </c>
      <c r="O821" s="11">
        <f t="shared" si="12"/>
        <v>2.2913865472400364E-2</v>
      </c>
      <c r="P821"/>
      <c r="Q821" s="11"/>
    </row>
    <row r="822" spans="1:17" x14ac:dyDescent="0.35">
      <c r="A822" s="3" t="s">
        <v>29</v>
      </c>
      <c r="B822" s="4">
        <v>48.870630230624684</v>
      </c>
      <c r="C822" s="4">
        <v>50.771797950037943</v>
      </c>
      <c r="D822" s="4">
        <v>52.869178359192006</v>
      </c>
      <c r="E822" s="4">
        <v>55.083589528587382</v>
      </c>
      <c r="F822" s="4">
        <v>57.429358578847093</v>
      </c>
      <c r="G822" s="4">
        <v>59.904036282269679</v>
      </c>
      <c r="H822" s="4">
        <v>62.504456819030338</v>
      </c>
      <c r="I822" s="4">
        <v>65.249527442778245</v>
      </c>
      <c r="J822" s="4">
        <v>68.183492198082988</v>
      </c>
      <c r="K822" s="4">
        <v>71.34273576237203</v>
      </c>
      <c r="L822" s="4">
        <v>74.709343297750635</v>
      </c>
      <c r="M822" s="4">
        <v>78.278463092265454</v>
      </c>
      <c r="N822" s="4">
        <v>82.08841572917629</v>
      </c>
      <c r="O822" s="11">
        <f t="shared" si="12"/>
        <v>4.6035782924768634E-2</v>
      </c>
      <c r="P822"/>
      <c r="Q822" s="11"/>
    </row>
    <row r="823" spans="1:17" x14ac:dyDescent="0.35">
      <c r="A823" s="3" t="s">
        <v>31</v>
      </c>
      <c r="B823" s="4">
        <v>30.24189552101479</v>
      </c>
      <c r="C823" s="4">
        <v>31.150279835309114</v>
      </c>
      <c r="D823" s="4">
        <v>32.121451285911682</v>
      </c>
      <c r="E823" s="4">
        <v>33.144250755299225</v>
      </c>
      <c r="F823" s="4">
        <v>34.243290144978381</v>
      </c>
      <c r="G823" s="4">
        <v>35.427474759245143</v>
      </c>
      <c r="H823" s="4">
        <v>36.684071859948574</v>
      </c>
      <c r="I823" s="4">
        <v>38.064612884255013</v>
      </c>
      <c r="J823" s="4">
        <v>39.548527276328059</v>
      </c>
      <c r="K823" s="4">
        <v>41.126802816521739</v>
      </c>
      <c r="L823" s="4">
        <v>42.846306361558156</v>
      </c>
      <c r="M823" s="4">
        <v>44.679692220742915</v>
      </c>
      <c r="N823" s="4">
        <v>46.658864515214049</v>
      </c>
      <c r="O823" s="11">
        <f t="shared" si="12"/>
        <v>4.0123365679652911E-2</v>
      </c>
      <c r="P823"/>
      <c r="Q823" s="11"/>
    </row>
    <row r="824" spans="1:17" x14ac:dyDescent="0.35">
      <c r="A824" s="3" t="s">
        <v>28</v>
      </c>
      <c r="B824" s="4">
        <v>74.4513090544026</v>
      </c>
      <c r="C824" s="4">
        <v>76.021656781490378</v>
      </c>
      <c r="D824" s="4">
        <v>77.644399549778768</v>
      </c>
      <c r="E824" s="4">
        <v>79.362332474618768</v>
      </c>
      <c r="F824" s="4">
        <v>81.078174176837138</v>
      </c>
      <c r="G824" s="4">
        <v>82.880034646610113</v>
      </c>
      <c r="H824" s="4">
        <v>84.949384130102402</v>
      </c>
      <c r="I824" s="4">
        <v>87.153224450741959</v>
      </c>
      <c r="J824" s="4">
        <v>89.512820487739077</v>
      </c>
      <c r="K824" s="4">
        <v>91.973500641956832</v>
      </c>
      <c r="L824" s="4">
        <v>94.455998370698467</v>
      </c>
      <c r="M824" s="4">
        <v>97.258405911898336</v>
      </c>
      <c r="N824" s="4">
        <v>100.30709722701386</v>
      </c>
      <c r="O824" s="11">
        <f t="shared" si="12"/>
        <v>2.7638220404188465E-2</v>
      </c>
      <c r="P824"/>
      <c r="Q824" s="11"/>
    </row>
    <row r="825" spans="1:17" x14ac:dyDescent="0.35">
      <c r="A825" s="3" t="s">
        <v>33</v>
      </c>
      <c r="B825" s="4">
        <v>9.0280099642213489</v>
      </c>
      <c r="C825" s="4">
        <v>9.2141147397342031</v>
      </c>
      <c r="D825" s="4">
        <v>9.4182671080748932</v>
      </c>
      <c r="E825" s="4">
        <v>9.6450209420235211</v>
      </c>
      <c r="F825" s="4">
        <v>9.8881762438557779</v>
      </c>
      <c r="G825" s="4">
        <v>10.164260844054109</v>
      </c>
      <c r="H825" s="4">
        <v>10.453552242393021</v>
      </c>
      <c r="I825" s="4">
        <v>10.778159176757896</v>
      </c>
      <c r="J825" s="4">
        <v>11.13027869290522</v>
      </c>
      <c r="K825" s="4">
        <v>11.512449656837477</v>
      </c>
      <c r="L825" s="4">
        <v>11.934229743866318</v>
      </c>
      <c r="M825" s="4">
        <v>12.400034642682453</v>
      </c>
      <c r="N825" s="4">
        <v>12.907074269293767</v>
      </c>
      <c r="O825" s="11">
        <f t="shared" si="12"/>
        <v>3.4717311853910339E-2</v>
      </c>
      <c r="P825"/>
      <c r="Q825" s="11"/>
    </row>
    <row r="826" spans="1:17" x14ac:dyDescent="0.35">
      <c r="A826" s="2" t="s">
        <v>34</v>
      </c>
      <c r="O826" s="11" t="str">
        <f t="shared" si="12"/>
        <v/>
      </c>
      <c r="P826"/>
      <c r="Q826" s="11"/>
    </row>
    <row r="827" spans="1:17" x14ac:dyDescent="0.35">
      <c r="A827" s="3" t="s">
        <v>36</v>
      </c>
      <c r="B827" s="4">
        <v>74.236456879475398</v>
      </c>
      <c r="C827" s="4">
        <v>76.97982482678816</v>
      </c>
      <c r="D827" s="4">
        <v>79.986762593013793</v>
      </c>
      <c r="E827" s="4">
        <v>83.11822203257411</v>
      </c>
      <c r="F827" s="4">
        <v>86.411944121182984</v>
      </c>
      <c r="G827" s="4">
        <v>89.91506357596559</v>
      </c>
      <c r="H827" s="4">
        <v>93.630710118931802</v>
      </c>
      <c r="I827" s="4">
        <v>97.75894432640608</v>
      </c>
      <c r="J827" s="4">
        <v>102.14999397489208</v>
      </c>
      <c r="K827" s="4">
        <v>106.86811199859926</v>
      </c>
      <c r="L827" s="4">
        <v>111.99168423192593</v>
      </c>
      <c r="M827" s="4">
        <v>117.56539929405864</v>
      </c>
      <c r="N827" s="4">
        <v>123.63991118386991</v>
      </c>
      <c r="O827" s="11">
        <f t="shared" si="12"/>
        <v>4.6552187555517911E-2</v>
      </c>
      <c r="P827"/>
      <c r="Q827" s="11"/>
    </row>
    <row r="828" spans="1:17" x14ac:dyDescent="0.35">
      <c r="A828" s="3" t="s">
        <v>37</v>
      </c>
      <c r="B828" s="4">
        <v>50.330792209731975</v>
      </c>
      <c r="C828" s="4">
        <v>51.808233455957527</v>
      </c>
      <c r="D828" s="4">
        <v>53.461457395358963</v>
      </c>
      <c r="E828" s="4">
        <v>55.183414739026809</v>
      </c>
      <c r="F828" s="4">
        <v>56.990966528626892</v>
      </c>
      <c r="G828" s="4">
        <v>58.917563191860317</v>
      </c>
      <c r="H828" s="4">
        <v>61.01089481463692</v>
      </c>
      <c r="I828" s="4">
        <v>63.315811964772443</v>
      </c>
      <c r="J828" s="4">
        <v>65.766776877190111</v>
      </c>
      <c r="K828" s="4">
        <v>68.375103793010652</v>
      </c>
      <c r="L828" s="4">
        <v>71.220746986636584</v>
      </c>
      <c r="M828" s="4">
        <v>74.329923118879833</v>
      </c>
      <c r="N828" s="4">
        <v>77.73241794052619</v>
      </c>
      <c r="O828" s="11">
        <f t="shared" si="12"/>
        <v>4.0384598433597672E-2</v>
      </c>
      <c r="P828"/>
      <c r="Q828" s="11"/>
    </row>
    <row r="829" spans="1:17" x14ac:dyDescent="0.35">
      <c r="A829" s="3" t="s">
        <v>35</v>
      </c>
      <c r="B829" s="4">
        <v>68.884268151186944</v>
      </c>
      <c r="C829" s="4">
        <v>70.572395346148284</v>
      </c>
      <c r="D829" s="4">
        <v>72.177891344931481</v>
      </c>
      <c r="E829" s="4">
        <v>73.94652877694503</v>
      </c>
      <c r="F829" s="4">
        <v>75.768759346392414</v>
      </c>
      <c r="G829" s="4">
        <v>77.677840197002553</v>
      </c>
      <c r="H829" s="4">
        <v>79.798378572172567</v>
      </c>
      <c r="I829" s="4">
        <v>81.832295478954649</v>
      </c>
      <c r="J829" s="4">
        <v>84.084330940222173</v>
      </c>
      <c r="K829" s="4">
        <v>86.473044749681435</v>
      </c>
      <c r="L829" s="4">
        <v>88.803853471422059</v>
      </c>
      <c r="M829" s="4">
        <v>91.248380194389057</v>
      </c>
      <c r="N829" s="4">
        <v>93.779533525128102</v>
      </c>
      <c r="O829" s="11">
        <f t="shared" si="12"/>
        <v>2.7276315296365355E-2</v>
      </c>
      <c r="P829"/>
      <c r="Q829" s="11"/>
    </row>
    <row r="830" spans="1:17" x14ac:dyDescent="0.35">
      <c r="A830" s="3" t="s">
        <v>38</v>
      </c>
      <c r="B830" s="4">
        <v>21.975651006890313</v>
      </c>
      <c r="C830" s="4">
        <v>22.500505923668644</v>
      </c>
      <c r="D830" s="4">
        <v>23.092705325898351</v>
      </c>
      <c r="E830" s="4">
        <v>23.718057138648359</v>
      </c>
      <c r="F830" s="4">
        <v>24.379469015023723</v>
      </c>
      <c r="G830" s="4">
        <v>25.08951547117184</v>
      </c>
      <c r="H830" s="4">
        <v>25.839246944923513</v>
      </c>
      <c r="I830" s="4">
        <v>26.640527968134545</v>
      </c>
      <c r="J830" s="4">
        <v>27.508144298558548</v>
      </c>
      <c r="K830" s="4">
        <v>28.426083956987696</v>
      </c>
      <c r="L830" s="4">
        <v>29.409722675365593</v>
      </c>
      <c r="M830" s="4">
        <v>30.464779087090811</v>
      </c>
      <c r="N830" s="4">
        <v>31.611144891782931</v>
      </c>
      <c r="O830" s="11">
        <f t="shared" si="12"/>
        <v>3.3559353442455045E-2</v>
      </c>
      <c r="P830"/>
      <c r="Q830" s="11"/>
    </row>
    <row r="831" spans="1:17" x14ac:dyDescent="0.35">
      <c r="A831" s="2" t="s">
        <v>22</v>
      </c>
      <c r="O831" s="11" t="str">
        <f t="shared" si="12"/>
        <v/>
      </c>
      <c r="P831"/>
      <c r="Q831" s="11"/>
    </row>
    <row r="832" spans="1:17" x14ac:dyDescent="0.35">
      <c r="A832" s="3" t="s">
        <v>39</v>
      </c>
      <c r="B832" s="4">
        <v>60.120992072316398</v>
      </c>
      <c r="C832" s="4">
        <v>61.986960993187751</v>
      </c>
      <c r="D832" s="4">
        <v>63.879982498649696</v>
      </c>
      <c r="E832" s="4">
        <v>65.938201489685639</v>
      </c>
      <c r="F832" s="4">
        <v>68.072543353637656</v>
      </c>
      <c r="G832" s="4">
        <v>70.367118779822903</v>
      </c>
      <c r="H832" s="4">
        <v>72.954626142237998</v>
      </c>
      <c r="I832" s="4">
        <v>75.709000875911727</v>
      </c>
      <c r="J832" s="4">
        <v>78.690743156140201</v>
      </c>
      <c r="K832" s="4">
        <v>81.792888208125476</v>
      </c>
      <c r="L832" s="4">
        <v>84.987294971553496</v>
      </c>
      <c r="M832" s="4">
        <v>88.554378848163964</v>
      </c>
      <c r="N832" s="4">
        <v>92.401741297946387</v>
      </c>
      <c r="O832" s="11">
        <f t="shared" si="12"/>
        <v>3.9684295064510211E-2</v>
      </c>
      <c r="P832"/>
      <c r="Q832" s="11"/>
    </row>
    <row r="833" spans="1:17" x14ac:dyDescent="0.35">
      <c r="A833" s="3" t="s">
        <v>41</v>
      </c>
      <c r="B833" s="4">
        <v>40.779623308969363</v>
      </c>
      <c r="C833" s="4">
        <v>41.481615167797642</v>
      </c>
      <c r="D833" s="4">
        <v>42.283089655406023</v>
      </c>
      <c r="E833" s="4">
        <v>43.103785153359922</v>
      </c>
      <c r="F833" s="4">
        <v>43.960980591526294</v>
      </c>
      <c r="G833" s="4">
        <v>44.875350654394786</v>
      </c>
      <c r="H833" s="4">
        <v>45.843930520274156</v>
      </c>
      <c r="I833" s="4">
        <v>46.96024963954531</v>
      </c>
      <c r="J833" s="4">
        <v>48.142564896622858</v>
      </c>
      <c r="K833" s="4">
        <v>49.415837587788694</v>
      </c>
      <c r="L833" s="4">
        <v>50.80950110149044</v>
      </c>
      <c r="M833" s="4">
        <v>52.335251048922345</v>
      </c>
      <c r="N833" s="4">
        <v>54.006265277824895</v>
      </c>
      <c r="O833" s="11">
        <f t="shared" si="12"/>
        <v>2.681191279589459E-2</v>
      </c>
      <c r="P833"/>
      <c r="Q833" s="11"/>
    </row>
    <row r="834" spans="1:17" x14ac:dyDescent="0.35">
      <c r="A834" s="3" t="s">
        <v>40</v>
      </c>
      <c r="B834" s="4">
        <v>55.539562377314041</v>
      </c>
      <c r="C834" s="4">
        <v>57.020552587159344</v>
      </c>
      <c r="D834" s="4">
        <v>58.678333879787608</v>
      </c>
      <c r="E834" s="4">
        <v>60.418039570604762</v>
      </c>
      <c r="F834" s="4">
        <v>62.251671131269369</v>
      </c>
      <c r="G834" s="4">
        <v>64.172400499357394</v>
      </c>
      <c r="H834" s="4">
        <v>66.172860951054844</v>
      </c>
      <c r="I834" s="4">
        <v>68.269313005093267</v>
      </c>
      <c r="J834" s="4">
        <v>70.503682455719627</v>
      </c>
      <c r="K834" s="4">
        <v>72.907708873217246</v>
      </c>
      <c r="L834" s="4">
        <v>75.456027416993962</v>
      </c>
      <c r="M834" s="4">
        <v>78.137497386656136</v>
      </c>
      <c r="N834" s="4">
        <v>80.984455560431599</v>
      </c>
      <c r="O834" s="11">
        <f t="shared" si="12"/>
        <v>3.3799213372575257E-2</v>
      </c>
      <c r="P834"/>
      <c r="Q834" s="11"/>
    </row>
    <row r="835" spans="1:17" x14ac:dyDescent="0.35">
      <c r="A835" s="3" t="s">
        <v>42</v>
      </c>
      <c r="B835" s="4">
        <v>58.98699048868481</v>
      </c>
      <c r="C835" s="4">
        <v>61.371830804417883</v>
      </c>
      <c r="D835" s="4">
        <v>63.877410625359246</v>
      </c>
      <c r="E835" s="4">
        <v>66.506196473543994</v>
      </c>
      <c r="F835" s="4">
        <v>69.265943934792674</v>
      </c>
      <c r="G835" s="4">
        <v>72.185112502425198</v>
      </c>
      <c r="H835" s="4">
        <v>75.307812837097799</v>
      </c>
      <c r="I835" s="4">
        <v>78.609016217717397</v>
      </c>
      <c r="J835" s="4">
        <v>82.172255582380231</v>
      </c>
      <c r="K835" s="4">
        <v>86.025909829147636</v>
      </c>
      <c r="L835" s="4">
        <v>90.17318387531229</v>
      </c>
      <c r="M835" s="4">
        <v>94.581354410675914</v>
      </c>
      <c r="N835" s="4">
        <v>99.370545405104266</v>
      </c>
      <c r="O835" s="11">
        <f t="shared" si="12"/>
        <v>4.6718753162757358E-2</v>
      </c>
      <c r="P835"/>
      <c r="Q835" s="11"/>
    </row>
    <row r="836" spans="1:17" x14ac:dyDescent="0.35">
      <c r="A836" s="1" t="s">
        <v>79</v>
      </c>
      <c r="O836" s="11" t="str">
        <f t="shared" si="12"/>
        <v/>
      </c>
      <c r="P836"/>
      <c r="Q836" s="11"/>
    </row>
    <row r="837" spans="1:17" x14ac:dyDescent="0.35">
      <c r="A837" s="2" t="s">
        <v>24</v>
      </c>
      <c r="O837" s="11" t="str">
        <f t="shared" si="12"/>
        <v/>
      </c>
      <c r="P837"/>
      <c r="Q837" s="11"/>
    </row>
    <row r="838" spans="1:17" x14ac:dyDescent="0.35">
      <c r="A838" s="3" t="s">
        <v>25</v>
      </c>
      <c r="B838" s="4">
        <v>55.465099789262126</v>
      </c>
      <c r="C838" s="4">
        <v>59.223958509645797</v>
      </c>
      <c r="D838" s="4">
        <v>63.380159651049738</v>
      </c>
      <c r="E838" s="4">
        <v>67.864462996060794</v>
      </c>
      <c r="F838" s="4">
        <v>72.713607848974846</v>
      </c>
      <c r="G838" s="4">
        <v>77.945974492949915</v>
      </c>
      <c r="H838" s="4">
        <v>83.579716324197079</v>
      </c>
      <c r="I838" s="4">
        <v>89.66312848257806</v>
      </c>
      <c r="J838" s="4">
        <v>96.283230943828812</v>
      </c>
      <c r="K838" s="4">
        <v>103.52394022158083</v>
      </c>
      <c r="L838" s="4">
        <v>111.39765664753396</v>
      </c>
      <c r="M838" s="4">
        <v>119.93530179524799</v>
      </c>
      <c r="N838" s="4">
        <v>129.23502945255393</v>
      </c>
      <c r="O838" s="11">
        <f t="shared" si="12"/>
        <v>7.4903576415465398E-2</v>
      </c>
      <c r="P838"/>
      <c r="Q838" s="11"/>
    </row>
    <row r="839" spans="1:17" x14ac:dyDescent="0.35">
      <c r="A839" s="3" t="s">
        <v>26</v>
      </c>
      <c r="B839" s="4">
        <v>616.7682603018028</v>
      </c>
      <c r="C839" s="4">
        <v>661.4659778971336</v>
      </c>
      <c r="D839" s="4">
        <v>710.15684473687497</v>
      </c>
      <c r="E839" s="4">
        <v>762.90388509594447</v>
      </c>
      <c r="F839" s="4">
        <v>820.57395786324673</v>
      </c>
      <c r="G839" s="4">
        <v>883.77052114737285</v>
      </c>
      <c r="H839" s="4">
        <v>952.61901045874993</v>
      </c>
      <c r="I839" s="4">
        <v>1028.8921850903309</v>
      </c>
      <c r="J839" s="4">
        <v>1112.6621766423089</v>
      </c>
      <c r="K839" s="4">
        <v>1204.2797594863023</v>
      </c>
      <c r="L839" s="4">
        <v>1305.7323430112713</v>
      </c>
      <c r="M839" s="4">
        <v>1417.0112768588642</v>
      </c>
      <c r="N839" s="4">
        <v>1539.9093375833022</v>
      </c>
      <c r="O839" s="11">
        <f t="shared" si="12"/>
        <v>8.2557083004001608E-2</v>
      </c>
      <c r="P839"/>
      <c r="Q839" s="11"/>
    </row>
    <row r="840" spans="1:17" x14ac:dyDescent="0.35">
      <c r="A840" s="2" t="s">
        <v>27</v>
      </c>
      <c r="O840" s="11" t="str">
        <f t="shared" si="12"/>
        <v/>
      </c>
      <c r="P840"/>
      <c r="Q840" s="11"/>
    </row>
    <row r="841" spans="1:17" x14ac:dyDescent="0.35">
      <c r="A841" s="3" t="s">
        <v>30</v>
      </c>
      <c r="B841" s="4">
        <v>109.59452779042942</v>
      </c>
      <c r="C841" s="4">
        <v>118.7863186651888</v>
      </c>
      <c r="D841" s="4">
        <v>129.05263072307199</v>
      </c>
      <c r="E841" s="4">
        <v>140.2447970640726</v>
      </c>
      <c r="F841" s="4">
        <v>152.48418746707623</v>
      </c>
      <c r="G841" s="4">
        <v>165.95183065478196</v>
      </c>
      <c r="H841" s="4">
        <v>180.89514808436758</v>
      </c>
      <c r="I841" s="4">
        <v>197.59087535278096</v>
      </c>
      <c r="J841" s="4">
        <v>216.01156698221843</v>
      </c>
      <c r="K841" s="4">
        <v>236.35478569383031</v>
      </c>
      <c r="L841" s="4">
        <v>259.07660934183144</v>
      </c>
      <c r="M841" s="4">
        <v>284.51061518265203</v>
      </c>
      <c r="N841" s="4">
        <v>313.04471007294495</v>
      </c>
      <c r="O841" s="11">
        <f t="shared" si="12"/>
        <v>9.4901127790299827E-2</v>
      </c>
      <c r="P841"/>
      <c r="Q841" s="11"/>
    </row>
    <row r="842" spans="1:17" x14ac:dyDescent="0.35">
      <c r="A842" s="3" t="s">
        <v>32</v>
      </c>
      <c r="B842" s="4">
        <v>52.142600572341735</v>
      </c>
      <c r="C842" s="4">
        <v>55.125285989227194</v>
      </c>
      <c r="D842" s="4">
        <v>58.394732806066898</v>
      </c>
      <c r="E842" s="4">
        <v>61.863247474039639</v>
      </c>
      <c r="F842" s="4">
        <v>65.567307323277078</v>
      </c>
      <c r="G842" s="4">
        <v>69.552997745602738</v>
      </c>
      <c r="H842" s="4">
        <v>73.835512920399296</v>
      </c>
      <c r="I842" s="4">
        <v>78.585987252416629</v>
      </c>
      <c r="J842" s="4">
        <v>83.707052907084773</v>
      </c>
      <c r="K842" s="4">
        <v>89.268227119590279</v>
      </c>
      <c r="L842" s="4">
        <v>95.355513015813173</v>
      </c>
      <c r="M842" s="4">
        <v>102.03202177560581</v>
      </c>
      <c r="N842" s="4">
        <v>109.3698817044517</v>
      </c>
      <c r="O842" s="11">
        <f t="shared" si="12"/>
        <v>6.6800294893374343E-2</v>
      </c>
      <c r="P842"/>
      <c r="Q842" s="11"/>
    </row>
    <row r="843" spans="1:17" x14ac:dyDescent="0.35">
      <c r="A843" s="3" t="s">
        <v>29</v>
      </c>
      <c r="B843" s="4">
        <v>151.745638221886</v>
      </c>
      <c r="C843" s="4">
        <v>164.25737883211298</v>
      </c>
      <c r="D843" s="4">
        <v>177.96034513800822</v>
      </c>
      <c r="E843" s="4">
        <v>192.91963620300973</v>
      </c>
      <c r="F843" s="4">
        <v>209.20794788980231</v>
      </c>
      <c r="G843" s="4">
        <v>227.0183490876426</v>
      </c>
      <c r="H843" s="4">
        <v>246.69322901288947</v>
      </c>
      <c r="I843" s="4">
        <v>268.30786771880071</v>
      </c>
      <c r="J843" s="4">
        <v>292.16860977664942</v>
      </c>
      <c r="K843" s="4">
        <v>318.44919524825457</v>
      </c>
      <c r="L843" s="4">
        <v>347.31563036095207</v>
      </c>
      <c r="M843" s="4">
        <v>379.29745975945332</v>
      </c>
      <c r="N843" s="4">
        <v>414.79105102278021</v>
      </c>
      <c r="O843" s="11">
        <f t="shared" si="12"/>
        <v>8.9922173826022703E-2</v>
      </c>
      <c r="P843"/>
      <c r="Q843" s="11"/>
    </row>
    <row r="844" spans="1:17" x14ac:dyDescent="0.35">
      <c r="A844" s="3" t="s">
        <v>31</v>
      </c>
      <c r="B844" s="4">
        <v>94.792856954472043</v>
      </c>
      <c r="C844" s="4">
        <v>101.41948024419442</v>
      </c>
      <c r="D844" s="4">
        <v>108.66576887846591</v>
      </c>
      <c r="E844" s="4">
        <v>116.63837699393092</v>
      </c>
      <c r="F844" s="4">
        <v>125.3282454694247</v>
      </c>
      <c r="G844" s="4">
        <v>135.00520072327313</v>
      </c>
      <c r="H844" s="4">
        <v>145.50237228458468</v>
      </c>
      <c r="I844" s="4">
        <v>157.19268956240313</v>
      </c>
      <c r="J844" s="4">
        <v>170.07650595232417</v>
      </c>
      <c r="K844" s="4">
        <v>184.29972493234317</v>
      </c>
      <c r="L844" s="4">
        <v>200.13642912922802</v>
      </c>
      <c r="M844" s="4">
        <v>217.81311946293698</v>
      </c>
      <c r="N844" s="4">
        <v>237.45602551187139</v>
      </c>
      <c r="O844" s="11">
        <f t="shared" si="12"/>
        <v>8.4009884256945347E-2</v>
      </c>
      <c r="P844"/>
      <c r="Q844" s="11"/>
    </row>
    <row r="845" spans="1:17" x14ac:dyDescent="0.35">
      <c r="A845" s="3" t="s">
        <v>28</v>
      </c>
      <c r="B845" s="4">
        <v>231.31861136307651</v>
      </c>
      <c r="C845" s="4">
        <v>246.27697046987396</v>
      </c>
      <c r="D845" s="4">
        <v>262.16789713107744</v>
      </c>
      <c r="E845" s="4">
        <v>279.13345754013449</v>
      </c>
      <c r="F845" s="4">
        <v>297.82207440845468</v>
      </c>
      <c r="G845" s="4">
        <v>318.15396934296803</v>
      </c>
      <c r="H845" s="4">
        <v>339.80175862663657</v>
      </c>
      <c r="I845" s="4">
        <v>363.62473929204384</v>
      </c>
      <c r="J845" s="4">
        <v>389.61703947173362</v>
      </c>
      <c r="K845" s="4">
        <v>417.54980988164016</v>
      </c>
      <c r="L845" s="4">
        <v>448.44167748949121</v>
      </c>
      <c r="M845" s="4">
        <v>481.09395693075408</v>
      </c>
      <c r="N845" s="4">
        <v>516.29939896657334</v>
      </c>
      <c r="O845" s="11">
        <f t="shared" si="12"/>
        <v>7.161245681366589E-2</v>
      </c>
      <c r="P845"/>
      <c r="Q845" s="11"/>
    </row>
    <row r="846" spans="1:17" x14ac:dyDescent="0.35">
      <c r="A846" s="3" t="s">
        <v>33</v>
      </c>
      <c r="B846" s="4">
        <v>32.639125188859232</v>
      </c>
      <c r="C846" s="4">
        <v>34.82450220618216</v>
      </c>
      <c r="D846" s="4">
        <v>37.295629711234341</v>
      </c>
      <c r="E846" s="4">
        <v>39.968832816817724</v>
      </c>
      <c r="F846" s="4">
        <v>42.877803154186637</v>
      </c>
      <c r="G846" s="4">
        <v>46.034148086054451</v>
      </c>
      <c r="H846" s="4">
        <v>49.470705854069372</v>
      </c>
      <c r="I846" s="4">
        <v>53.253154394463678</v>
      </c>
      <c r="J846" s="4">
        <v>57.364632496127243</v>
      </c>
      <c r="K846" s="4">
        <v>61.881956832224823</v>
      </c>
      <c r="L846" s="4">
        <v>66.804140321489243</v>
      </c>
      <c r="M846" s="4">
        <v>72.199405542709982</v>
      </c>
      <c r="N846" s="4">
        <v>78.183299757234622</v>
      </c>
      <c r="O846" s="11">
        <f t="shared" si="12"/>
        <v>7.8603893510380718E-2</v>
      </c>
      <c r="P846"/>
      <c r="Q846" s="11"/>
    </row>
    <row r="847" spans="1:17" x14ac:dyDescent="0.35">
      <c r="A847" s="2" t="s">
        <v>34</v>
      </c>
      <c r="O847" s="11" t="str">
        <f t="shared" si="12"/>
        <v/>
      </c>
      <c r="P847"/>
      <c r="Q847" s="11"/>
    </row>
    <row r="848" spans="1:17" x14ac:dyDescent="0.35">
      <c r="A848" s="3" t="s">
        <v>36</v>
      </c>
      <c r="B848" s="4">
        <v>241.66591874030033</v>
      </c>
      <c r="C848" s="4">
        <v>260.14244050713262</v>
      </c>
      <c r="D848" s="4">
        <v>280.43280657369752</v>
      </c>
      <c r="E848" s="4">
        <v>302.84404806500487</v>
      </c>
      <c r="F848" s="4">
        <v>327.38989283352925</v>
      </c>
      <c r="G848" s="4">
        <v>354.81250776259361</v>
      </c>
      <c r="H848" s="4">
        <v>384.72401239839479</v>
      </c>
      <c r="I848" s="4">
        <v>418.15382284870316</v>
      </c>
      <c r="J848" s="4">
        <v>455.16477812870403</v>
      </c>
      <c r="K848" s="4">
        <v>496.21008623508692</v>
      </c>
      <c r="L848" s="4">
        <v>542.0983662980633</v>
      </c>
      <c r="M848" s="4">
        <v>593.52813544226353</v>
      </c>
      <c r="N848" s="4">
        <v>650.94060759656668</v>
      </c>
      <c r="O848" s="11">
        <f t="shared" si="12"/>
        <v>9.0558383201892925E-2</v>
      </c>
      <c r="P848"/>
      <c r="Q848" s="11"/>
    </row>
    <row r="849" spans="1:17" x14ac:dyDescent="0.35">
      <c r="A849" s="3" t="s">
        <v>37</v>
      </c>
      <c r="B849" s="4">
        <v>141.48027328613622</v>
      </c>
      <c r="C849" s="4">
        <v>151.77191278786049</v>
      </c>
      <c r="D849" s="4">
        <v>163.41984219872484</v>
      </c>
      <c r="E849" s="4">
        <v>176.07881220419566</v>
      </c>
      <c r="F849" s="4">
        <v>189.91293647041832</v>
      </c>
      <c r="G849" s="4">
        <v>204.99190782708064</v>
      </c>
      <c r="H849" s="4">
        <v>221.48129042349717</v>
      </c>
      <c r="I849" s="4">
        <v>239.69705868048737</v>
      </c>
      <c r="J849" s="4">
        <v>259.59026336889883</v>
      </c>
      <c r="K849" s="4">
        <v>281.53456526953153</v>
      </c>
      <c r="L849" s="4">
        <v>305.55743832347673</v>
      </c>
      <c r="M849" s="4">
        <v>332.00321039843146</v>
      </c>
      <c r="N849" s="4">
        <v>361.44091653154828</v>
      </c>
      <c r="O849" s="11">
        <f t="shared" si="12"/>
        <v>8.4390738285337288E-2</v>
      </c>
      <c r="P849"/>
      <c r="Q849" s="11"/>
    </row>
    <row r="850" spans="1:17" x14ac:dyDescent="0.35">
      <c r="A850" s="3" t="s">
        <v>35</v>
      </c>
      <c r="B850" s="4">
        <v>226.17227829993772</v>
      </c>
      <c r="C850" s="4">
        <v>241.86798790127654</v>
      </c>
      <c r="D850" s="4">
        <v>258.42747628606958</v>
      </c>
      <c r="E850" s="4">
        <v>275.8198259335594</v>
      </c>
      <c r="F850" s="4">
        <v>294.78489668503312</v>
      </c>
      <c r="G850" s="4">
        <v>314.96584636749412</v>
      </c>
      <c r="H850" s="4">
        <v>336.84709909541311</v>
      </c>
      <c r="I850" s="4">
        <v>360.67457815354817</v>
      </c>
      <c r="J850" s="4">
        <v>386.6064991544406</v>
      </c>
      <c r="K850" s="4">
        <v>414.17142671505292</v>
      </c>
      <c r="L850" s="4">
        <v>444.37527774638897</v>
      </c>
      <c r="M850" s="4">
        <v>476.07335918887202</v>
      </c>
      <c r="N850" s="4">
        <v>510.08770647647043</v>
      </c>
      <c r="O850" s="11">
        <f t="shared" si="12"/>
        <v>7.1301289493083952E-2</v>
      </c>
      <c r="P850"/>
      <c r="Q850" s="11"/>
    </row>
    <row r="851" spans="1:17" x14ac:dyDescent="0.35">
      <c r="A851" s="3" t="s">
        <v>38</v>
      </c>
      <c r="B851" s="4">
        <v>62.914889764690628</v>
      </c>
      <c r="C851" s="4">
        <v>66.907595210509783</v>
      </c>
      <c r="D851" s="4">
        <v>71.25687932943282</v>
      </c>
      <c r="E851" s="4">
        <v>76.025661889245285</v>
      </c>
      <c r="F851" s="4">
        <v>81.199839723240942</v>
      </c>
      <c r="G851" s="4">
        <v>86.946233683154389</v>
      </c>
      <c r="H851" s="4">
        <v>93.146324865641859</v>
      </c>
      <c r="I851" s="4">
        <v>100.02985389017029</v>
      </c>
      <c r="J851" s="4">
        <v>107.58386693409416</v>
      </c>
      <c r="K851" s="4">
        <v>115.88762148821182</v>
      </c>
      <c r="L851" s="4">
        <v>125.09891729087616</v>
      </c>
      <c r="M851" s="4">
        <v>135.34187362454526</v>
      </c>
      <c r="N851" s="4">
        <v>146.6751364312708</v>
      </c>
      <c r="O851" s="11">
        <f t="shared" si="12"/>
        <v>7.7565492445186554E-2</v>
      </c>
      <c r="P851"/>
      <c r="Q851" s="11"/>
    </row>
    <row r="852" spans="1:17" x14ac:dyDescent="0.35">
      <c r="A852" s="2" t="s">
        <v>22</v>
      </c>
      <c r="O852" s="11" t="str">
        <f t="shared" si="12"/>
        <v/>
      </c>
      <c r="P852"/>
      <c r="Q852" s="11"/>
    </row>
    <row r="853" spans="1:17" x14ac:dyDescent="0.35">
      <c r="A853" s="3" t="s">
        <v>39</v>
      </c>
      <c r="B853" s="4">
        <v>189.65200259801986</v>
      </c>
      <c r="C853" s="4">
        <v>204.48314785456353</v>
      </c>
      <c r="D853" s="4">
        <v>220.76702003006972</v>
      </c>
      <c r="E853" s="4">
        <v>238.01442614938958</v>
      </c>
      <c r="F853" s="4">
        <v>256.9988326554062</v>
      </c>
      <c r="G853" s="4">
        <v>277.38681569547805</v>
      </c>
      <c r="H853" s="4">
        <v>299.85602350738009</v>
      </c>
      <c r="I853" s="4">
        <v>324.7363307337796</v>
      </c>
      <c r="J853" s="4">
        <v>351.85068522730114</v>
      </c>
      <c r="K853" s="4">
        <v>381.21758578898482</v>
      </c>
      <c r="L853" s="4">
        <v>413.54470796580188</v>
      </c>
      <c r="M853" s="4">
        <v>447.97235964316451</v>
      </c>
      <c r="N853" s="4">
        <v>485.71771156249633</v>
      </c>
      <c r="O853" s="11">
        <f t="shared" ref="O853:O916" si="13">IFERROR(RATE(2033-2026,,-G853,N853),"")</f>
        <v>8.3320284269449568E-2</v>
      </c>
      <c r="P853"/>
      <c r="Q853" s="11"/>
    </row>
    <row r="854" spans="1:17" x14ac:dyDescent="0.35">
      <c r="A854" s="3" t="s">
        <v>41</v>
      </c>
      <c r="B854" s="4">
        <v>116.96988611312675</v>
      </c>
      <c r="C854" s="4">
        <v>123.55484199381907</v>
      </c>
      <c r="D854" s="4">
        <v>130.70106790236048</v>
      </c>
      <c r="E854" s="4">
        <v>138.51149872497123</v>
      </c>
      <c r="F854" s="4">
        <v>146.94580455966044</v>
      </c>
      <c r="G854" s="4">
        <v>156.29195313196016</v>
      </c>
      <c r="H854" s="4">
        <v>166.31708759726402</v>
      </c>
      <c r="I854" s="4">
        <v>177.41614538509396</v>
      </c>
      <c r="J854" s="4">
        <v>189.54284728883715</v>
      </c>
      <c r="K854" s="4">
        <v>202.81428970512948</v>
      </c>
      <c r="L854" s="4">
        <v>217.48159163312553</v>
      </c>
      <c r="M854" s="4">
        <v>233.73029583047105</v>
      </c>
      <c r="N854" s="4">
        <v>251.62753633208183</v>
      </c>
      <c r="O854" s="11">
        <f t="shared" si="13"/>
        <v>7.0399592996468696E-2</v>
      </c>
      <c r="P854"/>
      <c r="Q854" s="11"/>
    </row>
    <row r="855" spans="1:17" x14ac:dyDescent="0.35">
      <c r="A855" s="3" t="s">
        <v>40</v>
      </c>
      <c r="B855" s="4">
        <v>170.05202902378051</v>
      </c>
      <c r="C855" s="4">
        <v>182.19031188799863</v>
      </c>
      <c r="D855" s="4">
        <v>195.24489835042368</v>
      </c>
      <c r="E855" s="4">
        <v>209.34854081168211</v>
      </c>
      <c r="F855" s="4">
        <v>224.66182277662375</v>
      </c>
      <c r="G855" s="4">
        <v>241.25325948405879</v>
      </c>
      <c r="H855" s="4">
        <v>259.13681291260878</v>
      </c>
      <c r="I855" s="4">
        <v>278.57830726999066</v>
      </c>
      <c r="J855" s="4">
        <v>299.91147476244493</v>
      </c>
      <c r="K855" s="4">
        <v>323.07140526672737</v>
      </c>
      <c r="L855" s="4">
        <v>348.44844764350353</v>
      </c>
      <c r="M855" s="4">
        <v>376.17785183002366</v>
      </c>
      <c r="N855" s="4">
        <v>406.51327851591634</v>
      </c>
      <c r="O855" s="11">
        <f t="shared" si="13"/>
        <v>7.7386797950281735E-2</v>
      </c>
      <c r="P855"/>
      <c r="Q855" s="11"/>
    </row>
    <row r="856" spans="1:17" x14ac:dyDescent="0.35">
      <c r="A856" s="3" t="s">
        <v>42</v>
      </c>
      <c r="B856" s="4">
        <v>195.55944235613779</v>
      </c>
      <c r="C856" s="4">
        <v>210.46163467039821</v>
      </c>
      <c r="D856" s="4">
        <v>226.82401810507082</v>
      </c>
      <c r="E856" s="4">
        <v>244.89388240596227</v>
      </c>
      <c r="F856" s="4">
        <v>264.68110572053126</v>
      </c>
      <c r="G856" s="4">
        <v>286.78446732882583</v>
      </c>
      <c r="H856" s="4">
        <v>310.88880276569415</v>
      </c>
      <c r="I856" s="4">
        <v>337.82453018404482</v>
      </c>
      <c r="J856" s="4">
        <v>367.64040030755444</v>
      </c>
      <c r="K856" s="4">
        <v>400.7004189470415</v>
      </c>
      <c r="L856" s="4">
        <v>437.65525241637431</v>
      </c>
      <c r="M856" s="4">
        <v>479.06607135045306</v>
      </c>
      <c r="N856" s="4">
        <v>525.28584062536174</v>
      </c>
      <c r="O856" s="11">
        <f t="shared" si="13"/>
        <v>9.0306449912903958E-2</v>
      </c>
      <c r="P856"/>
      <c r="Q856" s="11"/>
    </row>
    <row r="857" spans="1:17" x14ac:dyDescent="0.35">
      <c r="A857" s="1" t="s">
        <v>80</v>
      </c>
      <c r="O857" s="11" t="str">
        <f t="shared" si="13"/>
        <v/>
      </c>
      <c r="P857"/>
      <c r="Q857" s="11"/>
    </row>
    <row r="858" spans="1:17" x14ac:dyDescent="0.35">
      <c r="A858" s="2" t="s">
        <v>24</v>
      </c>
      <c r="O858" s="11" t="str">
        <f t="shared" si="13"/>
        <v/>
      </c>
      <c r="P858"/>
      <c r="Q858" s="11"/>
    </row>
    <row r="859" spans="1:17" x14ac:dyDescent="0.35">
      <c r="A859" s="3" t="s">
        <v>25</v>
      </c>
      <c r="B859" s="4">
        <v>24.279194199534153</v>
      </c>
      <c r="C859" s="4">
        <v>25.043637864069609</v>
      </c>
      <c r="D859" s="4">
        <v>25.892453007541373</v>
      </c>
      <c r="E859" s="4">
        <v>26.784919852115618</v>
      </c>
      <c r="F859" s="4">
        <v>27.726921887655426</v>
      </c>
      <c r="G859" s="4">
        <v>28.71606060873312</v>
      </c>
      <c r="H859" s="4">
        <v>29.749645428352935</v>
      </c>
      <c r="I859" s="4">
        <v>30.835551901782615</v>
      </c>
      <c r="J859" s="4">
        <v>31.993389795483203</v>
      </c>
      <c r="K859" s="4">
        <v>33.238506280944343</v>
      </c>
      <c r="L859" s="4">
        <v>34.56049166841224</v>
      </c>
      <c r="M859" s="4">
        <v>35.955246002656452</v>
      </c>
      <c r="N859" s="4">
        <v>37.438589785745457</v>
      </c>
      <c r="O859" s="11">
        <f t="shared" si="13"/>
        <v>3.8619265998969317E-2</v>
      </c>
      <c r="P859"/>
      <c r="Q859" s="11"/>
    </row>
    <row r="860" spans="1:17" x14ac:dyDescent="0.35">
      <c r="A860" s="3" t="s">
        <v>26</v>
      </c>
      <c r="B860" s="4">
        <v>250.55966080850803</v>
      </c>
      <c r="C860" s="4">
        <v>259.748932713599</v>
      </c>
      <c r="D860" s="4">
        <v>269.82249062470868</v>
      </c>
      <c r="E860" s="4">
        <v>280.31055815634909</v>
      </c>
      <c r="F860" s="4">
        <v>291.34007336729775</v>
      </c>
      <c r="G860" s="4">
        <v>303.06950870089213</v>
      </c>
      <c r="H860" s="4">
        <v>315.50884184099812</v>
      </c>
      <c r="I860" s="4">
        <v>329.33164031987508</v>
      </c>
      <c r="J860" s="4">
        <v>344.0322283489744</v>
      </c>
      <c r="K860" s="4">
        <v>359.82628920226875</v>
      </c>
      <c r="L860" s="4">
        <v>376.97686073355555</v>
      </c>
      <c r="M860" s="4">
        <v>395.63327095462137</v>
      </c>
      <c r="N860" s="4">
        <v>415.96476325814689</v>
      </c>
      <c r="O860" s="11">
        <f t="shared" si="13"/>
        <v>4.6272714691626672E-2</v>
      </c>
      <c r="P860"/>
      <c r="Q860" s="11"/>
    </row>
    <row r="861" spans="1:17" x14ac:dyDescent="0.35">
      <c r="A861" s="2" t="s">
        <v>27</v>
      </c>
      <c r="O861" s="11" t="str">
        <f t="shared" si="13"/>
        <v/>
      </c>
      <c r="P861"/>
      <c r="Q861" s="11"/>
    </row>
    <row r="862" spans="1:17" x14ac:dyDescent="0.35">
      <c r="A862" s="3" t="s">
        <v>30</v>
      </c>
      <c r="B862" s="4">
        <v>42.490077684895269</v>
      </c>
      <c r="C862" s="4">
        <v>44.596877624800165</v>
      </c>
      <c r="D862" s="4">
        <v>46.916773559968036</v>
      </c>
      <c r="E862" s="4">
        <v>49.393037239620632</v>
      </c>
      <c r="F862" s="4">
        <v>52.03982692608286</v>
      </c>
      <c r="G862" s="4">
        <v>54.892891455658201</v>
      </c>
      <c r="H862" s="4">
        <v>57.943955067465168</v>
      </c>
      <c r="I862" s="4">
        <v>61.229962283662069</v>
      </c>
      <c r="J862" s="4">
        <v>64.797672939781336</v>
      </c>
      <c r="K862" s="4">
        <v>68.625245909077407</v>
      </c>
      <c r="L862" s="4">
        <v>72.763571185289649</v>
      </c>
      <c r="M862" s="4">
        <v>77.243935167980865</v>
      </c>
      <c r="N862" s="4">
        <v>82.135722656185621</v>
      </c>
      <c r="O862" s="11">
        <f t="shared" si="13"/>
        <v>5.9259291362407041E-2</v>
      </c>
      <c r="P862"/>
      <c r="Q862" s="11"/>
    </row>
    <row r="863" spans="1:17" x14ac:dyDescent="0.35">
      <c r="A863" s="3" t="s">
        <v>32</v>
      </c>
      <c r="B863" s="4">
        <v>26.144879221624027</v>
      </c>
      <c r="C863" s="4">
        <v>26.69581453568162</v>
      </c>
      <c r="D863" s="4">
        <v>27.288784398770744</v>
      </c>
      <c r="E863" s="4">
        <v>27.913063115982574</v>
      </c>
      <c r="F863" s="4">
        <v>28.588402774843804</v>
      </c>
      <c r="G863" s="4">
        <v>29.320741184056132</v>
      </c>
      <c r="H863" s="4">
        <v>30.09787810473054</v>
      </c>
      <c r="I863" s="4">
        <v>30.960735280281032</v>
      </c>
      <c r="J863" s="4">
        <v>31.890152096241987</v>
      </c>
      <c r="K863" s="4">
        <v>32.876910978293616</v>
      </c>
      <c r="L863" s="4">
        <v>33.956750522508507</v>
      </c>
      <c r="M863" s="4">
        <v>35.105335583417094</v>
      </c>
      <c r="N863" s="4">
        <v>36.345678257116148</v>
      </c>
      <c r="O863" s="11">
        <f t="shared" si="13"/>
        <v>3.1158449379962334E-2</v>
      </c>
      <c r="P863"/>
      <c r="Q863" s="11"/>
    </row>
    <row r="864" spans="1:17" x14ac:dyDescent="0.35">
      <c r="A864" s="3" t="s">
        <v>29</v>
      </c>
      <c r="B864" s="4">
        <v>55.848122951958885</v>
      </c>
      <c r="C864" s="4">
        <v>58.462395157913733</v>
      </c>
      <c r="D864" s="4">
        <v>61.255849653584363</v>
      </c>
      <c r="E864" s="4">
        <v>64.22173618836969</v>
      </c>
      <c r="F864" s="4">
        <v>67.355042698320617</v>
      </c>
      <c r="G864" s="4">
        <v>70.688501143850829</v>
      </c>
      <c r="H864" s="4">
        <v>74.295367751017892</v>
      </c>
      <c r="I864" s="4">
        <v>78.156929213187055</v>
      </c>
      <c r="J864" s="4">
        <v>82.321817021704589</v>
      </c>
      <c r="K864" s="4">
        <v>86.792582399126928</v>
      </c>
      <c r="L864" s="4">
        <v>91.56662869906674</v>
      </c>
      <c r="M864" s="4">
        <v>96.73476113940724</v>
      </c>
      <c r="N864" s="4">
        <v>102.33913957825158</v>
      </c>
      <c r="O864" s="11">
        <f t="shared" si="13"/>
        <v>5.4280420614917516E-2</v>
      </c>
      <c r="P864"/>
      <c r="Q864" s="11"/>
    </row>
    <row r="865" spans="1:17" x14ac:dyDescent="0.35">
      <c r="A865" s="3" t="s">
        <v>31</v>
      </c>
      <c r="B865" s="4">
        <v>35.736082128846768</v>
      </c>
      <c r="C865" s="4">
        <v>37.209634769666458</v>
      </c>
      <c r="D865" s="4">
        <v>38.833545381525951</v>
      </c>
      <c r="E865" s="4">
        <v>40.550647735280648</v>
      </c>
      <c r="F865" s="4">
        <v>42.372096969857779</v>
      </c>
      <c r="G865" s="4">
        <v>44.29676771548376</v>
      </c>
      <c r="H865" s="4">
        <v>46.322991790697095</v>
      </c>
      <c r="I865" s="4">
        <v>48.465442043131702</v>
      </c>
      <c r="J865" s="4">
        <v>50.757739245623512</v>
      </c>
      <c r="K865" s="4">
        <v>53.227950555873598</v>
      </c>
      <c r="L865" s="4">
        <v>55.863876966749118</v>
      </c>
      <c r="M865" s="4">
        <v>58.662973635221505</v>
      </c>
      <c r="N865" s="4">
        <v>61.655022564683293</v>
      </c>
      <c r="O865" s="11">
        <f t="shared" si="13"/>
        <v>4.8368044835293875E-2</v>
      </c>
      <c r="P865"/>
      <c r="Q865" s="11"/>
    </row>
    <row r="866" spans="1:17" x14ac:dyDescent="0.35">
      <c r="A866" s="3" t="s">
        <v>28</v>
      </c>
      <c r="B866" s="4">
        <v>98.341950557448513</v>
      </c>
      <c r="C866" s="4">
        <v>101.00828176827005</v>
      </c>
      <c r="D866" s="4">
        <v>103.9995934961855</v>
      </c>
      <c r="E866" s="4">
        <v>106.96105194102017</v>
      </c>
      <c r="F866" s="4">
        <v>109.98239326438235</v>
      </c>
      <c r="G866" s="4">
        <v>113.13584467873963</v>
      </c>
      <c r="H866" s="4">
        <v>116.38334601532063</v>
      </c>
      <c r="I866" s="4">
        <v>120.32222895208466</v>
      </c>
      <c r="J866" s="4">
        <v>124.34362822947267</v>
      </c>
      <c r="K866" s="4">
        <v>128.69015508653541</v>
      </c>
      <c r="L866" s="4">
        <v>133.52894894299584</v>
      </c>
      <c r="M866" s="4">
        <v>138.90373259090904</v>
      </c>
      <c r="N866" s="4">
        <v>144.81713886522692</v>
      </c>
      <c r="O866" s="11">
        <f t="shared" si="13"/>
        <v>3.5898264826630562E-2</v>
      </c>
      <c r="P866"/>
      <c r="Q866" s="11"/>
    </row>
    <row r="867" spans="1:17" x14ac:dyDescent="0.35">
      <c r="A867" s="3" t="s">
        <v>33</v>
      </c>
      <c r="B867" s="4">
        <v>16.277742463268705</v>
      </c>
      <c r="C867" s="4">
        <v>16.819566721336564</v>
      </c>
      <c r="D867" s="4">
        <v>17.420397142215428</v>
      </c>
      <c r="E867" s="4">
        <v>18.055941788190975</v>
      </c>
      <c r="F867" s="4">
        <v>18.729232621465751</v>
      </c>
      <c r="G867" s="4">
        <v>19.450823131836703</v>
      </c>
      <c r="H867" s="4">
        <v>20.214948540119742</v>
      </c>
      <c r="I867" s="4">
        <v>21.031894449311149</v>
      </c>
      <c r="J867" s="4">
        <v>21.914608611633501</v>
      </c>
      <c r="K867" s="4">
        <v>22.851950554306168</v>
      </c>
      <c r="L867" s="4">
        <v>23.857576085357969</v>
      </c>
      <c r="M867" s="4">
        <v>24.937778840342023</v>
      </c>
      <c r="N867" s="4">
        <v>26.11065112242883</v>
      </c>
      <c r="O867" s="11">
        <f t="shared" si="13"/>
        <v>4.2962109744285215E-2</v>
      </c>
      <c r="P867"/>
      <c r="Q867" s="11"/>
    </row>
    <row r="868" spans="1:17" x14ac:dyDescent="0.35">
      <c r="A868" s="2" t="s">
        <v>34</v>
      </c>
      <c r="O868" s="11" t="str">
        <f t="shared" si="13"/>
        <v/>
      </c>
      <c r="P868"/>
      <c r="Q868" s="11"/>
    </row>
    <row r="869" spans="1:17" x14ac:dyDescent="0.35">
      <c r="A869" s="3" t="s">
        <v>36</v>
      </c>
      <c r="B869" s="4">
        <v>97.382539091993436</v>
      </c>
      <c r="C869" s="4">
        <v>102.03718098340644</v>
      </c>
      <c r="D869" s="4">
        <v>106.94223612271945</v>
      </c>
      <c r="E869" s="4">
        <v>112.14533240520508</v>
      </c>
      <c r="F869" s="4">
        <v>117.70381454955222</v>
      </c>
      <c r="G869" s="4">
        <v>123.62059685718093</v>
      </c>
      <c r="H869" s="4">
        <v>129.86904927974064</v>
      </c>
      <c r="I869" s="4">
        <v>136.54973866949126</v>
      </c>
      <c r="J869" s="4">
        <v>143.78638217578273</v>
      </c>
      <c r="K869" s="4">
        <v>151.49911784912697</v>
      </c>
      <c r="L869" s="4">
        <v>159.82657163855964</v>
      </c>
      <c r="M869" s="4">
        <v>168.77643261031892</v>
      </c>
      <c r="N869" s="4">
        <v>178.40662413916661</v>
      </c>
      <c r="O869" s="11">
        <f t="shared" si="13"/>
        <v>5.3804429936838878E-2</v>
      </c>
      <c r="P869"/>
      <c r="Q869" s="11"/>
    </row>
    <row r="870" spans="1:17" x14ac:dyDescent="0.35">
      <c r="A870" s="3" t="s">
        <v>37</v>
      </c>
      <c r="B870" s="4">
        <v>66.159314562015965</v>
      </c>
      <c r="C870" s="4">
        <v>68.377869312803639</v>
      </c>
      <c r="D870" s="4">
        <v>70.776281217466675</v>
      </c>
      <c r="E870" s="4">
        <v>73.39467305482296</v>
      </c>
      <c r="F870" s="4">
        <v>76.193198466882819</v>
      </c>
      <c r="G870" s="4">
        <v>79.304932326284316</v>
      </c>
      <c r="H870" s="4">
        <v>82.586649326373603</v>
      </c>
      <c r="I870" s="4">
        <v>86.218122807247326</v>
      </c>
      <c r="J870" s="4">
        <v>90.148728997700147</v>
      </c>
      <c r="K870" s="4">
        <v>94.408754262962077</v>
      </c>
      <c r="L870" s="4">
        <v>99.087296690201327</v>
      </c>
      <c r="M870" s="4">
        <v>104.23491804683633</v>
      </c>
      <c r="N870" s="4">
        <v>109.84375170388489</v>
      </c>
      <c r="O870" s="11">
        <f t="shared" si="13"/>
        <v>4.7636779846014853E-2</v>
      </c>
      <c r="P870"/>
      <c r="Q870" s="11"/>
    </row>
    <row r="871" spans="1:17" x14ac:dyDescent="0.35">
      <c r="A871" s="3" t="s">
        <v>35</v>
      </c>
      <c r="B871" s="4">
        <v>83.101962595537373</v>
      </c>
      <c r="C871" s="4">
        <v>85.242413911359819</v>
      </c>
      <c r="D871" s="4">
        <v>87.861598726817022</v>
      </c>
      <c r="E871" s="4">
        <v>90.367456155283918</v>
      </c>
      <c r="F871" s="4">
        <v>92.880402318716847</v>
      </c>
      <c r="G871" s="4">
        <v>95.407322943098876</v>
      </c>
      <c r="H871" s="4">
        <v>98.093720895466532</v>
      </c>
      <c r="I871" s="4">
        <v>101.35372040688003</v>
      </c>
      <c r="J871" s="4">
        <v>104.60956058704306</v>
      </c>
      <c r="K871" s="4">
        <v>108.1452700963016</v>
      </c>
      <c r="L871" s="4">
        <v>111.99142543014989</v>
      </c>
      <c r="M871" s="4">
        <v>116.19904925079726</v>
      </c>
      <c r="N871" s="4">
        <v>120.89044395201159</v>
      </c>
      <c r="O871" s="11">
        <f t="shared" si="13"/>
        <v>3.4396828582314729E-2</v>
      </c>
      <c r="P871"/>
      <c r="Q871" s="11"/>
    </row>
    <row r="872" spans="1:17" x14ac:dyDescent="0.35">
      <c r="A872" s="3" t="s">
        <v>38</v>
      </c>
      <c r="B872" s="4">
        <v>28.195038758495411</v>
      </c>
      <c r="C872" s="4">
        <v>29.135106370098661</v>
      </c>
      <c r="D872" s="4">
        <v>30.134827565246901</v>
      </c>
      <c r="E872" s="4">
        <v>31.188016393152701</v>
      </c>
      <c r="F872" s="4">
        <v>32.289579919801255</v>
      </c>
      <c r="G872" s="4">
        <v>33.452717183061132</v>
      </c>
      <c r="H872" s="4">
        <v>34.709067767770279</v>
      </c>
      <c r="I872" s="4">
        <v>36.045610338039047</v>
      </c>
      <c r="J872" s="4">
        <v>37.480946383931645</v>
      </c>
      <c r="K872" s="4">
        <v>39.011653274822478</v>
      </c>
      <c r="L872" s="4">
        <v>40.632058643056965</v>
      </c>
      <c r="M872" s="4">
        <v>42.378117049325304</v>
      </c>
      <c r="N872" s="4">
        <v>44.262533248829236</v>
      </c>
      <c r="O872" s="11">
        <f t="shared" si="13"/>
        <v>4.0811600024568337E-2</v>
      </c>
      <c r="P872"/>
      <c r="Q872" s="11"/>
    </row>
    <row r="873" spans="1:17" x14ac:dyDescent="0.35">
      <c r="A873" s="2" t="s">
        <v>22</v>
      </c>
      <c r="O873" s="11" t="str">
        <f t="shared" si="13"/>
        <v/>
      </c>
      <c r="P873"/>
      <c r="Q873" s="11"/>
    </row>
    <row r="874" spans="1:17" x14ac:dyDescent="0.35">
      <c r="A874" s="3" t="s">
        <v>39</v>
      </c>
      <c r="B874" s="4">
        <v>73.869057293547627</v>
      </c>
      <c r="C874" s="4">
        <v>76.359359821759085</v>
      </c>
      <c r="D874" s="4">
        <v>79.308447677911289</v>
      </c>
      <c r="E874" s="4">
        <v>82.256311850203531</v>
      </c>
      <c r="F874" s="4">
        <v>85.2547011321235</v>
      </c>
      <c r="G874" s="4">
        <v>88.417728605086552</v>
      </c>
      <c r="H874" s="4">
        <v>91.820002462318826</v>
      </c>
      <c r="I874" s="4">
        <v>95.977055108708214</v>
      </c>
      <c r="J874" s="4">
        <v>100.19952919668214</v>
      </c>
      <c r="K874" s="4">
        <v>104.87958597267396</v>
      </c>
      <c r="L874" s="4">
        <v>110.04748958131614</v>
      </c>
      <c r="M874" s="4">
        <v>115.82459592105084</v>
      </c>
      <c r="N874" s="4">
        <v>122.25900047694199</v>
      </c>
      <c r="O874" s="11">
        <f t="shared" si="13"/>
        <v>4.7383979360079251E-2</v>
      </c>
      <c r="P874"/>
      <c r="Q874" s="11"/>
    </row>
    <row r="875" spans="1:17" x14ac:dyDescent="0.35">
      <c r="A875" s="3" t="s">
        <v>41</v>
      </c>
      <c r="B875" s="4">
        <v>54.525722179682717</v>
      </c>
      <c r="C875" s="4">
        <v>56.082592140962319</v>
      </c>
      <c r="D875" s="4">
        <v>57.699268113157402</v>
      </c>
      <c r="E875" s="4">
        <v>59.396133138425149</v>
      </c>
      <c r="F875" s="4">
        <v>61.197049689900012</v>
      </c>
      <c r="G875" s="4">
        <v>63.095617439338135</v>
      </c>
      <c r="H875" s="4">
        <v>65.070563563721961</v>
      </c>
      <c r="I875" s="4">
        <v>67.165652329247379</v>
      </c>
      <c r="J875" s="4">
        <v>69.432616525165372</v>
      </c>
      <c r="K875" s="4">
        <v>71.820798784364527</v>
      </c>
      <c r="L875" s="4">
        <v>74.386414196839539</v>
      </c>
      <c r="M875" s="4">
        <v>77.120321235929666</v>
      </c>
      <c r="N875" s="4">
        <v>80.036572937212</v>
      </c>
      <c r="O875" s="11">
        <f t="shared" si="13"/>
        <v>3.4559833009170475E-2</v>
      </c>
      <c r="P875"/>
      <c r="Q875" s="11"/>
    </row>
    <row r="876" spans="1:17" x14ac:dyDescent="0.35">
      <c r="A876" s="3" t="s">
        <v>40</v>
      </c>
      <c r="B876" s="4">
        <v>71.741588202488174</v>
      </c>
      <c r="C876" s="4">
        <v>74.028074197853158</v>
      </c>
      <c r="D876" s="4">
        <v>76.567758560508437</v>
      </c>
      <c r="E876" s="4">
        <v>79.252815313483651</v>
      </c>
      <c r="F876" s="4">
        <v>82.095937879099438</v>
      </c>
      <c r="G876" s="4">
        <v>85.142717877140683</v>
      </c>
      <c r="H876" s="4">
        <v>88.367066119034149</v>
      </c>
      <c r="I876" s="4">
        <v>91.813195520571782</v>
      </c>
      <c r="J876" s="4">
        <v>95.536697753229859</v>
      </c>
      <c r="K876" s="4">
        <v>99.487847479536384</v>
      </c>
      <c r="L876" s="4">
        <v>103.72513902507502</v>
      </c>
      <c r="M876" s="4">
        <v>108.2747383969002</v>
      </c>
      <c r="N876" s="4">
        <v>113.21389410125006</v>
      </c>
      <c r="O876" s="11">
        <f t="shared" si="13"/>
        <v>4.1547038665606432E-2</v>
      </c>
      <c r="P876"/>
      <c r="Q876" s="11"/>
    </row>
    <row r="877" spans="1:17" x14ac:dyDescent="0.35">
      <c r="A877" s="3" t="s">
        <v>42</v>
      </c>
      <c r="B877" s="4">
        <v>74.702487332323656</v>
      </c>
      <c r="C877" s="4">
        <v>78.322544417094022</v>
      </c>
      <c r="D877" s="4">
        <v>82.139469280672898</v>
      </c>
      <c r="E877" s="4">
        <v>86.190217706352357</v>
      </c>
      <c r="F877" s="4">
        <v>90.519306553830219</v>
      </c>
      <c r="G877" s="4">
        <v>95.129505388059897</v>
      </c>
      <c r="H877" s="4">
        <v>100.00085512427614</v>
      </c>
      <c r="I877" s="4">
        <v>105.21128926313031</v>
      </c>
      <c r="J877" s="4">
        <v>110.85677466938026</v>
      </c>
      <c r="K877" s="4">
        <v>116.87656324663824</v>
      </c>
      <c r="L877" s="4">
        <v>123.37830959873706</v>
      </c>
      <c r="M877" s="4">
        <v>130.36886140339709</v>
      </c>
      <c r="N877" s="4">
        <v>137.89388552848828</v>
      </c>
      <c r="O877" s="11">
        <f t="shared" si="13"/>
        <v>5.4466590879552294E-2</v>
      </c>
      <c r="P877"/>
      <c r="Q877" s="11"/>
    </row>
    <row r="878" spans="1:17" x14ac:dyDescent="0.35">
      <c r="A878" s="1" t="s">
        <v>81</v>
      </c>
      <c r="O878" s="11" t="str">
        <f t="shared" si="13"/>
        <v/>
      </c>
      <c r="P878"/>
      <c r="Q878" s="11"/>
    </row>
    <row r="879" spans="1:17" x14ac:dyDescent="0.35">
      <c r="A879" s="2" t="s">
        <v>24</v>
      </c>
      <c r="O879" s="11" t="str">
        <f t="shared" si="13"/>
        <v/>
      </c>
      <c r="P879"/>
      <c r="Q879" s="11"/>
    </row>
    <row r="880" spans="1:17" x14ac:dyDescent="0.35">
      <c r="A880" s="3" t="s">
        <v>25</v>
      </c>
      <c r="B880" s="4">
        <v>32.701150401857902</v>
      </c>
      <c r="C880" s="4">
        <v>34.136542508921181</v>
      </c>
      <c r="D880" s="4">
        <v>35.722187213642364</v>
      </c>
      <c r="E880" s="4">
        <v>37.392161687099218</v>
      </c>
      <c r="F880" s="4">
        <v>39.1606226489656</v>
      </c>
      <c r="G880" s="4">
        <v>41.053839760259173</v>
      </c>
      <c r="H880" s="4">
        <v>43.109383349299065</v>
      </c>
      <c r="I880" s="4">
        <v>45.364797274989051</v>
      </c>
      <c r="J880" s="4">
        <v>47.780462514039336</v>
      </c>
      <c r="K880" s="4">
        <v>50.370157423506349</v>
      </c>
      <c r="L880" s="4">
        <v>53.198831544650105</v>
      </c>
      <c r="M880" s="4">
        <v>56.294743018170188</v>
      </c>
      <c r="N880" s="4">
        <v>59.690171281804723</v>
      </c>
      <c r="O880" s="11">
        <f t="shared" si="13"/>
        <v>5.4924288842933711E-2</v>
      </c>
      <c r="P880"/>
      <c r="Q880" s="11"/>
    </row>
    <row r="881" spans="1:17" x14ac:dyDescent="0.35">
      <c r="A881" s="3" t="s">
        <v>26</v>
      </c>
      <c r="B881" s="4">
        <v>325.19466898498302</v>
      </c>
      <c r="C881" s="4">
        <v>342.39805653260612</v>
      </c>
      <c r="D881" s="4">
        <v>361.3455840822453</v>
      </c>
      <c r="E881" s="4">
        <v>381.61649184696216</v>
      </c>
      <c r="F881" s="4">
        <v>403.33228863878134</v>
      </c>
      <c r="G881" s="4">
        <v>426.78328180377645</v>
      </c>
      <c r="H881" s="4">
        <v>451.92107302521202</v>
      </c>
      <c r="I881" s="4">
        <v>479.04924831778141</v>
      </c>
      <c r="J881" s="4">
        <v>508.55191440117551</v>
      </c>
      <c r="K881" s="4">
        <v>540.27949140215151</v>
      </c>
      <c r="L881" s="4">
        <v>574.65300321489053</v>
      </c>
      <c r="M881" s="4">
        <v>611.94381483241364</v>
      </c>
      <c r="N881" s="4">
        <v>652.72837413578213</v>
      </c>
      <c r="O881" s="11">
        <f t="shared" si="13"/>
        <v>6.2577774248056384E-2</v>
      </c>
      <c r="P881"/>
      <c r="Q881" s="11"/>
    </row>
    <row r="882" spans="1:17" x14ac:dyDescent="0.35">
      <c r="A882" s="2" t="s">
        <v>27</v>
      </c>
      <c r="O882" s="11" t="str">
        <f t="shared" si="13"/>
        <v/>
      </c>
      <c r="P882"/>
      <c r="Q882" s="11"/>
    </row>
    <row r="883" spans="1:17" x14ac:dyDescent="0.35">
      <c r="A883" s="3" t="s">
        <v>30</v>
      </c>
      <c r="B883" s="4">
        <v>65.097949476640878</v>
      </c>
      <c r="C883" s="4">
        <v>69.039051434047494</v>
      </c>
      <c r="D883" s="4">
        <v>73.325233031394561</v>
      </c>
      <c r="E883" s="4">
        <v>78.018261769463251</v>
      </c>
      <c r="F883" s="4">
        <v>83.100168739838878</v>
      </c>
      <c r="G883" s="4">
        <v>88.73831860702289</v>
      </c>
      <c r="H883" s="4">
        <v>94.807006350479725</v>
      </c>
      <c r="I883" s="4">
        <v>101.5363378692598</v>
      </c>
      <c r="J883" s="4">
        <v>108.90753906991277</v>
      </c>
      <c r="K883" s="4">
        <v>116.99535150537245</v>
      </c>
      <c r="L883" s="4">
        <v>125.95296275679569</v>
      </c>
      <c r="M883" s="4">
        <v>135.89795086827164</v>
      </c>
      <c r="N883" s="4">
        <v>146.88083364950785</v>
      </c>
      <c r="O883" s="11">
        <f t="shared" si="13"/>
        <v>7.4644567506456885E-2</v>
      </c>
      <c r="P883"/>
      <c r="Q883" s="11"/>
    </row>
    <row r="884" spans="1:17" x14ac:dyDescent="0.35">
      <c r="A884" s="3" t="s">
        <v>32</v>
      </c>
      <c r="B884" s="4">
        <v>32.449737866961954</v>
      </c>
      <c r="C884" s="4">
        <v>33.502419612381004</v>
      </c>
      <c r="D884" s="4">
        <v>34.640922519609674</v>
      </c>
      <c r="E884" s="4">
        <v>35.884607365876406</v>
      </c>
      <c r="F884" s="4">
        <v>37.213653839299518</v>
      </c>
      <c r="G884" s="4">
        <v>38.692781379863398</v>
      </c>
      <c r="H884" s="4">
        <v>40.251630413266675</v>
      </c>
      <c r="I884" s="4">
        <v>41.977561309531495</v>
      </c>
      <c r="J884" s="4">
        <v>43.845392848728864</v>
      </c>
      <c r="K884" s="4">
        <v>45.869400485923158</v>
      </c>
      <c r="L884" s="4">
        <v>48.092373454205401</v>
      </c>
      <c r="M884" s="4">
        <v>50.538218013558009</v>
      </c>
      <c r="N884" s="4">
        <v>53.20241108426233</v>
      </c>
      <c r="O884" s="11">
        <f t="shared" si="13"/>
        <v>4.6543628174108925E-2</v>
      </c>
      <c r="P884"/>
      <c r="Q884" s="11"/>
    </row>
    <row r="885" spans="1:17" x14ac:dyDescent="0.35">
      <c r="A885" s="3" t="s">
        <v>29</v>
      </c>
      <c r="B885" s="4">
        <v>80.571203309862526</v>
      </c>
      <c r="C885" s="4">
        <v>85.677548395095002</v>
      </c>
      <c r="D885" s="4">
        <v>91.141469777840413</v>
      </c>
      <c r="E885" s="4">
        <v>96.98368086367843</v>
      </c>
      <c r="F885" s="4">
        <v>103.23359620343136</v>
      </c>
      <c r="G885" s="4">
        <v>109.95319682333957</v>
      </c>
      <c r="H885" s="4">
        <v>117.23281102469565</v>
      </c>
      <c r="I885" s="4">
        <v>125.06196955675701</v>
      </c>
      <c r="J885" s="4">
        <v>133.60063780651109</v>
      </c>
      <c r="K885" s="4">
        <v>142.93185824508282</v>
      </c>
      <c r="L885" s="4">
        <v>153.10238270559469</v>
      </c>
      <c r="M885" s="4">
        <v>164.10010459302268</v>
      </c>
      <c r="N885" s="4">
        <v>176.17500732436139</v>
      </c>
      <c r="O885" s="11">
        <f t="shared" si="13"/>
        <v>6.9665681770881893E-2</v>
      </c>
      <c r="P885"/>
      <c r="Q885" s="11"/>
    </row>
    <row r="886" spans="1:17" x14ac:dyDescent="0.35">
      <c r="A886" s="3" t="s">
        <v>31</v>
      </c>
      <c r="B886" s="4">
        <v>45.920548652122136</v>
      </c>
      <c r="C886" s="4">
        <v>48.407398694052873</v>
      </c>
      <c r="D886" s="4">
        <v>51.130915730294276</v>
      </c>
      <c r="E886" s="4">
        <v>54.012181643495929</v>
      </c>
      <c r="F886" s="4">
        <v>57.081585556119357</v>
      </c>
      <c r="G886" s="4">
        <v>60.37752184693138</v>
      </c>
      <c r="H886" s="4">
        <v>63.91111623121548</v>
      </c>
      <c r="I886" s="4">
        <v>67.828333249034472</v>
      </c>
      <c r="J886" s="4">
        <v>72.041703969113257</v>
      </c>
      <c r="K886" s="4">
        <v>76.608368229609454</v>
      </c>
      <c r="L886" s="4">
        <v>81.598942627958976</v>
      </c>
      <c r="M886" s="4">
        <v>87.063627598953801</v>
      </c>
      <c r="N886" s="4">
        <v>93.059721662129533</v>
      </c>
      <c r="O886" s="11">
        <f t="shared" si="13"/>
        <v>6.375330800954622E-2</v>
      </c>
      <c r="P886"/>
      <c r="Q886" s="11"/>
    </row>
    <row r="887" spans="1:17" x14ac:dyDescent="0.35">
      <c r="A887" s="3" t="s">
        <v>28</v>
      </c>
      <c r="B887" s="4">
        <v>113.4720267598118</v>
      </c>
      <c r="C887" s="4">
        <v>118.53009879194281</v>
      </c>
      <c r="D887" s="4">
        <v>124.36393360553438</v>
      </c>
      <c r="E887" s="4">
        <v>130.50013408324332</v>
      </c>
      <c r="F887" s="4">
        <v>137.04005462581523</v>
      </c>
      <c r="G887" s="4">
        <v>143.95229702283717</v>
      </c>
      <c r="H887" s="4">
        <v>151.31725616957777</v>
      </c>
      <c r="I887" s="4">
        <v>158.96175544646172</v>
      </c>
      <c r="J887" s="4">
        <v>167.24163281140522</v>
      </c>
      <c r="K887" s="4">
        <v>175.76937627854932</v>
      </c>
      <c r="L887" s="4">
        <v>184.68986753245031</v>
      </c>
      <c r="M887" s="4">
        <v>194.10460247478238</v>
      </c>
      <c r="N887" s="4">
        <v>204.24790759017333</v>
      </c>
      <c r="O887" s="11">
        <f t="shared" si="13"/>
        <v>5.1248947126449507E-2</v>
      </c>
      <c r="P887"/>
      <c r="Q887" s="11"/>
    </row>
    <row r="888" spans="1:17" x14ac:dyDescent="0.35">
      <c r="A888" s="3" t="s">
        <v>33</v>
      </c>
      <c r="B888" s="4">
        <v>20.384353321441651</v>
      </c>
      <c r="C888" s="4">
        <v>21.378082114008144</v>
      </c>
      <c r="D888" s="4">
        <v>22.46529663121434</v>
      </c>
      <c r="E888" s="4">
        <v>23.609787808304095</v>
      </c>
      <c r="F888" s="4">
        <v>24.823852323242601</v>
      </c>
      <c r="G888" s="4">
        <v>26.123005884041223</v>
      </c>
      <c r="H888" s="4">
        <v>27.510636185275821</v>
      </c>
      <c r="I888" s="4">
        <v>29.048088161725961</v>
      </c>
      <c r="J888" s="4">
        <v>30.695470409543574</v>
      </c>
      <c r="K888" s="4">
        <v>32.475294081120644</v>
      </c>
      <c r="L888" s="4">
        <v>34.415305682535603</v>
      </c>
      <c r="M888" s="4">
        <v>36.534054301995312</v>
      </c>
      <c r="N888" s="4">
        <v>38.852664107152378</v>
      </c>
      <c r="O888" s="11">
        <f t="shared" si="13"/>
        <v>5.8347373781500414E-2</v>
      </c>
      <c r="P888"/>
      <c r="Q888" s="11"/>
    </row>
    <row r="889" spans="1:17" x14ac:dyDescent="0.35">
      <c r="A889" s="2" t="s">
        <v>34</v>
      </c>
      <c r="O889" s="11" t="str">
        <f t="shared" si="13"/>
        <v/>
      </c>
      <c r="P889"/>
      <c r="Q889" s="11"/>
    </row>
    <row r="890" spans="1:17" x14ac:dyDescent="0.35">
      <c r="A890" s="3" t="s">
        <v>36</v>
      </c>
      <c r="B890" s="4">
        <v>125.51415209813952</v>
      </c>
      <c r="C890" s="4">
        <v>133.59000782254554</v>
      </c>
      <c r="D890" s="4">
        <v>142.22205249971702</v>
      </c>
      <c r="E890" s="4">
        <v>151.49464959813517</v>
      </c>
      <c r="F890" s="4">
        <v>161.50991262002762</v>
      </c>
      <c r="G890" s="4">
        <v>172.3008892018054</v>
      </c>
      <c r="H890" s="4">
        <v>183.86057168667699</v>
      </c>
      <c r="I890" s="4">
        <v>196.36059537995837</v>
      </c>
      <c r="J890" s="4">
        <v>210.01572420062445</v>
      </c>
      <c r="K890" s="4">
        <v>224.75566310533927</v>
      </c>
      <c r="L890" s="4">
        <v>240.82832363935898</v>
      </c>
      <c r="M890" s="4">
        <v>258.29849688451742</v>
      </c>
      <c r="N890" s="4">
        <v>277.31018494732251</v>
      </c>
      <c r="O890" s="11">
        <f t="shared" si="13"/>
        <v>7.0349157802568202E-2</v>
      </c>
      <c r="P890"/>
      <c r="Q890" s="11"/>
    </row>
    <row r="891" spans="1:17" x14ac:dyDescent="0.35">
      <c r="A891" s="3" t="s">
        <v>37</v>
      </c>
      <c r="B891" s="4">
        <v>80.97301529967703</v>
      </c>
      <c r="C891" s="4">
        <v>85.276854349908731</v>
      </c>
      <c r="D891" s="4">
        <v>90.027402026788991</v>
      </c>
      <c r="E891" s="4">
        <v>95.069497062393609</v>
      </c>
      <c r="F891" s="4">
        <v>100.44589086231856</v>
      </c>
      <c r="G891" s="4">
        <v>106.23179538025069</v>
      </c>
      <c r="H891" s="4">
        <v>112.53418188093359</v>
      </c>
      <c r="I891" s="4">
        <v>119.46355097550924</v>
      </c>
      <c r="J891" s="4">
        <v>126.93086614572258</v>
      </c>
      <c r="K891" s="4">
        <v>134.98553776786753</v>
      </c>
      <c r="L891" s="4">
        <v>143.81561969708082</v>
      </c>
      <c r="M891" s="4">
        <v>153.51632646951651</v>
      </c>
      <c r="N891" s="4">
        <v>164.19683744385739</v>
      </c>
      <c r="O891" s="11">
        <f t="shared" si="13"/>
        <v>6.4181616659376509E-2</v>
      </c>
      <c r="P891"/>
      <c r="Q891" s="11"/>
    </row>
    <row r="892" spans="1:17" x14ac:dyDescent="0.35">
      <c r="A892" s="3" t="s">
        <v>35</v>
      </c>
      <c r="B892" s="4">
        <v>116.52044382981197</v>
      </c>
      <c r="C892" s="4">
        <v>121.163288609315</v>
      </c>
      <c r="D892" s="4">
        <v>126.52945493964666</v>
      </c>
      <c r="E892" s="4">
        <v>132.27256203694083</v>
      </c>
      <c r="F892" s="4">
        <v>138.36753335967848</v>
      </c>
      <c r="G892" s="4">
        <v>144.99362072218446</v>
      </c>
      <c r="H892" s="4">
        <v>151.99850319097044</v>
      </c>
      <c r="I892" s="4">
        <v>159.39929347694357</v>
      </c>
      <c r="J892" s="4">
        <v>167.45615967976357</v>
      </c>
      <c r="K892" s="4">
        <v>176.03794818088829</v>
      </c>
      <c r="L892" s="4">
        <v>185.12254242722537</v>
      </c>
      <c r="M892" s="4">
        <v>194.81683801448276</v>
      </c>
      <c r="N892" s="4">
        <v>205.43896562713746</v>
      </c>
      <c r="O892" s="11">
        <f t="shared" si="13"/>
        <v>5.103972793322667E-2</v>
      </c>
      <c r="P892"/>
      <c r="Q892" s="11"/>
    </row>
    <row r="893" spans="1:17" x14ac:dyDescent="0.35">
      <c r="A893" s="3" t="s">
        <v>38</v>
      </c>
      <c r="B893" s="4">
        <v>34.888208159212375</v>
      </c>
      <c r="C893" s="4">
        <v>36.504448259758057</v>
      </c>
      <c r="D893" s="4">
        <v>38.288861829734991</v>
      </c>
      <c r="E893" s="4">
        <v>40.171944836591791</v>
      </c>
      <c r="F893" s="4">
        <v>42.169574445722276</v>
      </c>
      <c r="G893" s="4">
        <v>44.310816259795068</v>
      </c>
      <c r="H893" s="4">
        <v>46.637199615930122</v>
      </c>
      <c r="I893" s="4">
        <v>49.190605760359247</v>
      </c>
      <c r="J893" s="4">
        <v>51.929626889104192</v>
      </c>
      <c r="K893" s="4">
        <v>54.87049977156277</v>
      </c>
      <c r="L893" s="4">
        <v>58.085348995875513</v>
      </c>
      <c r="M893" s="4">
        <v>61.606896482067121</v>
      </c>
      <c r="N893" s="4">
        <v>65.472557399269476</v>
      </c>
      <c r="O893" s="11">
        <f t="shared" si="13"/>
        <v>5.7356318726329326E-2</v>
      </c>
      <c r="P893"/>
      <c r="Q893" s="11"/>
    </row>
    <row r="894" spans="1:17" x14ac:dyDescent="0.35">
      <c r="A894" s="2" t="s">
        <v>22</v>
      </c>
      <c r="O894" s="11" t="str">
        <f t="shared" si="13"/>
        <v/>
      </c>
      <c r="P894"/>
      <c r="Q894" s="11"/>
    </row>
    <row r="895" spans="1:17" x14ac:dyDescent="0.35">
      <c r="A895" s="3" t="s">
        <v>39</v>
      </c>
      <c r="B895" s="4">
        <v>93.27908893360177</v>
      </c>
      <c r="C895" s="4">
        <v>98.543761399093569</v>
      </c>
      <c r="D895" s="4">
        <v>104.56415750584409</v>
      </c>
      <c r="E895" s="4">
        <v>111.05554956844895</v>
      </c>
      <c r="F895" s="4">
        <v>117.92436085818457</v>
      </c>
      <c r="G895" s="4">
        <v>125.31164137549939</v>
      </c>
      <c r="H895" s="4">
        <v>133.13596061631995</v>
      </c>
      <c r="I895" s="4">
        <v>141.23850175695293</v>
      </c>
      <c r="J895" s="4">
        <v>150.1321486447153</v>
      </c>
      <c r="K895" s="4">
        <v>159.63561136695023</v>
      </c>
      <c r="L895" s="4">
        <v>169.65196611532122</v>
      </c>
      <c r="M895" s="4">
        <v>180.50794172225397</v>
      </c>
      <c r="N895" s="4">
        <v>192.39514558472695</v>
      </c>
      <c r="O895" s="11">
        <f t="shared" si="13"/>
        <v>6.3164298728540041E-2</v>
      </c>
      <c r="P895"/>
      <c r="Q895" s="11"/>
    </row>
    <row r="896" spans="1:17" x14ac:dyDescent="0.35">
      <c r="A896" s="3" t="s">
        <v>41</v>
      </c>
      <c r="B896" s="4">
        <v>68.371142647035867</v>
      </c>
      <c r="C896" s="4">
        <v>71.124078319337769</v>
      </c>
      <c r="D896" s="4">
        <v>74.06891938462833</v>
      </c>
      <c r="E896" s="4">
        <v>77.184920087226331</v>
      </c>
      <c r="F896" s="4">
        <v>80.533709854369945</v>
      </c>
      <c r="G896" s="4">
        <v>84.142329707966653</v>
      </c>
      <c r="H896" s="4">
        <v>87.987370666346834</v>
      </c>
      <c r="I896" s="4">
        <v>92.198495378415842</v>
      </c>
      <c r="J896" s="4">
        <v>96.735712078678617</v>
      </c>
      <c r="K896" s="4">
        <v>101.58552013891293</v>
      </c>
      <c r="L896" s="4">
        <v>106.8717367523096</v>
      </c>
      <c r="M896" s="4">
        <v>112.53776915559433</v>
      </c>
      <c r="N896" s="4">
        <v>118.67380251485781</v>
      </c>
      <c r="O896" s="11">
        <f t="shared" si="13"/>
        <v>5.0350707331743245E-2</v>
      </c>
      <c r="P896"/>
      <c r="Q896" s="11"/>
    </row>
    <row r="897" spans="1:17" x14ac:dyDescent="0.35">
      <c r="A897" s="3" t="s">
        <v>40</v>
      </c>
      <c r="B897" s="4">
        <v>85.634039318538896</v>
      </c>
      <c r="C897" s="4">
        <v>89.599570295674567</v>
      </c>
      <c r="D897" s="4">
        <v>93.977737762395989</v>
      </c>
      <c r="E897" s="4">
        <v>98.597926323832866</v>
      </c>
      <c r="F897" s="4">
        <v>103.499091950204</v>
      </c>
      <c r="G897" s="4">
        <v>108.75255697697224</v>
      </c>
      <c r="H897" s="4">
        <v>114.46022863020494</v>
      </c>
      <c r="I897" s="4">
        <v>120.72487068987772</v>
      </c>
      <c r="J897" s="4">
        <v>127.44482960721541</v>
      </c>
      <c r="K897" s="4">
        <v>134.65992926592054</v>
      </c>
      <c r="L897" s="4">
        <v>142.54714733577268</v>
      </c>
      <c r="M897" s="4">
        <v>151.18675116157183</v>
      </c>
      <c r="N897" s="4">
        <v>160.670520010247</v>
      </c>
      <c r="O897" s="11">
        <f t="shared" si="13"/>
        <v>5.7337943423513921E-2</v>
      </c>
      <c r="P897"/>
      <c r="Q897" s="11"/>
    </row>
    <row r="898" spans="1:17" x14ac:dyDescent="0.35">
      <c r="A898" s="3" t="s">
        <v>42</v>
      </c>
      <c r="B898" s="4">
        <v>110.61154848766438</v>
      </c>
      <c r="C898" s="4">
        <v>117.2671890274214</v>
      </c>
      <c r="D898" s="4">
        <v>124.45695664301928</v>
      </c>
      <c r="E898" s="4">
        <v>132.17025755455325</v>
      </c>
      <c r="F898" s="4">
        <v>140.53574862498843</v>
      </c>
      <c r="G898" s="4">
        <v>149.63059350359734</v>
      </c>
      <c r="H898" s="4">
        <v>159.4468964616394</v>
      </c>
      <c r="I898" s="4">
        <v>170.25217776752396</v>
      </c>
      <c r="J898" s="4">
        <v>182.01968658460549</v>
      </c>
      <c r="K898" s="4">
        <v>194.76858805387423</v>
      </c>
      <c r="L898" s="4">
        <v>208.78098455613721</v>
      </c>
      <c r="M898" s="4">
        <v>224.00609581116368</v>
      </c>
      <c r="N898" s="4">
        <v>240.67907730775508</v>
      </c>
      <c r="O898" s="11">
        <f t="shared" si="13"/>
        <v>7.0257492952496489E-2</v>
      </c>
      <c r="P898"/>
      <c r="Q898" s="11"/>
    </row>
    <row r="899" spans="1:17" x14ac:dyDescent="0.35">
      <c r="A899" s="1" t="s">
        <v>82</v>
      </c>
      <c r="O899" s="11" t="str">
        <f t="shared" si="13"/>
        <v/>
      </c>
      <c r="P899"/>
      <c r="Q899" s="11"/>
    </row>
    <row r="900" spans="1:17" x14ac:dyDescent="0.35">
      <c r="A900" s="2" t="s">
        <v>24</v>
      </c>
      <c r="O900" s="11" t="str">
        <f t="shared" si="13"/>
        <v/>
      </c>
      <c r="P900"/>
      <c r="Q900" s="11"/>
    </row>
    <row r="901" spans="1:17" x14ac:dyDescent="0.35">
      <c r="A901" s="3" t="s">
        <v>25</v>
      </c>
      <c r="B901" s="4">
        <v>43.600018416154789</v>
      </c>
      <c r="C901" s="4">
        <v>45.934572621913986</v>
      </c>
      <c r="D901" s="4">
        <v>48.506022381211075</v>
      </c>
      <c r="E901" s="4">
        <v>51.258321123646844</v>
      </c>
      <c r="F901" s="4">
        <v>54.208122208194148</v>
      </c>
      <c r="G901" s="4">
        <v>57.394806004965893</v>
      </c>
      <c r="H901" s="4">
        <v>60.812298533976048</v>
      </c>
      <c r="I901" s="4">
        <v>64.501875226519346</v>
      </c>
      <c r="J901" s="4">
        <v>68.515753293022613</v>
      </c>
      <c r="K901" s="4">
        <v>72.834374168815799</v>
      </c>
      <c r="L901" s="4">
        <v>77.515053961684231</v>
      </c>
      <c r="M901" s="4">
        <v>82.595059771626211</v>
      </c>
      <c r="N901" s="4">
        <v>88.152926034269683</v>
      </c>
      <c r="O901" s="11">
        <f t="shared" si="13"/>
        <v>6.3220761714814624E-2</v>
      </c>
      <c r="P901"/>
      <c r="Q901" s="11"/>
    </row>
    <row r="902" spans="1:17" x14ac:dyDescent="0.35">
      <c r="A902" s="3" t="s">
        <v>26</v>
      </c>
      <c r="B902" s="4">
        <v>403.62437564038953</v>
      </c>
      <c r="C902" s="4">
        <v>428.15991053757068</v>
      </c>
      <c r="D902" s="4">
        <v>454.6748831777773</v>
      </c>
      <c r="E902" s="4">
        <v>483.13407200817136</v>
      </c>
      <c r="F902" s="4">
        <v>514.01118815023506</v>
      </c>
      <c r="G902" s="4">
        <v>547.59270462064399</v>
      </c>
      <c r="H902" s="4">
        <v>583.85447093067273</v>
      </c>
      <c r="I902" s="4">
        <v>623.78078342921481</v>
      </c>
      <c r="J902" s="4">
        <v>667.28004407633716</v>
      </c>
      <c r="K902" s="4">
        <v>714.42876721140317</v>
      </c>
      <c r="L902" s="4">
        <v>766.26812078958335</v>
      </c>
      <c r="M902" s="4">
        <v>822.61992462562682</v>
      </c>
      <c r="N902" s="4">
        <v>884.35563264973371</v>
      </c>
      <c r="O902" s="11">
        <f t="shared" si="13"/>
        <v>7.0874236793000839E-2</v>
      </c>
      <c r="P902"/>
      <c r="Q902" s="11"/>
    </row>
    <row r="903" spans="1:17" x14ac:dyDescent="0.35">
      <c r="A903" s="2" t="s">
        <v>27</v>
      </c>
      <c r="O903" s="11" t="str">
        <f t="shared" si="13"/>
        <v/>
      </c>
      <c r="P903"/>
      <c r="Q903" s="11"/>
    </row>
    <row r="904" spans="1:17" x14ac:dyDescent="0.35">
      <c r="A904" s="3" t="s">
        <v>30</v>
      </c>
      <c r="B904" s="4">
        <v>75.47667121559229</v>
      </c>
      <c r="C904" s="4">
        <v>80.704718454231283</v>
      </c>
      <c r="D904" s="4">
        <v>86.419370427821221</v>
      </c>
      <c r="E904" s="4">
        <v>92.704553607485508</v>
      </c>
      <c r="F904" s="4">
        <v>99.552023174796787</v>
      </c>
      <c r="G904" s="4">
        <v>107.17507883701026</v>
      </c>
      <c r="H904" s="4">
        <v>115.43983528632384</v>
      </c>
      <c r="I904" s="4">
        <v>124.64099252438047</v>
      </c>
      <c r="J904" s="4">
        <v>134.7771265711217</v>
      </c>
      <c r="K904" s="4">
        <v>145.9621540281656</v>
      </c>
      <c r="L904" s="4">
        <v>158.4112334521073</v>
      </c>
      <c r="M904" s="4">
        <v>172.3013493356078</v>
      </c>
      <c r="N904" s="4">
        <v>187.72974409043789</v>
      </c>
      <c r="O904" s="11">
        <f t="shared" si="13"/>
        <v>8.3370584455407543E-2</v>
      </c>
      <c r="P904"/>
      <c r="Q904" s="11"/>
    </row>
    <row r="905" spans="1:17" x14ac:dyDescent="0.35">
      <c r="A905" s="3" t="s">
        <v>32</v>
      </c>
      <c r="B905" s="4">
        <v>42.641066723472854</v>
      </c>
      <c r="C905" s="4">
        <v>44.396443017280241</v>
      </c>
      <c r="D905" s="4">
        <v>46.29255565555502</v>
      </c>
      <c r="E905" s="4">
        <v>48.358506321109047</v>
      </c>
      <c r="F905" s="4">
        <v>50.571518621900196</v>
      </c>
      <c r="G905" s="4">
        <v>53.022864689600794</v>
      </c>
      <c r="H905" s="4">
        <v>55.621717078880124</v>
      </c>
      <c r="I905" s="4">
        <v>58.492047309342027</v>
      </c>
      <c r="J905" s="4">
        <v>61.605105542599489</v>
      </c>
      <c r="K905" s="4">
        <v>64.986507092718554</v>
      </c>
      <c r="L905" s="4">
        <v>68.703023435656704</v>
      </c>
      <c r="M905" s="4">
        <v>72.796567849153533</v>
      </c>
      <c r="N905" s="4">
        <v>77.269360574828539</v>
      </c>
      <c r="O905" s="11">
        <f t="shared" si="13"/>
        <v>5.5269648513593582E-2</v>
      </c>
      <c r="P905"/>
      <c r="Q905" s="11"/>
    </row>
    <row r="906" spans="1:17" x14ac:dyDescent="0.35">
      <c r="A906" s="3" t="s">
        <v>29</v>
      </c>
      <c r="B906" s="4">
        <v>101.38651803560262</v>
      </c>
      <c r="C906" s="4">
        <v>107.90447455157367</v>
      </c>
      <c r="D906" s="4">
        <v>115.00788299423579</v>
      </c>
      <c r="E906" s="4">
        <v>122.79966779242756</v>
      </c>
      <c r="F906" s="4">
        <v>131.25866069279715</v>
      </c>
      <c r="G906" s="4">
        <v>140.65608835664747</v>
      </c>
      <c r="H906" s="4">
        <v>150.8024097838657</v>
      </c>
      <c r="I906" s="4">
        <v>162.07132404959907</v>
      </c>
      <c r="J906" s="4">
        <v>174.44446024370956</v>
      </c>
      <c r="K906" s="4">
        <v>188.05290732194422</v>
      </c>
      <c r="L906" s="4">
        <v>203.15560782540382</v>
      </c>
      <c r="M906" s="4">
        <v>219.95760114398166</v>
      </c>
      <c r="N906" s="4">
        <v>238.55814484070592</v>
      </c>
      <c r="O906" s="11">
        <f t="shared" si="13"/>
        <v>7.8391684794913138E-2</v>
      </c>
      <c r="P906"/>
      <c r="Q906" s="11"/>
    </row>
    <row r="907" spans="1:17" x14ac:dyDescent="0.35">
      <c r="A907" s="3" t="s">
        <v>31</v>
      </c>
      <c r="B907" s="4">
        <v>51.185674737947792</v>
      </c>
      <c r="C907" s="4">
        <v>54.330990646295582</v>
      </c>
      <c r="D907" s="4">
        <v>57.808444228400319</v>
      </c>
      <c r="E907" s="4">
        <v>61.525749625649432</v>
      </c>
      <c r="F907" s="4">
        <v>65.515686484326892</v>
      </c>
      <c r="G907" s="4">
        <v>69.833158683797876</v>
      </c>
      <c r="H907" s="4">
        <v>74.555581721566284</v>
      </c>
      <c r="I907" s="4">
        <v>79.76502658534838</v>
      </c>
      <c r="J907" s="4">
        <v>85.41276377945367</v>
      </c>
      <c r="K907" s="4">
        <v>91.541537549578138</v>
      </c>
      <c r="L907" s="4">
        <v>98.289306289435842</v>
      </c>
      <c r="M907" s="4">
        <v>105.73472204615292</v>
      </c>
      <c r="N907" s="4">
        <v>113.96829520004007</v>
      </c>
      <c r="O907" s="11">
        <f t="shared" si="13"/>
        <v>7.2479277194416131E-2</v>
      </c>
      <c r="P907"/>
      <c r="Q907" s="11"/>
    </row>
    <row r="908" spans="1:17" x14ac:dyDescent="0.35">
      <c r="A908" s="3" t="s">
        <v>28</v>
      </c>
      <c r="B908" s="4">
        <v>149.709476667947</v>
      </c>
      <c r="C908" s="4">
        <v>158.30232685482406</v>
      </c>
      <c r="D908" s="4">
        <v>167.45619152829454</v>
      </c>
      <c r="E908" s="4">
        <v>176.9501265254446</v>
      </c>
      <c r="F908" s="4">
        <v>187.28508469413833</v>
      </c>
      <c r="G908" s="4">
        <v>198.13674970025488</v>
      </c>
      <c r="H908" s="4">
        <v>209.78313995572137</v>
      </c>
      <c r="I908" s="4">
        <v>222.38014671906251</v>
      </c>
      <c r="J908" s="4">
        <v>235.93460214367241</v>
      </c>
      <c r="K908" s="4">
        <v>250.16465522367207</v>
      </c>
      <c r="L908" s="4">
        <v>265.47659404008346</v>
      </c>
      <c r="M908" s="4">
        <v>281.23281619798468</v>
      </c>
      <c r="N908" s="4">
        <v>298.01497926990567</v>
      </c>
      <c r="O908" s="11">
        <f t="shared" si="13"/>
        <v>6.0046027263432847E-2</v>
      </c>
      <c r="P908"/>
      <c r="Q908" s="11"/>
    </row>
    <row r="909" spans="1:17" x14ac:dyDescent="0.35">
      <c r="A909" s="3" t="s">
        <v>33</v>
      </c>
      <c r="B909" s="4">
        <v>26.824986675981716</v>
      </c>
      <c r="C909" s="4">
        <v>28.455529635279785</v>
      </c>
      <c r="D909" s="4">
        <v>30.196460724681522</v>
      </c>
      <c r="E909" s="4">
        <v>32.053789259702064</v>
      </c>
      <c r="F909" s="4">
        <v>34.036336690469909</v>
      </c>
      <c r="G909" s="4">
        <v>36.163570358298578</v>
      </c>
      <c r="H909" s="4">
        <v>38.464085638291401</v>
      </c>
      <c r="I909" s="4">
        <v>40.933121468001751</v>
      </c>
      <c r="J909" s="4">
        <v>43.621739088802926</v>
      </c>
      <c r="K909" s="4">
        <v>46.555380164140388</v>
      </c>
      <c r="L909" s="4">
        <v>49.747409708580427</v>
      </c>
      <c r="M909" s="4">
        <v>53.191927824372478</v>
      </c>
      <c r="N909" s="4">
        <v>56.968034708085355</v>
      </c>
      <c r="O909" s="11">
        <f t="shared" si="13"/>
        <v>6.7073357439921766E-2</v>
      </c>
      <c r="P909"/>
      <c r="Q909" s="11"/>
    </row>
    <row r="910" spans="1:17" x14ac:dyDescent="0.35">
      <c r="A910" s="2" t="s">
        <v>34</v>
      </c>
      <c r="O910" s="11" t="str">
        <f t="shared" si="13"/>
        <v/>
      </c>
      <c r="P910"/>
      <c r="Q910" s="11"/>
    </row>
    <row r="911" spans="1:17" x14ac:dyDescent="0.35">
      <c r="A911" s="3" t="s">
        <v>36</v>
      </c>
      <c r="B911" s="4">
        <v>156.1862746900706</v>
      </c>
      <c r="C911" s="4">
        <v>166.90595455089652</v>
      </c>
      <c r="D911" s="4">
        <v>178.55158977775795</v>
      </c>
      <c r="E911" s="4">
        <v>191.12845934635357</v>
      </c>
      <c r="F911" s="4">
        <v>204.84306138421371</v>
      </c>
      <c r="G911" s="4">
        <v>219.83310174484529</v>
      </c>
      <c r="H911" s="4">
        <v>236.11531002551644</v>
      </c>
      <c r="I911" s="4">
        <v>254.11436044479638</v>
      </c>
      <c r="J911" s="4">
        <v>273.82874424665755</v>
      </c>
      <c r="K911" s="4">
        <v>295.32538968839214</v>
      </c>
      <c r="L911" s="4">
        <v>319.07146041941201</v>
      </c>
      <c r="M911" s="4">
        <v>345.03956496663915</v>
      </c>
      <c r="N911" s="4">
        <v>373.64112686926131</v>
      </c>
      <c r="O911" s="11">
        <f t="shared" si="13"/>
        <v>7.8720166656390367E-2</v>
      </c>
      <c r="P911"/>
      <c r="Q911" s="11"/>
    </row>
    <row r="912" spans="1:17" x14ac:dyDescent="0.35">
      <c r="A912" s="3" t="s">
        <v>37</v>
      </c>
      <c r="B912" s="4">
        <v>101.89930158497567</v>
      </c>
      <c r="C912" s="4">
        <v>108.16840133195974</v>
      </c>
      <c r="D912" s="4">
        <v>115.09965166603088</v>
      </c>
      <c r="E912" s="4">
        <v>122.50944533151893</v>
      </c>
      <c r="F912" s="4">
        <v>130.46315365829534</v>
      </c>
      <c r="G912" s="4">
        <v>139.07022268822803</v>
      </c>
      <c r="H912" s="4">
        <v>148.48495979825947</v>
      </c>
      <c r="I912" s="4">
        <v>158.87098678903936</v>
      </c>
      <c r="J912" s="4">
        <v>170.13145024576798</v>
      </c>
      <c r="K912" s="4">
        <v>182.35167449281963</v>
      </c>
      <c r="L912" s="4">
        <v>195.80667498954696</v>
      </c>
      <c r="M912" s="4">
        <v>210.65339571119156</v>
      </c>
      <c r="N912" s="4">
        <v>227.07244882648135</v>
      </c>
      <c r="O912" s="11">
        <f t="shared" si="13"/>
        <v>7.2552632986468218E-2</v>
      </c>
      <c r="P912"/>
      <c r="Q912" s="11"/>
    </row>
    <row r="913" spans="1:17" x14ac:dyDescent="0.35">
      <c r="A913" s="3" t="s">
        <v>35</v>
      </c>
      <c r="B913" s="4">
        <v>152.04815132417474</v>
      </c>
      <c r="C913" s="4">
        <v>159.92362635878163</v>
      </c>
      <c r="D913" s="4">
        <v>168.1623240185362</v>
      </c>
      <c r="E913" s="4">
        <v>176.95476868533439</v>
      </c>
      <c r="F913" s="4">
        <v>186.4895776596365</v>
      </c>
      <c r="G913" s="4">
        <v>196.84108798107496</v>
      </c>
      <c r="H913" s="4">
        <v>207.78136786225826</v>
      </c>
      <c r="I913" s="4">
        <v>219.68779545554639</v>
      </c>
      <c r="J913" s="4">
        <v>232.6487401160465</v>
      </c>
      <c r="K913" s="4">
        <v>246.50051494524905</v>
      </c>
      <c r="L913" s="4">
        <v>261.61387973115984</v>
      </c>
      <c r="M913" s="4">
        <v>277.66274220316416</v>
      </c>
      <c r="N913" s="4">
        <v>294.90529448110988</v>
      </c>
      <c r="O913" s="11">
        <f t="shared" si="13"/>
        <v>5.9451239123746176E-2</v>
      </c>
      <c r="P913"/>
      <c r="Q913" s="11"/>
    </row>
    <row r="914" spans="1:17" x14ac:dyDescent="0.35">
      <c r="A914" s="3" t="s">
        <v>38</v>
      </c>
      <c r="B914" s="4">
        <v>37.090666457323323</v>
      </c>
      <c r="C914" s="4">
        <v>39.096500917846733</v>
      </c>
      <c r="D914" s="4">
        <v>41.367340096663384</v>
      </c>
      <c r="E914" s="4">
        <v>43.799719768611297</v>
      </c>
      <c r="F914" s="4">
        <v>46.423517656283664</v>
      </c>
      <c r="G914" s="4">
        <v>49.2430982114616</v>
      </c>
      <c r="H914" s="4">
        <v>52.285131778614605</v>
      </c>
      <c r="I914" s="4">
        <v>55.609515966352006</v>
      </c>
      <c r="J914" s="4">
        <v>59.186862760887728</v>
      </c>
      <c r="K914" s="4">
        <v>63.085562253758063</v>
      </c>
      <c r="L914" s="4">
        <v>67.291159611148728</v>
      </c>
      <c r="M914" s="4">
        <v>71.859281516258235</v>
      </c>
      <c r="N914" s="4">
        <v>76.889688507150922</v>
      </c>
      <c r="O914" s="11">
        <f t="shared" si="13"/>
        <v>6.5727333456704728E-2</v>
      </c>
      <c r="P914"/>
      <c r="Q914" s="11"/>
    </row>
    <row r="915" spans="1:17" x14ac:dyDescent="0.35">
      <c r="A915" s="2" t="s">
        <v>22</v>
      </c>
      <c r="O915" s="11" t="str">
        <f t="shared" si="13"/>
        <v/>
      </c>
      <c r="P915"/>
      <c r="Q915" s="11"/>
    </row>
    <row r="916" spans="1:17" x14ac:dyDescent="0.35">
      <c r="A916" s="3" t="s">
        <v>39</v>
      </c>
      <c r="B916" s="4">
        <v>113.66567379648478</v>
      </c>
      <c r="C916" s="4">
        <v>120.66499840253545</v>
      </c>
      <c r="D916" s="4">
        <v>127.81334979663387</v>
      </c>
      <c r="E916" s="4">
        <v>135.43743481771236</v>
      </c>
      <c r="F916" s="4">
        <v>143.87312938275431</v>
      </c>
      <c r="G916" s="4">
        <v>153.2318332716444</v>
      </c>
      <c r="H916" s="4">
        <v>163.17506945442585</v>
      </c>
      <c r="I916" s="4">
        <v>174.44476073608314</v>
      </c>
      <c r="J916" s="4">
        <v>186.79950471502377</v>
      </c>
      <c r="K916" s="4">
        <v>200.0390795014207</v>
      </c>
      <c r="L916" s="4">
        <v>215.12714684708078</v>
      </c>
      <c r="M916" s="4">
        <v>231.3330292625393</v>
      </c>
      <c r="N916" s="4">
        <v>248.91463034714411</v>
      </c>
      <c r="O916" s="11">
        <f t="shared" si="13"/>
        <v>7.176656287506121E-2</v>
      </c>
      <c r="P916"/>
      <c r="Q916" s="11"/>
    </row>
    <row r="917" spans="1:17" x14ac:dyDescent="0.35">
      <c r="A917" s="3" t="s">
        <v>41</v>
      </c>
      <c r="B917" s="4">
        <v>87.921869286431971</v>
      </c>
      <c r="C917" s="4">
        <v>92.255848946946713</v>
      </c>
      <c r="D917" s="4">
        <v>97.028192393064984</v>
      </c>
      <c r="E917" s="4">
        <v>102.12121360398918</v>
      </c>
      <c r="F917" s="4">
        <v>107.56391545085064</v>
      </c>
      <c r="G917" s="4">
        <v>113.42989529468109</v>
      </c>
      <c r="H917" s="4">
        <v>119.70169745382026</v>
      </c>
      <c r="I917" s="4">
        <v>126.45530194924162</v>
      </c>
      <c r="J917" s="4">
        <v>133.78687610097859</v>
      </c>
      <c r="K917" s="4">
        <v>141.65084193759682</v>
      </c>
      <c r="L917" s="4">
        <v>150.15179674140143</v>
      </c>
      <c r="M917" s="4">
        <v>159.35376965882796</v>
      </c>
      <c r="N917" s="4">
        <v>169.3993160136269</v>
      </c>
      <c r="O917" s="11">
        <f t="shared" ref="O917:O980" si="14">IFERROR(RATE(2033-2026,,-G917,N917),"")</f>
        <v>5.8969485307526513E-2</v>
      </c>
      <c r="P917"/>
      <c r="Q917" s="11"/>
    </row>
    <row r="918" spans="1:17" x14ac:dyDescent="0.35">
      <c r="A918" s="3" t="s">
        <v>40</v>
      </c>
      <c r="B918" s="4">
        <v>117.16294656782794</v>
      </c>
      <c r="C918" s="4">
        <v>123.52590336252028</v>
      </c>
      <c r="D918" s="4">
        <v>130.72898442982643</v>
      </c>
      <c r="E918" s="4">
        <v>138.44577316655398</v>
      </c>
      <c r="F918" s="4">
        <v>146.77104786558223</v>
      </c>
      <c r="G918" s="4">
        <v>155.71900712692531</v>
      </c>
      <c r="H918" s="4">
        <v>165.3743987855041</v>
      </c>
      <c r="I918" s="4">
        <v>175.92713975026749</v>
      </c>
      <c r="J918" s="4">
        <v>187.28484561394589</v>
      </c>
      <c r="K918" s="4">
        <v>199.66445147341278</v>
      </c>
      <c r="L918" s="4">
        <v>213.02087717240084</v>
      </c>
      <c r="M918" s="4">
        <v>227.53085826171449</v>
      </c>
      <c r="N918" s="4">
        <v>243.51102542379741</v>
      </c>
      <c r="O918" s="11">
        <f t="shared" si="14"/>
        <v>6.5956720293792834E-2</v>
      </c>
      <c r="P918"/>
      <c r="Q918" s="11"/>
    </row>
    <row r="919" spans="1:17" x14ac:dyDescent="0.35">
      <c r="A919" s="3" t="s">
        <v>42</v>
      </c>
      <c r="B919" s="4">
        <v>128.47390440579963</v>
      </c>
      <c r="C919" s="4">
        <v>137.64773244748221</v>
      </c>
      <c r="D919" s="4">
        <v>147.61037893946312</v>
      </c>
      <c r="E919" s="4">
        <v>158.38797154356263</v>
      </c>
      <c r="F919" s="4">
        <v>170.01121765924199</v>
      </c>
      <c r="G919" s="4">
        <v>182.60677493235906</v>
      </c>
      <c r="H919" s="4">
        <v>196.41560377089854</v>
      </c>
      <c r="I919" s="4">
        <v>211.45545622014188</v>
      </c>
      <c r="J919" s="4">
        <v>227.9245709394115</v>
      </c>
      <c r="K919" s="4">
        <v>245.90876846778858</v>
      </c>
      <c r="L919" s="4">
        <v>265.4833539903845</v>
      </c>
      <c r="M919" s="4">
        <v>286.99732721417121</v>
      </c>
      <c r="N919" s="4">
        <v>310.68358689943494</v>
      </c>
      <c r="O919" s="11">
        <f t="shared" si="14"/>
        <v>7.887624808026511E-2</v>
      </c>
      <c r="P919"/>
      <c r="Q919" s="11"/>
    </row>
    <row r="920" spans="1:17" x14ac:dyDescent="0.35">
      <c r="A920" s="1" t="s">
        <v>83</v>
      </c>
      <c r="O920" s="11" t="str">
        <f t="shared" si="14"/>
        <v/>
      </c>
      <c r="P920"/>
      <c r="Q920" s="11"/>
    </row>
    <row r="921" spans="1:17" x14ac:dyDescent="0.35">
      <c r="A921" s="2" t="s">
        <v>24</v>
      </c>
      <c r="O921" s="11" t="str">
        <f t="shared" si="14"/>
        <v/>
      </c>
      <c r="P921"/>
      <c r="Q921" s="11"/>
    </row>
    <row r="922" spans="1:17" x14ac:dyDescent="0.35">
      <c r="A922" s="3" t="s">
        <v>25</v>
      </c>
      <c r="B922" s="4">
        <v>141.37060850787216</v>
      </c>
      <c r="C922" s="4">
        <v>151.65955615214276</v>
      </c>
      <c r="D922" s="4">
        <v>162.87017828836952</v>
      </c>
      <c r="E922" s="4">
        <v>175.01773898385923</v>
      </c>
      <c r="F922" s="4">
        <v>188.30192820318541</v>
      </c>
      <c r="G922" s="4">
        <v>202.86222226913344</v>
      </c>
      <c r="H922" s="4">
        <v>218.7285323795567</v>
      </c>
      <c r="I922" s="4">
        <v>236.30904305688105</v>
      </c>
      <c r="J922" s="4">
        <v>255.62181892132551</v>
      </c>
      <c r="K922" s="4">
        <v>276.7489614898866</v>
      </c>
      <c r="L922" s="4">
        <v>300.14877401905443</v>
      </c>
      <c r="M922" s="4">
        <v>325.82125045846755</v>
      </c>
      <c r="N922" s="4">
        <v>354.18059905141024</v>
      </c>
      <c r="O922" s="11">
        <f t="shared" si="14"/>
        <v>8.2866201017864322E-2</v>
      </c>
      <c r="P922"/>
      <c r="Q922" s="11"/>
    </row>
    <row r="923" spans="1:17" x14ac:dyDescent="0.35">
      <c r="A923" s="3" t="s">
        <v>26</v>
      </c>
      <c r="B923" s="4">
        <v>1539.9410773602415</v>
      </c>
      <c r="C923" s="4">
        <v>1668.3503304105286</v>
      </c>
      <c r="D923" s="4">
        <v>1811.484313902725</v>
      </c>
      <c r="E923" s="4">
        <v>1967.9394972327627</v>
      </c>
      <c r="F923" s="4">
        <v>2139.2868011316154</v>
      </c>
      <c r="G923" s="4">
        <v>2326.6339530104356</v>
      </c>
      <c r="H923" s="4">
        <v>2531.1300557912364</v>
      </c>
      <c r="I923" s="4">
        <v>2754.8864332255657</v>
      </c>
      <c r="J923" s="4">
        <v>3001.3084755125578</v>
      </c>
      <c r="K923" s="4">
        <v>3273.88192869458</v>
      </c>
      <c r="L923" s="4">
        <v>3574.0084565634907</v>
      </c>
      <c r="M923" s="4">
        <v>3903.7363909180849</v>
      </c>
      <c r="N923" s="4">
        <v>4267.3911340732011</v>
      </c>
      <c r="O923" s="11">
        <f t="shared" si="14"/>
        <v>9.0519621477481035E-2</v>
      </c>
      <c r="P923"/>
      <c r="Q923" s="11"/>
    </row>
    <row r="924" spans="1:17" x14ac:dyDescent="0.35">
      <c r="A924" s="2" t="s">
        <v>27</v>
      </c>
      <c r="O924" s="11" t="str">
        <f t="shared" si="14"/>
        <v/>
      </c>
      <c r="P924"/>
      <c r="Q924" s="11"/>
    </row>
    <row r="925" spans="1:17" x14ac:dyDescent="0.35">
      <c r="A925" s="3" t="s">
        <v>30</v>
      </c>
      <c r="B925" s="4">
        <v>295.36168720322127</v>
      </c>
      <c r="C925" s="4">
        <v>322.82795102329226</v>
      </c>
      <c r="D925" s="4">
        <v>353.63473536742453</v>
      </c>
      <c r="E925" s="4">
        <v>387.65034736929653</v>
      </c>
      <c r="F925" s="4">
        <v>425.25046084946814</v>
      </c>
      <c r="G925" s="4">
        <v>467.02420052997422</v>
      </c>
      <c r="H925" s="4">
        <v>513.25527743366024</v>
      </c>
      <c r="I925" s="4">
        <v>564.64173960829385</v>
      </c>
      <c r="J925" s="4">
        <v>622.05226744568517</v>
      </c>
      <c r="K925" s="4">
        <v>685.79908372564864</v>
      </c>
      <c r="L925" s="4">
        <v>756.92459252043272</v>
      </c>
      <c r="M925" s="4">
        <v>836.38873053698592</v>
      </c>
      <c r="N925" s="4">
        <v>925.66294658396578</v>
      </c>
      <c r="O925" s="11">
        <f t="shared" si="14"/>
        <v>0.10266803441101613</v>
      </c>
      <c r="P925"/>
      <c r="Q925" s="11"/>
    </row>
    <row r="926" spans="1:17" x14ac:dyDescent="0.35">
      <c r="A926" s="3" t="s">
        <v>32</v>
      </c>
      <c r="B926" s="4">
        <v>129.4216294219265</v>
      </c>
      <c r="C926" s="4">
        <v>137.76686870085206</v>
      </c>
      <c r="D926" s="4">
        <v>146.80722943136567</v>
      </c>
      <c r="E926" s="4">
        <v>156.53840195659308</v>
      </c>
      <c r="F926" s="4">
        <v>167.12087076623871</v>
      </c>
      <c r="G926" s="4">
        <v>178.65643093685574</v>
      </c>
      <c r="H926" s="4">
        <v>191.14689304357003</v>
      </c>
      <c r="I926" s="4">
        <v>204.92418736120658</v>
      </c>
      <c r="J926" s="4">
        <v>219.97132702622429</v>
      </c>
      <c r="K926" s="4">
        <v>236.32642808691767</v>
      </c>
      <c r="L926" s="4">
        <v>254.34715651699139</v>
      </c>
      <c r="M926" s="4">
        <v>273.99129454420404</v>
      </c>
      <c r="N926" s="4">
        <v>295.56554810469464</v>
      </c>
      <c r="O926" s="11">
        <f t="shared" si="14"/>
        <v>7.4567233923406931E-2</v>
      </c>
      <c r="P926"/>
      <c r="Q926" s="11"/>
    </row>
    <row r="927" spans="1:17" x14ac:dyDescent="0.35">
      <c r="A927" s="3" t="s">
        <v>29</v>
      </c>
      <c r="B927" s="4">
        <v>381.96989475650929</v>
      </c>
      <c r="C927" s="4">
        <v>415.43156171221966</v>
      </c>
      <c r="D927" s="4">
        <v>452.29803167180381</v>
      </c>
      <c r="E927" s="4">
        <v>492.73675165734551</v>
      </c>
      <c r="F927" s="4">
        <v>537.44023760340554</v>
      </c>
      <c r="G927" s="4">
        <v>586.96380647938599</v>
      </c>
      <c r="H927" s="4">
        <v>641.57208647035475</v>
      </c>
      <c r="I927" s="4">
        <v>702.64902062577642</v>
      </c>
      <c r="J927" s="4">
        <v>770.48957437696174</v>
      </c>
      <c r="K927" s="4">
        <v>845.59144674328388</v>
      </c>
      <c r="L927" s="4">
        <v>929.62244619295313</v>
      </c>
      <c r="M927" s="4">
        <v>1022.9151089116782</v>
      </c>
      <c r="N927" s="4">
        <v>1127.1118191210294</v>
      </c>
      <c r="O927" s="11">
        <f t="shared" si="14"/>
        <v>9.7689179250825139E-2</v>
      </c>
      <c r="P927"/>
      <c r="Q927" s="11"/>
    </row>
    <row r="928" spans="1:17" x14ac:dyDescent="0.35">
      <c r="A928" s="3" t="s">
        <v>31</v>
      </c>
      <c r="B928" s="4">
        <v>235.05908803123745</v>
      </c>
      <c r="C928" s="4">
        <v>254.03931430099928</v>
      </c>
      <c r="D928" s="4">
        <v>275.20141060113252</v>
      </c>
      <c r="E928" s="4">
        <v>298.20861208280701</v>
      </c>
      <c r="F928" s="4">
        <v>323.30207450460387</v>
      </c>
      <c r="G928" s="4">
        <v>350.84653741459152</v>
      </c>
      <c r="H928" s="4">
        <v>381.3427635328074</v>
      </c>
      <c r="I928" s="4">
        <v>415.34739436005515</v>
      </c>
      <c r="J928" s="4">
        <v>452.77108901379916</v>
      </c>
      <c r="K928" s="4">
        <v>493.99691527953593</v>
      </c>
      <c r="L928" s="4">
        <v>539.94362615358705</v>
      </c>
      <c r="M928" s="4">
        <v>591.26390796028875</v>
      </c>
      <c r="N928" s="4">
        <v>648.7155858085448</v>
      </c>
      <c r="O928" s="11">
        <f t="shared" si="14"/>
        <v>9.1776838656217996E-2</v>
      </c>
      <c r="P928"/>
      <c r="Q928" s="11"/>
    </row>
    <row r="929" spans="1:17" x14ac:dyDescent="0.35">
      <c r="A929" s="3" t="s">
        <v>28</v>
      </c>
      <c r="B929" s="4">
        <v>558.58828112526317</v>
      </c>
      <c r="C929" s="4">
        <v>602.64913931994306</v>
      </c>
      <c r="D929" s="4">
        <v>652.14556581470447</v>
      </c>
      <c r="E929" s="4">
        <v>705.9662797069268</v>
      </c>
      <c r="F929" s="4">
        <v>764.3801387135486</v>
      </c>
      <c r="G929" s="4">
        <v>826.92857438819124</v>
      </c>
      <c r="H929" s="4">
        <v>893.56787002957071</v>
      </c>
      <c r="I929" s="4">
        <v>963.81711332450186</v>
      </c>
      <c r="J929" s="4">
        <v>1039.8926439329534</v>
      </c>
      <c r="K929" s="4">
        <v>1124.0523209939506</v>
      </c>
      <c r="L929" s="4">
        <v>1214.0957261236281</v>
      </c>
      <c r="M929" s="4">
        <v>1309.9079610274894</v>
      </c>
      <c r="N929" s="4">
        <v>1411.861990211049</v>
      </c>
      <c r="O929" s="11">
        <f t="shared" si="14"/>
        <v>7.9416812564052613E-2</v>
      </c>
      <c r="P929"/>
      <c r="Q929" s="11"/>
    </row>
    <row r="930" spans="1:17" x14ac:dyDescent="0.35">
      <c r="A930" s="3" t="s">
        <v>33</v>
      </c>
      <c r="B930" s="4">
        <v>80.911105329955987</v>
      </c>
      <c r="C930" s="4">
        <v>87.295051505364995</v>
      </c>
      <c r="D930" s="4">
        <v>94.26751930466375</v>
      </c>
      <c r="E930" s="4">
        <v>101.85684344365302</v>
      </c>
      <c r="F930" s="4">
        <v>110.09494689753609</v>
      </c>
      <c r="G930" s="4">
        <v>119.07662553057034</v>
      </c>
      <c r="H930" s="4">
        <v>128.97369766083008</v>
      </c>
      <c r="I930" s="4">
        <v>139.81602100261273</v>
      </c>
      <c r="J930" s="4">
        <v>151.7533926382599</v>
      </c>
      <c r="K930" s="4">
        <v>164.86469535513015</v>
      </c>
      <c r="L930" s="4">
        <v>179.22368307495287</v>
      </c>
      <c r="M930" s="4">
        <v>195.09063839590527</v>
      </c>
      <c r="N930" s="4">
        <v>212.65384329532816</v>
      </c>
      <c r="O930" s="11">
        <f t="shared" si="14"/>
        <v>8.6370846415590133E-2</v>
      </c>
      <c r="P930"/>
      <c r="Q930" s="11"/>
    </row>
    <row r="931" spans="1:17" x14ac:dyDescent="0.35">
      <c r="A931" s="2" t="s">
        <v>34</v>
      </c>
      <c r="O931" s="11" t="str">
        <f t="shared" si="14"/>
        <v/>
      </c>
      <c r="P931"/>
      <c r="Q931" s="11"/>
    </row>
    <row r="932" spans="1:17" x14ac:dyDescent="0.35">
      <c r="A932" s="3" t="s">
        <v>36</v>
      </c>
      <c r="B932" s="4">
        <v>572.73665091950988</v>
      </c>
      <c r="C932" s="4">
        <v>623.60370284812927</v>
      </c>
      <c r="D932" s="4">
        <v>680.50750305677263</v>
      </c>
      <c r="E932" s="4">
        <v>743.1214179624402</v>
      </c>
      <c r="F932" s="4">
        <v>812.09570766491208</v>
      </c>
      <c r="G932" s="4">
        <v>888.47763672495068</v>
      </c>
      <c r="H932" s="4">
        <v>972.71670689395819</v>
      </c>
      <c r="I932" s="4">
        <v>1066.0399154308438</v>
      </c>
      <c r="J932" s="4">
        <v>1169.9767743353987</v>
      </c>
      <c r="K932" s="4">
        <v>1284.9858413544864</v>
      </c>
      <c r="L932" s="4">
        <v>1412.885548386721</v>
      </c>
      <c r="M932" s="4">
        <v>1555.3114290134863</v>
      </c>
      <c r="N932" s="4">
        <v>1714.8238202590308</v>
      </c>
      <c r="O932" s="11">
        <f t="shared" si="14"/>
        <v>9.8490091283477105E-2</v>
      </c>
      <c r="P932"/>
      <c r="Q932" s="11"/>
    </row>
    <row r="933" spans="1:17" x14ac:dyDescent="0.35">
      <c r="A933" s="3" t="s">
        <v>37</v>
      </c>
      <c r="B933" s="4">
        <v>406.93414076985692</v>
      </c>
      <c r="C933" s="4">
        <v>438.76415081485476</v>
      </c>
      <c r="D933" s="4">
        <v>473.76059351804753</v>
      </c>
      <c r="E933" s="4">
        <v>512.45777504726948</v>
      </c>
      <c r="F933" s="4">
        <v>554.89715307341658</v>
      </c>
      <c r="G933" s="4">
        <v>602.35506331053568</v>
      </c>
      <c r="H933" s="4">
        <v>654.1976819362186</v>
      </c>
      <c r="I933" s="4">
        <v>712.19703390593509</v>
      </c>
      <c r="J933" s="4">
        <v>776.49036774125898</v>
      </c>
      <c r="K933" s="4">
        <v>847.88172409759818</v>
      </c>
      <c r="L933" s="4">
        <v>927.78761070932637</v>
      </c>
      <c r="M933" s="4">
        <v>1017.4452158490479</v>
      </c>
      <c r="N933" s="4">
        <v>1117.6585796412048</v>
      </c>
      <c r="O933" s="11">
        <f t="shared" si="14"/>
        <v>9.2322656169587514E-2</v>
      </c>
      <c r="P933"/>
      <c r="Q933" s="11"/>
    </row>
    <row r="934" spans="1:17" x14ac:dyDescent="0.35">
      <c r="A934" s="3" t="s">
        <v>35</v>
      </c>
      <c r="B934" s="4">
        <v>529.54189020665331</v>
      </c>
      <c r="C934" s="4">
        <v>573.25622627893881</v>
      </c>
      <c r="D934" s="4">
        <v>622.25220109945121</v>
      </c>
      <c r="E934" s="4">
        <v>674.73484876170119</v>
      </c>
      <c r="F934" s="4">
        <v>731.79389650286157</v>
      </c>
      <c r="G934" s="4">
        <v>791.85471211638946</v>
      </c>
      <c r="H934" s="4">
        <v>856.57799424609198</v>
      </c>
      <c r="I934" s="4">
        <v>924.79505297712694</v>
      </c>
      <c r="J934" s="4">
        <v>998.25261551683388</v>
      </c>
      <c r="K934" s="4">
        <v>1078.9787364266122</v>
      </c>
      <c r="L934" s="4">
        <v>1165.0841138185665</v>
      </c>
      <c r="M934" s="4">
        <v>1255.3147991852143</v>
      </c>
      <c r="N934" s="4">
        <v>1350.7989643955184</v>
      </c>
      <c r="O934" s="11">
        <f t="shared" si="14"/>
        <v>7.9282239681480293E-2</v>
      </c>
      <c r="P934"/>
      <c r="Q934" s="11"/>
    </row>
    <row r="935" spans="1:17" x14ac:dyDescent="0.35">
      <c r="A935" s="3" t="s">
        <v>38</v>
      </c>
      <c r="B935" s="4">
        <v>172.09900397209361</v>
      </c>
      <c r="C935" s="4">
        <v>184.38580662074867</v>
      </c>
      <c r="D935" s="4">
        <v>197.83419451682309</v>
      </c>
      <c r="E935" s="4">
        <v>212.64319444521092</v>
      </c>
      <c r="F935" s="4">
        <v>228.80197209361094</v>
      </c>
      <c r="G935" s="4">
        <v>246.808763127693</v>
      </c>
      <c r="H935" s="4">
        <v>266.36620509452422</v>
      </c>
      <c r="I935" s="4">
        <v>288.16347396854059</v>
      </c>
      <c r="J935" s="4">
        <v>312.21053684039163</v>
      </c>
      <c r="K935" s="4">
        <v>338.78458830577006</v>
      </c>
      <c r="L935" s="4">
        <v>368.39995766793163</v>
      </c>
      <c r="M935" s="4">
        <v>401.4861973288036</v>
      </c>
      <c r="N935" s="4">
        <v>438.29036882885742</v>
      </c>
      <c r="O935" s="11">
        <f t="shared" si="14"/>
        <v>8.5497342470168436E-2</v>
      </c>
      <c r="P935"/>
      <c r="Q935" s="11"/>
    </row>
    <row r="936" spans="1:17" x14ac:dyDescent="0.35">
      <c r="A936" s="2" t="s">
        <v>22</v>
      </c>
      <c r="O936" s="11" t="str">
        <f t="shared" si="14"/>
        <v/>
      </c>
      <c r="P936"/>
      <c r="Q936" s="11"/>
    </row>
    <row r="937" spans="1:17" x14ac:dyDescent="0.35">
      <c r="A937" s="3" t="s">
        <v>39</v>
      </c>
      <c r="B937" s="4">
        <v>456.4315248954033</v>
      </c>
      <c r="C937" s="4">
        <v>501.09479894500191</v>
      </c>
      <c r="D937" s="4">
        <v>552.52013076178969</v>
      </c>
      <c r="E937" s="4">
        <v>607.85903023278479</v>
      </c>
      <c r="F937" s="4">
        <v>668.48348306495473</v>
      </c>
      <c r="G937" s="4">
        <v>732.61214630443283</v>
      </c>
      <c r="H937" s="4">
        <v>802.81008765432171</v>
      </c>
      <c r="I937" s="4">
        <v>877.08508546623989</v>
      </c>
      <c r="J937" s="4">
        <v>957.91749321568022</v>
      </c>
      <c r="K937" s="4">
        <v>1047.1378365539722</v>
      </c>
      <c r="L937" s="4">
        <v>1142.6544725696936</v>
      </c>
      <c r="M937" s="4">
        <v>1243.421979074305</v>
      </c>
      <c r="N937" s="4">
        <v>1351.8436348792261</v>
      </c>
      <c r="O937" s="11">
        <f t="shared" si="14"/>
        <v>9.1459129743411763E-2</v>
      </c>
      <c r="P937"/>
      <c r="Q937" s="11"/>
    </row>
    <row r="938" spans="1:17" x14ac:dyDescent="0.35">
      <c r="A938" s="3" t="s">
        <v>41</v>
      </c>
      <c r="B938" s="4">
        <v>304.71511265228946</v>
      </c>
      <c r="C938" s="4">
        <v>326.81646067587104</v>
      </c>
      <c r="D938" s="4">
        <v>350.61031269472562</v>
      </c>
      <c r="E938" s="4">
        <v>376.34055807187389</v>
      </c>
      <c r="F938" s="4">
        <v>404.30216228545493</v>
      </c>
      <c r="G938" s="4">
        <v>434.62566684377509</v>
      </c>
      <c r="H938" s="4">
        <v>467.34388886125822</v>
      </c>
      <c r="I938" s="4">
        <v>502.94400631568476</v>
      </c>
      <c r="J938" s="4">
        <v>542.03788256049268</v>
      </c>
      <c r="K938" s="4">
        <v>584.51951728846291</v>
      </c>
      <c r="L938" s="4">
        <v>631.10612984571446</v>
      </c>
      <c r="M938" s="4">
        <v>682.05596683713043</v>
      </c>
      <c r="N938" s="4">
        <v>737.84306271547075</v>
      </c>
      <c r="O938" s="11">
        <f t="shared" si="14"/>
        <v>7.8538166831537706E-2</v>
      </c>
      <c r="P938"/>
      <c r="Q938" s="11"/>
    </row>
    <row r="939" spans="1:17" x14ac:dyDescent="0.35">
      <c r="A939" s="3" t="s">
        <v>40</v>
      </c>
      <c r="B939" s="4">
        <v>439.21784233962433</v>
      </c>
      <c r="C939" s="4">
        <v>470.58763523186144</v>
      </c>
      <c r="D939" s="4">
        <v>504.92372094069952</v>
      </c>
      <c r="E939" s="4">
        <v>542.73430480850084</v>
      </c>
      <c r="F939" s="4">
        <v>583.9920121901016</v>
      </c>
      <c r="G939" s="4">
        <v>629.96881132726492</v>
      </c>
      <c r="H939" s="4">
        <v>679.90607350357379</v>
      </c>
      <c r="I939" s="4">
        <v>735.5632540748386</v>
      </c>
      <c r="J939" s="4">
        <v>796.96625025914568</v>
      </c>
      <c r="K939" s="4">
        <v>864.82310253237972</v>
      </c>
      <c r="L939" s="4">
        <v>940.44726475840207</v>
      </c>
      <c r="M939" s="4">
        <v>1024.9359102076985</v>
      </c>
      <c r="N939" s="4">
        <v>1118.9204538830836</v>
      </c>
      <c r="O939" s="11">
        <f t="shared" si="14"/>
        <v>8.5525483858552576E-2</v>
      </c>
      <c r="P939"/>
      <c r="Q939" s="11"/>
    </row>
    <row r="940" spans="1:17" x14ac:dyDescent="0.35">
      <c r="A940" s="3" t="s">
        <v>42</v>
      </c>
      <c r="B940" s="4">
        <v>480.9472059807967</v>
      </c>
      <c r="C940" s="4">
        <v>521.51099170993723</v>
      </c>
      <c r="D940" s="4">
        <v>566.30032779387966</v>
      </c>
      <c r="E940" s="4">
        <v>616.02334310346237</v>
      </c>
      <c r="F940" s="4">
        <v>670.81107179428966</v>
      </c>
      <c r="G940" s="4">
        <v>732.28955080409617</v>
      </c>
      <c r="H940" s="4">
        <v>799.79853815163926</v>
      </c>
      <c r="I940" s="4">
        <v>875.6031304256835</v>
      </c>
      <c r="J940" s="4">
        <v>960.00866839856485</v>
      </c>
      <c r="K940" s="4">
        <v>1054.1504338096518</v>
      </c>
      <c r="L940" s="4">
        <v>1159.9493634087351</v>
      </c>
      <c r="M940" s="4">
        <v>1279.1437852574181</v>
      </c>
      <c r="N940" s="4">
        <v>1412.964581646831</v>
      </c>
      <c r="O940" s="11">
        <f t="shared" si="14"/>
        <v>9.8445080996621956E-2</v>
      </c>
      <c r="P940"/>
      <c r="Q940" s="11"/>
    </row>
    <row r="941" spans="1:17" x14ac:dyDescent="0.35">
      <c r="A941" s="1" t="s">
        <v>84</v>
      </c>
      <c r="O941" s="11" t="str">
        <f t="shared" si="14"/>
        <v/>
      </c>
      <c r="P941"/>
      <c r="Q941" s="11"/>
    </row>
    <row r="942" spans="1:17" x14ac:dyDescent="0.35">
      <c r="A942" s="2" t="s">
        <v>24</v>
      </c>
      <c r="O942" s="11" t="str">
        <f t="shared" si="14"/>
        <v/>
      </c>
      <c r="P942"/>
      <c r="Q942" s="11"/>
    </row>
    <row r="943" spans="1:17" x14ac:dyDescent="0.35">
      <c r="A943" s="3" t="s">
        <v>25</v>
      </c>
      <c r="B943" s="4">
        <v>46.589498963021526</v>
      </c>
      <c r="C943" s="4">
        <v>49.25762522941487</v>
      </c>
      <c r="D943" s="4">
        <v>52.182333731729059</v>
      </c>
      <c r="E943" s="4">
        <v>55.285309125491473</v>
      </c>
      <c r="F943" s="4">
        <v>58.599184209913822</v>
      </c>
      <c r="G943" s="4">
        <v>62.165186964654055</v>
      </c>
      <c r="H943" s="4">
        <v>65.996945728732683</v>
      </c>
      <c r="I943" s="4">
        <v>70.247477497596876</v>
      </c>
      <c r="J943" s="4">
        <v>74.829825176961691</v>
      </c>
      <c r="K943" s="4">
        <v>79.806196732963073</v>
      </c>
      <c r="L943" s="4">
        <v>85.253554142971097</v>
      </c>
      <c r="M943" s="4">
        <v>91.228411804390632</v>
      </c>
      <c r="N943" s="4">
        <v>97.795360552941247</v>
      </c>
      <c r="O943" s="11">
        <f t="shared" si="14"/>
        <v>6.6866661320108878E-2</v>
      </c>
      <c r="P943"/>
      <c r="Q943" s="11"/>
    </row>
    <row r="944" spans="1:17" x14ac:dyDescent="0.35">
      <c r="A944" s="3" t="s">
        <v>26</v>
      </c>
      <c r="B944" s="4">
        <v>496.20078266911224</v>
      </c>
      <c r="C944" s="4">
        <v>528.41527196442416</v>
      </c>
      <c r="D944" s="4">
        <v>563.83452698461758</v>
      </c>
      <c r="E944" s="4">
        <v>601.67771928388299</v>
      </c>
      <c r="F944" s="4">
        <v>642.34799533450985</v>
      </c>
      <c r="G944" s="4">
        <v>686.35370791120283</v>
      </c>
      <c r="H944" s="4">
        <v>733.9123849111694</v>
      </c>
      <c r="I944" s="4">
        <v>786.79695886015634</v>
      </c>
      <c r="J944" s="4">
        <v>844.14261070774285</v>
      </c>
      <c r="K944" s="4">
        <v>906.74082269402345</v>
      </c>
      <c r="L944" s="4">
        <v>975.5722225939893</v>
      </c>
      <c r="M944" s="4">
        <v>1051.4101221522928</v>
      </c>
      <c r="N944" s="4">
        <v>1135.1413167343462</v>
      </c>
      <c r="O944" s="11">
        <f t="shared" si="14"/>
        <v>7.4520149604790087E-2</v>
      </c>
      <c r="P944"/>
      <c r="Q944" s="11"/>
    </row>
    <row r="945" spans="1:17" x14ac:dyDescent="0.35">
      <c r="A945" s="2" t="s">
        <v>27</v>
      </c>
      <c r="O945" s="11" t="str">
        <f t="shared" si="14"/>
        <v/>
      </c>
      <c r="P945"/>
      <c r="Q945" s="11"/>
    </row>
    <row r="946" spans="1:17" x14ac:dyDescent="0.35">
      <c r="A946" s="3" t="s">
        <v>30</v>
      </c>
      <c r="B946" s="4">
        <v>97.180553085493159</v>
      </c>
      <c r="C946" s="4">
        <v>105.02061312926581</v>
      </c>
      <c r="D946" s="4">
        <v>113.52192127087267</v>
      </c>
      <c r="E946" s="4">
        <v>122.77748026595759</v>
      </c>
      <c r="F946" s="4">
        <v>132.89958524162273</v>
      </c>
      <c r="G946" s="4">
        <v>143.94966663399177</v>
      </c>
      <c r="H946" s="4">
        <v>155.95839323095097</v>
      </c>
      <c r="I946" s="4">
        <v>169.10871624912343</v>
      </c>
      <c r="J946" s="4">
        <v>183.63077288564691</v>
      </c>
      <c r="K946" s="4">
        <v>199.51812766788677</v>
      </c>
      <c r="L946" s="4">
        <v>217.04473907027602</v>
      </c>
      <c r="M946" s="4">
        <v>236.33459525673263</v>
      </c>
      <c r="N946" s="4">
        <v>257.5897155324281</v>
      </c>
      <c r="O946" s="11">
        <f t="shared" si="14"/>
        <v>8.6682193860222426E-2</v>
      </c>
      <c r="P946"/>
      <c r="Q946" s="11"/>
    </row>
    <row r="947" spans="1:17" x14ac:dyDescent="0.35">
      <c r="A947" s="3" t="s">
        <v>32</v>
      </c>
      <c r="B947" s="4">
        <v>44.124834805202319</v>
      </c>
      <c r="C947" s="4">
        <v>46.282779659149867</v>
      </c>
      <c r="D947" s="4">
        <v>48.659000293365985</v>
      </c>
      <c r="E947" s="4">
        <v>51.194233094915795</v>
      </c>
      <c r="F947" s="4">
        <v>53.902838106966179</v>
      </c>
      <c r="G947" s="4">
        <v>56.821501327220751</v>
      </c>
      <c r="H947" s="4">
        <v>59.941242424375844</v>
      </c>
      <c r="I947" s="4">
        <v>63.299882402765</v>
      </c>
      <c r="J947" s="4">
        <v>66.945291536684678</v>
      </c>
      <c r="K947" s="4">
        <v>70.854341916920561</v>
      </c>
      <c r="L947" s="4">
        <v>75.079057444355328</v>
      </c>
      <c r="M947" s="4">
        <v>79.651100435568026</v>
      </c>
      <c r="N947" s="4">
        <v>84.641336771650856</v>
      </c>
      <c r="O947" s="11">
        <f t="shared" si="14"/>
        <v>5.8581399036966998E-2</v>
      </c>
      <c r="P947"/>
      <c r="Q947" s="11"/>
    </row>
    <row r="948" spans="1:17" x14ac:dyDescent="0.35">
      <c r="A948" s="3" t="s">
        <v>29</v>
      </c>
      <c r="B948" s="4">
        <v>111.87472502281344</v>
      </c>
      <c r="C948" s="4">
        <v>119.93276108001334</v>
      </c>
      <c r="D948" s="4">
        <v>128.86334081686113</v>
      </c>
      <c r="E948" s="4">
        <v>138.55694366147935</v>
      </c>
      <c r="F948" s="4">
        <v>149.0914650890989</v>
      </c>
      <c r="G948" s="4">
        <v>160.61155549317203</v>
      </c>
      <c r="H948" s="4">
        <v>173.14344905524311</v>
      </c>
      <c r="I948" s="4">
        <v>186.84845791297585</v>
      </c>
      <c r="J948" s="4">
        <v>201.92925384190235</v>
      </c>
      <c r="K948" s="4">
        <v>218.3892304346964</v>
      </c>
      <c r="L948" s="4">
        <v>236.46033309710597</v>
      </c>
      <c r="M948" s="4">
        <v>256.32731611376306</v>
      </c>
      <c r="N948" s="4">
        <v>278.31329372268686</v>
      </c>
      <c r="O948" s="11">
        <f t="shared" si="14"/>
        <v>8.1703328623847535E-2</v>
      </c>
      <c r="P948"/>
      <c r="Q948" s="11"/>
    </row>
    <row r="949" spans="1:17" x14ac:dyDescent="0.35">
      <c r="A949" s="3" t="s">
        <v>31</v>
      </c>
      <c r="B949" s="4">
        <v>79.344755026722552</v>
      </c>
      <c r="C949" s="4">
        <v>84.483187293332264</v>
      </c>
      <c r="D949" s="4">
        <v>90.170313254504862</v>
      </c>
      <c r="E949" s="4">
        <v>96.267227181465572</v>
      </c>
      <c r="F949" s="4">
        <v>102.82895123916694</v>
      </c>
      <c r="G949" s="4">
        <v>109.94589828762503</v>
      </c>
      <c r="H949" s="4">
        <v>117.74502625744815</v>
      </c>
      <c r="I949" s="4">
        <v>126.36219497220969</v>
      </c>
      <c r="J949" s="4">
        <v>135.72770177468408</v>
      </c>
      <c r="K949" s="4">
        <v>145.91630030200272</v>
      </c>
      <c r="L949" s="4">
        <v>157.15540563049561</v>
      </c>
      <c r="M949" s="4">
        <v>169.58037836699643</v>
      </c>
      <c r="N949" s="4">
        <v>183.3472161169164</v>
      </c>
      <c r="O949" s="11">
        <f t="shared" si="14"/>
        <v>7.5790979287742477E-2</v>
      </c>
      <c r="P949"/>
      <c r="Q949" s="11"/>
    </row>
    <row r="950" spans="1:17" x14ac:dyDescent="0.35">
      <c r="A950" s="3" t="s">
        <v>28</v>
      </c>
      <c r="B950" s="4">
        <v>177.92022063979857</v>
      </c>
      <c r="C950" s="4">
        <v>187.68851655885487</v>
      </c>
      <c r="D950" s="4">
        <v>198.4158712813408</v>
      </c>
      <c r="E950" s="4">
        <v>209.5171452165514</v>
      </c>
      <c r="F950" s="4">
        <v>221.1488351462657</v>
      </c>
      <c r="G950" s="4">
        <v>233.4939211073272</v>
      </c>
      <c r="H950" s="4">
        <v>246.56143942730648</v>
      </c>
      <c r="I950" s="4">
        <v>261.70962538439107</v>
      </c>
      <c r="J950" s="4">
        <v>277.60787753800491</v>
      </c>
      <c r="K950" s="4">
        <v>295.03630837482297</v>
      </c>
      <c r="L950" s="4">
        <v>314.1832617148799</v>
      </c>
      <c r="M950" s="4">
        <v>335.35630713959654</v>
      </c>
      <c r="N950" s="4">
        <v>358.70138212331324</v>
      </c>
      <c r="O950" s="11">
        <f t="shared" si="14"/>
        <v>6.3253403718852574E-2</v>
      </c>
      <c r="P950"/>
      <c r="Q950" s="11"/>
    </row>
    <row r="951" spans="1:17" x14ac:dyDescent="0.35">
      <c r="A951" s="3" t="s">
        <v>33</v>
      </c>
      <c r="B951" s="4">
        <v>32.345193052103703</v>
      </c>
      <c r="C951" s="4">
        <v>34.265039473222885</v>
      </c>
      <c r="D951" s="4">
        <v>36.386413799401247</v>
      </c>
      <c r="E951" s="4">
        <v>38.649998989004786</v>
      </c>
      <c r="F951" s="4">
        <v>41.075504721303219</v>
      </c>
      <c r="G951" s="4">
        <v>43.69635202652011</v>
      </c>
      <c r="H951" s="4">
        <v>46.559780244577603</v>
      </c>
      <c r="I951" s="4">
        <v>49.715559436288132</v>
      </c>
      <c r="J951" s="4">
        <v>53.131538307781682</v>
      </c>
      <c r="K951" s="4">
        <v>56.832710730657084</v>
      </c>
      <c r="L951" s="4">
        <v>60.902979779847634</v>
      </c>
      <c r="M951" s="4">
        <v>65.388836644026739</v>
      </c>
      <c r="N951" s="4">
        <v>70.343733020292021</v>
      </c>
      <c r="O951" s="11">
        <f t="shared" si="14"/>
        <v>7.0385045549002878E-2</v>
      </c>
      <c r="P951"/>
      <c r="Q951" s="11"/>
    </row>
    <row r="952" spans="1:17" x14ac:dyDescent="0.35">
      <c r="A952" s="2" t="s">
        <v>34</v>
      </c>
      <c r="O952" s="11" t="str">
        <f t="shared" si="14"/>
        <v/>
      </c>
      <c r="P952"/>
      <c r="Q952" s="11"/>
    </row>
    <row r="953" spans="1:17" x14ac:dyDescent="0.35">
      <c r="A953" s="3" t="s">
        <v>36</v>
      </c>
      <c r="B953" s="4">
        <v>194.59710510360642</v>
      </c>
      <c r="C953" s="4">
        <v>209.45139976905853</v>
      </c>
      <c r="D953" s="4">
        <v>225.49691398654076</v>
      </c>
      <c r="E953" s="4">
        <v>242.90288970827467</v>
      </c>
      <c r="F953" s="4">
        <v>261.87386627779665</v>
      </c>
      <c r="G953" s="4">
        <v>282.51070122871022</v>
      </c>
      <c r="H953" s="4">
        <v>304.85206685959486</v>
      </c>
      <c r="I953" s="4">
        <v>329.23347106205694</v>
      </c>
      <c r="J953" s="4">
        <v>356.07669161149386</v>
      </c>
      <c r="K953" s="4">
        <v>385.33776469723557</v>
      </c>
      <c r="L953" s="4">
        <v>417.5146614273234</v>
      </c>
      <c r="M953" s="4">
        <v>452.80860087288562</v>
      </c>
      <c r="N953" s="4">
        <v>491.5667301114442</v>
      </c>
      <c r="O953" s="11">
        <f t="shared" si="14"/>
        <v>8.2340575275004421E-2</v>
      </c>
      <c r="P953"/>
      <c r="Q953" s="11"/>
    </row>
    <row r="954" spans="1:17" x14ac:dyDescent="0.35">
      <c r="A954" s="3" t="s">
        <v>37</v>
      </c>
      <c r="B954" s="4">
        <v>117.67988668636373</v>
      </c>
      <c r="C954" s="4">
        <v>125.45697685457245</v>
      </c>
      <c r="D954" s="4">
        <v>133.89101260570109</v>
      </c>
      <c r="E954" s="4">
        <v>142.98103116749181</v>
      </c>
      <c r="F954" s="4">
        <v>152.87657985863879</v>
      </c>
      <c r="G954" s="4">
        <v>163.67441364498569</v>
      </c>
      <c r="H954" s="4">
        <v>175.38026191475728</v>
      </c>
      <c r="I954" s="4">
        <v>188.30277060322598</v>
      </c>
      <c r="J954" s="4">
        <v>202.43181239830486</v>
      </c>
      <c r="K954" s="4">
        <v>217.80789720460808</v>
      </c>
      <c r="L954" s="4">
        <v>234.76627812893156</v>
      </c>
      <c r="M954" s="4">
        <v>253.2751030321391</v>
      </c>
      <c r="N954" s="4">
        <v>273.62485957747964</v>
      </c>
      <c r="O954" s="11">
        <f t="shared" si="14"/>
        <v>7.6173040643865958E-2</v>
      </c>
      <c r="P954"/>
      <c r="Q954" s="11"/>
    </row>
    <row r="955" spans="1:17" x14ac:dyDescent="0.35">
      <c r="A955" s="3" t="s">
        <v>35</v>
      </c>
      <c r="B955" s="4">
        <v>184.18277638240841</v>
      </c>
      <c r="C955" s="4">
        <v>193.5671823345196</v>
      </c>
      <c r="D955" s="4">
        <v>204.33957418587266</v>
      </c>
      <c r="E955" s="4">
        <v>215.47014142935365</v>
      </c>
      <c r="F955" s="4">
        <v>227.0367914544388</v>
      </c>
      <c r="G955" s="4">
        <v>239.35458178149906</v>
      </c>
      <c r="H955" s="4">
        <v>252.53537647197265</v>
      </c>
      <c r="I955" s="4">
        <v>267.86518662261835</v>
      </c>
      <c r="J955" s="4">
        <v>283.92368855318421</v>
      </c>
      <c r="K955" s="4">
        <v>301.55108230835276</v>
      </c>
      <c r="L955" s="4">
        <v>320.95910612675323</v>
      </c>
      <c r="M955" s="4">
        <v>342.70597317695069</v>
      </c>
      <c r="N955" s="4">
        <v>367.04500016371389</v>
      </c>
      <c r="O955" s="11">
        <f t="shared" si="14"/>
        <v>6.2980669219061772E-2</v>
      </c>
      <c r="P955"/>
      <c r="Q955" s="11"/>
    </row>
    <row r="956" spans="1:17" x14ac:dyDescent="0.35">
      <c r="A956" s="3" t="s">
        <v>38</v>
      </c>
      <c r="B956" s="4">
        <v>46.330513459755217</v>
      </c>
      <c r="C956" s="4">
        <v>49.197338235688491</v>
      </c>
      <c r="D956" s="4">
        <v>52.289359938232103</v>
      </c>
      <c r="E956" s="4">
        <v>55.608966104254357</v>
      </c>
      <c r="F956" s="4">
        <v>59.159941953549357</v>
      </c>
      <c r="G956" s="4">
        <v>62.979198220661907</v>
      </c>
      <c r="H956" s="4">
        <v>67.141625393577357</v>
      </c>
      <c r="I956" s="4">
        <v>71.643008069851916</v>
      </c>
      <c r="J956" s="4">
        <v>76.540243321721604</v>
      </c>
      <c r="K956" s="4">
        <v>81.850275216790166</v>
      </c>
      <c r="L956" s="4">
        <v>87.585731053952415</v>
      </c>
      <c r="M956" s="4">
        <v>93.848856874707991</v>
      </c>
      <c r="N956" s="4">
        <v>100.70008743464977</v>
      </c>
      <c r="O956" s="11">
        <f t="shared" si="14"/>
        <v>6.9347750143636019E-2</v>
      </c>
      <c r="P956"/>
      <c r="Q956" s="11"/>
    </row>
    <row r="957" spans="1:17" x14ac:dyDescent="0.35">
      <c r="A957" s="2" t="s">
        <v>22</v>
      </c>
      <c r="O957" s="11" t="str">
        <f t="shared" si="14"/>
        <v/>
      </c>
      <c r="P957"/>
      <c r="Q957" s="11"/>
    </row>
    <row r="958" spans="1:17" x14ac:dyDescent="0.35">
      <c r="A958" s="3" t="s">
        <v>39</v>
      </c>
      <c r="B958" s="4">
        <v>139.22074014776069</v>
      </c>
      <c r="C958" s="4">
        <v>148.49672723732306</v>
      </c>
      <c r="D958" s="4">
        <v>158.54459829130121</v>
      </c>
      <c r="E958" s="4">
        <v>169.01199311462699</v>
      </c>
      <c r="F958" s="4">
        <v>180.07333042496248</v>
      </c>
      <c r="G958" s="4">
        <v>191.97082832258877</v>
      </c>
      <c r="H958" s="4">
        <v>204.68366221899157</v>
      </c>
      <c r="I958" s="4">
        <v>219.69365821047757</v>
      </c>
      <c r="J958" s="4">
        <v>235.65912422009728</v>
      </c>
      <c r="K958" s="4">
        <v>253.07119410485348</v>
      </c>
      <c r="L958" s="4">
        <v>272.64511697093235</v>
      </c>
      <c r="M958" s="4">
        <v>294.74681072937915</v>
      </c>
      <c r="N958" s="4">
        <v>319.16947677077337</v>
      </c>
      <c r="O958" s="11">
        <f t="shared" si="14"/>
        <v>7.5327799212595609E-2</v>
      </c>
      <c r="P958"/>
      <c r="Q958" s="11"/>
    </row>
    <row r="959" spans="1:17" x14ac:dyDescent="0.35">
      <c r="A959" s="3" t="s">
        <v>41</v>
      </c>
      <c r="B959" s="4">
        <v>105.93548461331127</v>
      </c>
      <c r="C959" s="4">
        <v>111.89369830078506</v>
      </c>
      <c r="D959" s="4">
        <v>118.23136601353168</v>
      </c>
      <c r="E959" s="4">
        <v>124.96670720540358</v>
      </c>
      <c r="F959" s="4">
        <v>132.12854334412387</v>
      </c>
      <c r="G959" s="4">
        <v>139.7864776683769</v>
      </c>
      <c r="H959" s="4">
        <v>148.04415068555954</v>
      </c>
      <c r="I959" s="4">
        <v>156.87498309558936</v>
      </c>
      <c r="J959" s="4">
        <v>166.46671056736872</v>
      </c>
      <c r="K959" s="4">
        <v>176.90602533031591</v>
      </c>
      <c r="L959" s="4">
        <v>188.2321594567189</v>
      </c>
      <c r="M959" s="4">
        <v>200.41067884969269</v>
      </c>
      <c r="N959" s="4">
        <v>213.72787543515773</v>
      </c>
      <c r="O959" s="11">
        <f t="shared" si="14"/>
        <v>6.2532656310448534E-2</v>
      </c>
      <c r="P959"/>
      <c r="Q959" s="11"/>
    </row>
    <row r="960" spans="1:17" x14ac:dyDescent="0.35">
      <c r="A960" s="3" t="s">
        <v>40</v>
      </c>
      <c r="B960" s="4">
        <v>134.87072282868482</v>
      </c>
      <c r="C960" s="4">
        <v>142.67592686554497</v>
      </c>
      <c r="D960" s="4">
        <v>151.50406360141196</v>
      </c>
      <c r="E960" s="4">
        <v>160.98701185634621</v>
      </c>
      <c r="F960" s="4">
        <v>171.24139596270268</v>
      </c>
      <c r="G960" s="4">
        <v>182.29135651094461</v>
      </c>
      <c r="H960" s="4">
        <v>194.24390122003919</v>
      </c>
      <c r="I960" s="4">
        <v>207.33095729348327</v>
      </c>
      <c r="J960" s="4">
        <v>221.45481487641612</v>
      </c>
      <c r="K960" s="4">
        <v>236.88214314382864</v>
      </c>
      <c r="L960" s="4">
        <v>253.57226544185571</v>
      </c>
      <c r="M960" s="4">
        <v>271.74792861802661</v>
      </c>
      <c r="N960" s="4">
        <v>291.80186622044988</v>
      </c>
      <c r="O960" s="11">
        <f t="shared" si="14"/>
        <v>6.951986504934031E-2</v>
      </c>
      <c r="P960"/>
      <c r="Q960" s="11"/>
    </row>
    <row r="961" spans="1:17" x14ac:dyDescent="0.35">
      <c r="A961" s="3" t="s">
        <v>42</v>
      </c>
      <c r="B961" s="4">
        <v>162.76333404237698</v>
      </c>
      <c r="C961" s="4">
        <v>174.60654479018598</v>
      </c>
      <c r="D961" s="4">
        <v>187.73683281010176</v>
      </c>
      <c r="E961" s="4">
        <v>201.99731623299775</v>
      </c>
      <c r="F961" s="4">
        <v>217.50390981263465</v>
      </c>
      <c r="G961" s="4">
        <v>234.4702323739466</v>
      </c>
      <c r="H961" s="4">
        <v>252.93761651531184</v>
      </c>
      <c r="I961" s="4">
        <v>273.14483775820298</v>
      </c>
      <c r="J961" s="4">
        <v>295.39178622082238</v>
      </c>
      <c r="K961" s="4">
        <v>319.68765684798842</v>
      </c>
      <c r="L961" s="4">
        <v>346.37623486745349</v>
      </c>
      <c r="M961" s="4">
        <v>375.73311575958502</v>
      </c>
      <c r="N961" s="4">
        <v>408.23745886090654</v>
      </c>
      <c r="O961" s="11">
        <f t="shared" si="14"/>
        <v>8.2439398221789598E-2</v>
      </c>
      <c r="P961"/>
      <c r="Q961" s="11"/>
    </row>
    <row r="962" spans="1:17" x14ac:dyDescent="0.35">
      <c r="A962" s="1" t="s">
        <v>85</v>
      </c>
      <c r="O962" s="11" t="str">
        <f t="shared" si="14"/>
        <v/>
      </c>
      <c r="P962"/>
      <c r="Q962" s="11"/>
    </row>
    <row r="963" spans="1:17" x14ac:dyDescent="0.35">
      <c r="A963" s="2" t="s">
        <v>24</v>
      </c>
      <c r="O963" s="11" t="str">
        <f t="shared" si="14"/>
        <v/>
      </c>
      <c r="P963"/>
      <c r="Q963" s="11"/>
    </row>
    <row r="964" spans="1:17" x14ac:dyDescent="0.35">
      <c r="A964" s="3" t="s">
        <v>25</v>
      </c>
      <c r="B964" s="4">
        <v>11.810582614209645</v>
      </c>
      <c r="C964" s="4">
        <v>12.047503544819895</v>
      </c>
      <c r="D964" s="4">
        <v>12.318186295324281</v>
      </c>
      <c r="E964" s="4">
        <v>12.60203096530814</v>
      </c>
      <c r="F964" s="4">
        <v>12.901248905880326</v>
      </c>
      <c r="G964" s="4">
        <v>13.214088920121817</v>
      </c>
      <c r="H964" s="4">
        <v>13.538729693534689</v>
      </c>
      <c r="I964" s="4">
        <v>13.87822691072855</v>
      </c>
      <c r="J964" s="4">
        <v>14.240772090648528</v>
      </c>
      <c r="K964" s="4">
        <v>14.632285645167288</v>
      </c>
      <c r="L964" s="4">
        <v>15.047070219110651</v>
      </c>
      <c r="M964" s="4">
        <v>15.482403179346848</v>
      </c>
      <c r="N964" s="4">
        <v>15.944240022814009</v>
      </c>
      <c r="O964" s="11">
        <f t="shared" si="14"/>
        <v>2.7193757052004081E-2</v>
      </c>
      <c r="P964"/>
      <c r="Q964" s="11"/>
    </row>
    <row r="965" spans="1:17" x14ac:dyDescent="0.35">
      <c r="A965" s="3" t="s">
        <v>26</v>
      </c>
      <c r="B965" s="4">
        <v>112.64175634116116</v>
      </c>
      <c r="C965" s="4">
        <v>115.25495268646551</v>
      </c>
      <c r="D965" s="4">
        <v>118.39021955217989</v>
      </c>
      <c r="E965" s="4">
        <v>121.69561220678999</v>
      </c>
      <c r="F965" s="4">
        <v>125.22775436906961</v>
      </c>
      <c r="G965" s="4">
        <v>128.9665534709352</v>
      </c>
      <c r="H965" s="4">
        <v>132.95107725890043</v>
      </c>
      <c r="I965" s="4">
        <v>137.29881445206223</v>
      </c>
      <c r="J965" s="4">
        <v>141.89142070346963</v>
      </c>
      <c r="K965" s="4">
        <v>146.85634108383368</v>
      </c>
      <c r="L965" s="4">
        <v>152.11158489640894</v>
      </c>
      <c r="M965" s="4">
        <v>157.74060645057676</v>
      </c>
      <c r="N965" s="4">
        <v>163.91197675482226</v>
      </c>
      <c r="O965" s="11">
        <f t="shared" si="14"/>
        <v>3.4847197121202718E-2</v>
      </c>
      <c r="P965"/>
      <c r="Q965" s="11"/>
    </row>
    <row r="966" spans="1:17" x14ac:dyDescent="0.35">
      <c r="A966" s="2" t="s">
        <v>27</v>
      </c>
      <c r="O966" s="11" t="str">
        <f t="shared" si="14"/>
        <v/>
      </c>
      <c r="P966"/>
      <c r="Q966" s="11"/>
    </row>
    <row r="967" spans="1:17" x14ac:dyDescent="0.35">
      <c r="A967" s="3" t="s">
        <v>30</v>
      </c>
      <c r="B967" s="4">
        <v>21.579492095148812</v>
      </c>
      <c r="C967" s="4">
        <v>22.440661594529086</v>
      </c>
      <c r="D967" s="4">
        <v>23.358002971583829</v>
      </c>
      <c r="E967" s="4">
        <v>24.327698187732562</v>
      </c>
      <c r="F967" s="4">
        <v>25.346672100953317</v>
      </c>
      <c r="G967" s="4">
        <v>26.426118763437255</v>
      </c>
      <c r="H967" s="4">
        <v>27.59207244289955</v>
      </c>
      <c r="I967" s="4">
        <v>28.835709646437241</v>
      </c>
      <c r="J967" s="4">
        <v>30.173261142733594</v>
      </c>
      <c r="K967" s="4">
        <v>31.603620110374468</v>
      </c>
      <c r="L967" s="4">
        <v>33.123807811400312</v>
      </c>
      <c r="M967" s="4">
        <v>34.764684518049201</v>
      </c>
      <c r="N967" s="4">
        <v>36.538795155953046</v>
      </c>
      <c r="O967" s="11">
        <f t="shared" si="14"/>
        <v>4.7376866021153721E-2</v>
      </c>
      <c r="P967"/>
      <c r="Q967" s="11"/>
    </row>
    <row r="968" spans="1:17" x14ac:dyDescent="0.35">
      <c r="A968" s="3" t="s">
        <v>32</v>
      </c>
      <c r="B968" s="4">
        <v>9.0854466229551729</v>
      </c>
      <c r="C968" s="4">
        <v>9.2139366660581814</v>
      </c>
      <c r="D968" s="4">
        <v>9.3664300970101912</v>
      </c>
      <c r="E968" s="4">
        <v>9.5268309654380268</v>
      </c>
      <c r="F968" s="4">
        <v>9.6966560299014866</v>
      </c>
      <c r="G968" s="4">
        <v>9.8744070246830784</v>
      </c>
      <c r="H968" s="4">
        <v>10.058565938045154</v>
      </c>
      <c r="I968" s="4">
        <v>10.251271468333035</v>
      </c>
      <c r="J968" s="4">
        <v>10.458405121590641</v>
      </c>
      <c r="K968" s="4">
        <v>10.684042982232652</v>
      </c>
      <c r="L968" s="4">
        <v>10.923681417338555</v>
      </c>
      <c r="M968" s="4">
        <v>11.175076380076465</v>
      </c>
      <c r="N968" s="4">
        <v>11.442296354738344</v>
      </c>
      <c r="O968" s="11">
        <f t="shared" si="14"/>
        <v>2.1276095447899174E-2</v>
      </c>
      <c r="P968"/>
      <c r="Q968" s="11"/>
    </row>
    <row r="969" spans="1:17" x14ac:dyDescent="0.35">
      <c r="A969" s="3" t="s">
        <v>29</v>
      </c>
      <c r="B969" s="4">
        <v>25.795047572778248</v>
      </c>
      <c r="C969" s="4">
        <v>26.704691058446642</v>
      </c>
      <c r="D969" s="4">
        <v>27.710714658265001</v>
      </c>
      <c r="E969" s="4">
        <v>28.770564878410696</v>
      </c>
      <c r="F969" s="4">
        <v>29.891116308699171</v>
      </c>
      <c r="G969" s="4">
        <v>31.070411428129628</v>
      </c>
      <c r="H969" s="4">
        <v>32.30614351650059</v>
      </c>
      <c r="I969" s="4">
        <v>33.607441969244682</v>
      </c>
      <c r="J969" s="4">
        <v>34.996354231052742</v>
      </c>
      <c r="K969" s="4">
        <v>36.490581419078104</v>
      </c>
      <c r="L969" s="4">
        <v>38.079798455709742</v>
      </c>
      <c r="M969" s="4">
        <v>39.76047413257151</v>
      </c>
      <c r="N969" s="4">
        <v>41.551047508329098</v>
      </c>
      <c r="O969" s="11">
        <f t="shared" si="14"/>
        <v>4.2397995419535595E-2</v>
      </c>
      <c r="P969"/>
      <c r="Q969" s="11"/>
    </row>
    <row r="970" spans="1:17" x14ac:dyDescent="0.35">
      <c r="A970" s="3" t="s">
        <v>31</v>
      </c>
      <c r="B970" s="4">
        <v>14.019132713647808</v>
      </c>
      <c r="C970" s="4">
        <v>14.425906553347497</v>
      </c>
      <c r="D970" s="4">
        <v>14.858500666427707</v>
      </c>
      <c r="E970" s="4">
        <v>15.31351621416157</v>
      </c>
      <c r="F970" s="4">
        <v>15.788145074326781</v>
      </c>
      <c r="G970" s="4">
        <v>16.288567487373736</v>
      </c>
      <c r="H970" s="4">
        <v>16.829837143068438</v>
      </c>
      <c r="I970" s="4">
        <v>17.405098454296468</v>
      </c>
      <c r="J970" s="4">
        <v>18.022875363044804</v>
      </c>
      <c r="K970" s="4">
        <v>18.680955876058199</v>
      </c>
      <c r="L970" s="4">
        <v>19.376082997725877</v>
      </c>
      <c r="M970" s="4">
        <v>20.124899953650814</v>
      </c>
      <c r="N970" s="4">
        <v>20.932728572674105</v>
      </c>
      <c r="O970" s="11">
        <f t="shared" si="14"/>
        <v>3.648561402847806E-2</v>
      </c>
      <c r="P970"/>
      <c r="Q970" s="11"/>
    </row>
    <row r="971" spans="1:17" x14ac:dyDescent="0.35">
      <c r="A971" s="3" t="s">
        <v>28</v>
      </c>
      <c r="B971" s="4">
        <v>47.346802308035933</v>
      </c>
      <c r="C971" s="4">
        <v>47.778350192802691</v>
      </c>
      <c r="D971" s="4">
        <v>48.551051430374031</v>
      </c>
      <c r="E971" s="4">
        <v>49.355045247099071</v>
      </c>
      <c r="F971" s="4">
        <v>50.251331391426788</v>
      </c>
      <c r="G971" s="4">
        <v>51.192309184249012</v>
      </c>
      <c r="H971" s="4">
        <v>52.192429706308602</v>
      </c>
      <c r="I971" s="4">
        <v>53.360857733759929</v>
      </c>
      <c r="J971" s="4">
        <v>54.540605135267725</v>
      </c>
      <c r="K971" s="4">
        <v>55.844968227940228</v>
      </c>
      <c r="L971" s="4">
        <v>57.200746689358837</v>
      </c>
      <c r="M971" s="4">
        <v>58.644103618250568</v>
      </c>
      <c r="N971" s="4">
        <v>60.311479210044126</v>
      </c>
      <c r="O971" s="11">
        <f t="shared" si="14"/>
        <v>2.369539918351975E-2</v>
      </c>
      <c r="P971"/>
      <c r="Q971" s="11"/>
    </row>
    <row r="972" spans="1:17" x14ac:dyDescent="0.35">
      <c r="A972" s="3" t="s">
        <v>33</v>
      </c>
      <c r="B972" s="4">
        <v>6.6264176428048458</v>
      </c>
      <c r="C972" s="4">
        <v>6.738910166101312</v>
      </c>
      <c r="D972" s="4">
        <v>6.8637060238434113</v>
      </c>
      <c r="E972" s="4">
        <v>7.0039876792562081</v>
      </c>
      <c r="F972" s="4">
        <v>7.1550823696424057</v>
      </c>
      <c r="G972" s="4">
        <v>7.3288285031843028</v>
      </c>
      <c r="H972" s="4">
        <v>7.510758205612782</v>
      </c>
      <c r="I972" s="4">
        <v>7.7166620907194456</v>
      </c>
      <c r="J972" s="4">
        <v>7.9406918004286595</v>
      </c>
      <c r="K972" s="4">
        <v>8.1844581133173051</v>
      </c>
      <c r="L972" s="4">
        <v>8.454537743986279</v>
      </c>
      <c r="M972" s="4">
        <v>8.7537710273250546</v>
      </c>
      <c r="N972" s="4">
        <v>9.0798699758975427</v>
      </c>
      <c r="O972" s="11">
        <f t="shared" si="14"/>
        <v>3.1079501489423924E-2</v>
      </c>
      <c r="P972"/>
      <c r="Q972" s="11"/>
    </row>
    <row r="973" spans="1:17" x14ac:dyDescent="0.35">
      <c r="A973" s="2" t="s">
        <v>34</v>
      </c>
      <c r="O973" s="11" t="str">
        <f t="shared" si="14"/>
        <v/>
      </c>
      <c r="P973"/>
      <c r="Q973" s="11"/>
    </row>
    <row r="974" spans="1:17" x14ac:dyDescent="0.35">
      <c r="A974" s="3" t="s">
        <v>36</v>
      </c>
      <c r="B974" s="4">
        <v>44.10383744461992</v>
      </c>
      <c r="C974" s="4">
        <v>45.533891586277306</v>
      </c>
      <c r="D974" s="4">
        <v>47.062209455171406</v>
      </c>
      <c r="E974" s="4">
        <v>48.673104751365535</v>
      </c>
      <c r="F974" s="4">
        <v>50.403273295029237</v>
      </c>
      <c r="G974" s="4">
        <v>52.26662873533936</v>
      </c>
      <c r="H974" s="4">
        <v>54.245286161288185</v>
      </c>
      <c r="I974" s="4">
        <v>56.416219609953508</v>
      </c>
      <c r="J974" s="4">
        <v>58.750244458400253</v>
      </c>
      <c r="K974" s="4">
        <v>61.235071016648213</v>
      </c>
      <c r="L974" s="4">
        <v>63.941491691080593</v>
      </c>
      <c r="M974" s="4">
        <v>66.830192567800097</v>
      </c>
      <c r="N974" s="4">
        <v>69.950115919879565</v>
      </c>
      <c r="O974" s="11">
        <f t="shared" si="14"/>
        <v>4.2510803622780431E-2</v>
      </c>
      <c r="P974"/>
      <c r="Q974" s="11"/>
    </row>
    <row r="975" spans="1:17" x14ac:dyDescent="0.35">
      <c r="A975" s="3" t="s">
        <v>37</v>
      </c>
      <c r="B975" s="4">
        <v>29.165621346524762</v>
      </c>
      <c r="C975" s="4">
        <v>29.931428240343742</v>
      </c>
      <c r="D975" s="4">
        <v>30.751455686954774</v>
      </c>
      <c r="E975" s="4">
        <v>31.614388570243872</v>
      </c>
      <c r="F975" s="4">
        <v>32.54319317157821</v>
      </c>
      <c r="G975" s="4">
        <v>33.545569226546505</v>
      </c>
      <c r="H975" s="4">
        <v>34.608610230141387</v>
      </c>
      <c r="I975" s="4">
        <v>35.780220745464007</v>
      </c>
      <c r="J975" s="4">
        <v>37.039827241213708</v>
      </c>
      <c r="K975" s="4">
        <v>38.377972913787382</v>
      </c>
      <c r="L975" s="4">
        <v>39.837475706597147</v>
      </c>
      <c r="M975" s="4">
        <v>41.391524449183571</v>
      </c>
      <c r="N975" s="4">
        <v>43.068576821456922</v>
      </c>
      <c r="O975" s="11">
        <f t="shared" si="14"/>
        <v>3.6343247887424372E-2</v>
      </c>
      <c r="P975"/>
      <c r="Q975" s="11"/>
    </row>
    <row r="976" spans="1:17" x14ac:dyDescent="0.35">
      <c r="A976" s="3" t="s">
        <v>35</v>
      </c>
      <c r="B976" s="4">
        <v>39.879698236460499</v>
      </c>
      <c r="C976" s="4">
        <v>40.331966715653138</v>
      </c>
      <c r="D976" s="4">
        <v>41.137910462294812</v>
      </c>
      <c r="E976" s="4">
        <v>41.987729456004473</v>
      </c>
      <c r="F976" s="4">
        <v>42.875242616544455</v>
      </c>
      <c r="G976" s="4">
        <v>43.759291624824158</v>
      </c>
      <c r="H976" s="4">
        <v>44.70438454886586</v>
      </c>
      <c r="I976" s="4">
        <v>45.695105585882033</v>
      </c>
      <c r="J976" s="4">
        <v>46.683030543440708</v>
      </c>
      <c r="K976" s="4">
        <v>47.811339101979726</v>
      </c>
      <c r="L976" s="4">
        <v>48.887107058042545</v>
      </c>
      <c r="M976" s="4">
        <v>50.049635089953952</v>
      </c>
      <c r="N976" s="4">
        <v>51.380585002624997</v>
      </c>
      <c r="O976" s="11">
        <f t="shared" si="14"/>
        <v>2.3201696787647413E-2</v>
      </c>
      <c r="P976"/>
      <c r="Q976" s="11"/>
    </row>
    <row r="977" spans="1:17" x14ac:dyDescent="0.35">
      <c r="A977" s="3" t="s">
        <v>38</v>
      </c>
      <c r="B977" s="4">
        <v>11.303181927765623</v>
      </c>
      <c r="C977" s="4">
        <v>11.505169689011215</v>
      </c>
      <c r="D977" s="4">
        <v>11.756830243083174</v>
      </c>
      <c r="E977" s="4">
        <v>12.022420394484254</v>
      </c>
      <c r="F977" s="4">
        <v>12.307294191798043</v>
      </c>
      <c r="G977" s="4">
        <v>12.609152804346998</v>
      </c>
      <c r="H977" s="4">
        <v>12.931526012139685</v>
      </c>
      <c r="I977" s="4">
        <v>13.285495421491245</v>
      </c>
      <c r="J977" s="4">
        <v>13.659090551063503</v>
      </c>
      <c r="K977" s="4">
        <v>14.064243696585653</v>
      </c>
      <c r="L977" s="4">
        <v>14.492580659799296</v>
      </c>
      <c r="M977" s="4">
        <v>14.951657522986</v>
      </c>
      <c r="N977" s="4">
        <v>15.456939033674795</v>
      </c>
      <c r="O977" s="11">
        <f t="shared" si="14"/>
        <v>2.9517992172559512E-2</v>
      </c>
      <c r="P977"/>
      <c r="Q977" s="11"/>
    </row>
    <row r="978" spans="1:17" x14ac:dyDescent="0.35">
      <c r="A978" s="2" t="s">
        <v>22</v>
      </c>
      <c r="O978" s="11" t="str">
        <f t="shared" si="14"/>
        <v/>
      </c>
      <c r="P978"/>
      <c r="Q978" s="11"/>
    </row>
    <row r="979" spans="1:17" x14ac:dyDescent="0.35">
      <c r="A979" s="3" t="s">
        <v>39</v>
      </c>
      <c r="B979" s="4">
        <v>32.692228279020327</v>
      </c>
      <c r="C979" s="4">
        <v>33.129193369838433</v>
      </c>
      <c r="D979" s="4">
        <v>33.986836943275733</v>
      </c>
      <c r="E979" s="4">
        <v>34.89262170781717</v>
      </c>
      <c r="F979" s="4">
        <v>35.899727951159491</v>
      </c>
      <c r="G979" s="4">
        <v>36.967426530870938</v>
      </c>
      <c r="H979" s="4">
        <v>38.092726595864718</v>
      </c>
      <c r="I979" s="4">
        <v>39.392193799858745</v>
      </c>
      <c r="J979" s="4">
        <v>40.68801925508879</v>
      </c>
      <c r="K979" s="4">
        <v>42.159001927256696</v>
      </c>
      <c r="L979" s="4">
        <v>43.688945514694737</v>
      </c>
      <c r="M979" s="4">
        <v>45.306213833313649</v>
      </c>
      <c r="N979" s="4">
        <v>47.157612027971624</v>
      </c>
      <c r="O979" s="11">
        <f t="shared" si="14"/>
        <v>3.5391642814845373E-2</v>
      </c>
      <c r="P979"/>
      <c r="Q979" s="11"/>
    </row>
    <row r="980" spans="1:17" x14ac:dyDescent="0.35">
      <c r="A980" s="3" t="s">
        <v>41</v>
      </c>
      <c r="B980" s="4">
        <v>21.871776404817886</v>
      </c>
      <c r="C980" s="4">
        <v>22.202638267474626</v>
      </c>
      <c r="D980" s="4">
        <v>22.560079224449463</v>
      </c>
      <c r="E980" s="4">
        <v>22.937621470723762</v>
      </c>
      <c r="F980" s="4">
        <v>23.329988653139047</v>
      </c>
      <c r="G980" s="4">
        <v>23.745444627003209</v>
      </c>
      <c r="H980" s="4">
        <v>24.204723231363818</v>
      </c>
      <c r="I980" s="4">
        <v>24.695903884788038</v>
      </c>
      <c r="J980" s="4">
        <v>25.229477209178196</v>
      </c>
      <c r="K980" s="4">
        <v>25.800302888648474</v>
      </c>
      <c r="L980" s="4">
        <v>26.402022471848923</v>
      </c>
      <c r="M980" s="4">
        <v>27.055688469061469</v>
      </c>
      <c r="N980" s="4">
        <v>27.765967230758019</v>
      </c>
      <c r="O980" s="11">
        <f t="shared" si="14"/>
        <v>2.2597302949758421E-2</v>
      </c>
      <c r="P980"/>
      <c r="Q980" s="11"/>
    </row>
    <row r="981" spans="1:17" x14ac:dyDescent="0.35">
      <c r="A981" s="3" t="s">
        <v>40</v>
      </c>
      <c r="B981" s="4">
        <v>32.569574425040962</v>
      </c>
      <c r="C981" s="4">
        <v>33.289835926888827</v>
      </c>
      <c r="D981" s="4">
        <v>34.058373016681955</v>
      </c>
      <c r="E981" s="4">
        <v>34.866311787838384</v>
      </c>
      <c r="F981" s="4">
        <v>35.70634734657456</v>
      </c>
      <c r="G981" s="4">
        <v>36.591686811367865</v>
      </c>
      <c r="H981" s="4">
        <v>37.555108016203697</v>
      </c>
      <c r="I981" s="4">
        <v>38.579610169877824</v>
      </c>
      <c r="J981" s="4">
        <v>39.682715015813208</v>
      </c>
      <c r="K981" s="4">
        <v>40.857821587722007</v>
      </c>
      <c r="L981" s="4">
        <v>42.096197576687409</v>
      </c>
      <c r="M981" s="4">
        <v>43.432557643646518</v>
      </c>
      <c r="N981" s="4">
        <v>44.87624203892566</v>
      </c>
      <c r="O981" s="11">
        <f t="shared" ref="O981:O1044" si="15">IFERROR(RATE(2033-2026,,-G981,N981),"")</f>
        <v>2.9584527400432895E-2</v>
      </c>
      <c r="P981"/>
      <c r="Q981" s="11"/>
    </row>
    <row r="982" spans="1:17" x14ac:dyDescent="0.35">
      <c r="A982" s="3" t="s">
        <v>42</v>
      </c>
      <c r="B982" s="4">
        <v>37.318759846491638</v>
      </c>
      <c r="C982" s="4">
        <v>38.680788667083512</v>
      </c>
      <c r="D982" s="4">
        <v>40.103116663097019</v>
      </c>
      <c r="E982" s="4">
        <v>41.601088205718824</v>
      </c>
      <c r="F982" s="4">
        <v>43.192939324076846</v>
      </c>
      <c r="G982" s="4">
        <v>44.876084421814987</v>
      </c>
      <c r="H982" s="4">
        <v>46.637249109002873</v>
      </c>
      <c r="I982" s="4">
        <v>48.509333508266188</v>
      </c>
      <c r="J982" s="4">
        <v>50.531981314037978</v>
      </c>
      <c r="K982" s="4">
        <v>52.671500325373792</v>
      </c>
      <c r="L982" s="4">
        <v>54.971489552288531</v>
      </c>
      <c r="M982" s="4">
        <v>57.428549683901984</v>
      </c>
      <c r="N982" s="4">
        <v>60.056395479980964</v>
      </c>
      <c r="O982" s="11">
        <f t="shared" si="15"/>
        <v>4.2504067350729174E-2</v>
      </c>
      <c r="P982"/>
      <c r="Q982" s="11"/>
    </row>
    <row r="983" spans="1:17" x14ac:dyDescent="0.35">
      <c r="A983" s="1" t="s">
        <v>86</v>
      </c>
      <c r="O983" s="11" t="str">
        <f t="shared" si="15"/>
        <v/>
      </c>
      <c r="P983"/>
      <c r="Q983" s="11"/>
    </row>
    <row r="984" spans="1:17" x14ac:dyDescent="0.35">
      <c r="A984" s="2" t="s">
        <v>24</v>
      </c>
      <c r="O984" s="11" t="str">
        <f t="shared" si="15"/>
        <v/>
      </c>
      <c r="P984"/>
      <c r="Q984" s="11"/>
    </row>
    <row r="985" spans="1:17" x14ac:dyDescent="0.35">
      <c r="A985" s="3" t="s">
        <v>25</v>
      </c>
      <c r="B985" s="4">
        <v>43.43850702116999</v>
      </c>
      <c r="C985" s="4">
        <v>46.390384312718773</v>
      </c>
      <c r="D985" s="4">
        <v>49.555556861572185</v>
      </c>
      <c r="E985" s="4">
        <v>52.965531500461744</v>
      </c>
      <c r="F985" s="4">
        <v>56.658436706550219</v>
      </c>
      <c r="G985" s="4">
        <v>60.648675726543743</v>
      </c>
      <c r="H985" s="4">
        <v>64.936731862680361</v>
      </c>
      <c r="I985" s="4">
        <v>69.586172538802501</v>
      </c>
      <c r="J985" s="4">
        <v>74.676693620144661</v>
      </c>
      <c r="K985" s="4">
        <v>80.187687950052961</v>
      </c>
      <c r="L985" s="4">
        <v>86.211773879715707</v>
      </c>
      <c r="M985" s="4">
        <v>92.777243604886166</v>
      </c>
      <c r="N985" s="4">
        <v>99.941193979538468</v>
      </c>
      <c r="O985" s="11">
        <f t="shared" si="15"/>
        <v>7.3962284809644438E-2</v>
      </c>
      <c r="P985"/>
      <c r="Q985" s="11"/>
    </row>
    <row r="986" spans="1:17" x14ac:dyDescent="0.35">
      <c r="A986" s="3" t="s">
        <v>26</v>
      </c>
      <c r="B986" s="4">
        <v>397.83658666176478</v>
      </c>
      <c r="C986" s="4">
        <v>427.46822930067958</v>
      </c>
      <c r="D986" s="4">
        <v>460.33619467826685</v>
      </c>
      <c r="E986" s="4">
        <v>495.99596425267009</v>
      </c>
      <c r="F986" s="4">
        <v>534.76574603405754</v>
      </c>
      <c r="G986" s="4">
        <v>576.83614506764297</v>
      </c>
      <c r="H986" s="4">
        <v>622.40023948078385</v>
      </c>
      <c r="I986" s="4">
        <v>671.87974682590732</v>
      </c>
      <c r="J986" s="4">
        <v>725.9964334212832</v>
      </c>
      <c r="K986" s="4">
        <v>785.46594409179863</v>
      </c>
      <c r="L986" s="4">
        <v>850.47825889271382</v>
      </c>
      <c r="M986" s="4">
        <v>921.36842866107656</v>
      </c>
      <c r="N986" s="4">
        <v>998.99526733543132</v>
      </c>
      <c r="O986" s="11">
        <f t="shared" si="15"/>
        <v>8.1615730945427387E-2</v>
      </c>
      <c r="P986"/>
      <c r="Q986" s="11"/>
    </row>
    <row r="987" spans="1:17" x14ac:dyDescent="0.35">
      <c r="A987" s="2" t="s">
        <v>27</v>
      </c>
      <c r="O987" s="11" t="str">
        <f t="shared" si="15"/>
        <v/>
      </c>
      <c r="P987"/>
      <c r="Q987" s="11"/>
    </row>
    <row r="988" spans="1:17" x14ac:dyDescent="0.35">
      <c r="A988" s="3" t="s">
        <v>30</v>
      </c>
      <c r="B988" s="4">
        <v>73.165407937819097</v>
      </c>
      <c r="C988" s="4">
        <v>79.337683483162763</v>
      </c>
      <c r="D988" s="4">
        <v>86.121076279621164</v>
      </c>
      <c r="E988" s="4">
        <v>93.541692146900701</v>
      </c>
      <c r="F988" s="4">
        <v>101.72495943138453</v>
      </c>
      <c r="G988" s="4">
        <v>110.76879634217596</v>
      </c>
      <c r="H988" s="4">
        <v>120.7150426829145</v>
      </c>
      <c r="I988" s="4">
        <v>131.81558083869265</v>
      </c>
      <c r="J988" s="4">
        <v>144.11494758300569</v>
      </c>
      <c r="K988" s="4">
        <v>157.69498620655074</v>
      </c>
      <c r="L988" s="4">
        <v>172.85469296120303</v>
      </c>
      <c r="M988" s="4">
        <v>189.64115015494863</v>
      </c>
      <c r="N988" s="4">
        <v>208.34359814417377</v>
      </c>
      <c r="O988" s="11">
        <f t="shared" si="15"/>
        <v>9.4446847975635004E-2</v>
      </c>
      <c r="P988"/>
      <c r="Q988" s="11"/>
    </row>
    <row r="989" spans="1:17" x14ac:dyDescent="0.35">
      <c r="A989" s="3" t="s">
        <v>32</v>
      </c>
      <c r="B989" s="4">
        <v>42.547109784107612</v>
      </c>
      <c r="C989" s="4">
        <v>44.769882298240454</v>
      </c>
      <c r="D989" s="4">
        <v>47.177828181735869</v>
      </c>
      <c r="E989" s="4">
        <v>49.805842171698842</v>
      </c>
      <c r="F989" s="4">
        <v>52.63675226391409</v>
      </c>
      <c r="G989" s="4">
        <v>55.771225988342003</v>
      </c>
      <c r="H989" s="4">
        <v>59.12252423971541</v>
      </c>
      <c r="I989" s="4">
        <v>62.82836999440633</v>
      </c>
      <c r="J989" s="4">
        <v>66.868120766859818</v>
      </c>
      <c r="K989" s="4">
        <v>71.279051077976547</v>
      </c>
      <c r="L989" s="4">
        <v>76.144939375609269</v>
      </c>
      <c r="M989" s="4">
        <v>81.525300136813698</v>
      </c>
      <c r="N989" s="4">
        <v>87.437404532488785</v>
      </c>
      <c r="O989" s="11">
        <f t="shared" si="15"/>
        <v>6.634601994165204E-2</v>
      </c>
      <c r="P989"/>
      <c r="Q989" s="11"/>
    </row>
    <row r="990" spans="1:17" x14ac:dyDescent="0.35">
      <c r="A990" s="3" t="s">
        <v>29</v>
      </c>
      <c r="B990" s="4">
        <v>93.073046970115698</v>
      </c>
      <c r="C990" s="4">
        <v>100.70483467371211</v>
      </c>
      <c r="D990" s="4">
        <v>109.06026605582706</v>
      </c>
      <c r="E990" s="4">
        <v>118.17829922161182</v>
      </c>
      <c r="F990" s="4">
        <v>128.10247798161566</v>
      </c>
      <c r="G990" s="4">
        <v>138.94997724541705</v>
      </c>
      <c r="H990" s="4">
        <v>150.9291662356635</v>
      </c>
      <c r="I990" s="4">
        <v>164.08464223539116</v>
      </c>
      <c r="J990" s="4">
        <v>178.60223228603365</v>
      </c>
      <c r="K990" s="4">
        <v>194.58638770399838</v>
      </c>
      <c r="L990" s="4">
        <v>212.13665468238946</v>
      </c>
      <c r="M990" s="4">
        <v>231.57445295281977</v>
      </c>
      <c r="N990" s="4">
        <v>253.13935129917013</v>
      </c>
      <c r="O990" s="11">
        <f t="shared" si="15"/>
        <v>8.9467939988755033E-2</v>
      </c>
      <c r="P990"/>
      <c r="Q990" s="11"/>
    </row>
    <row r="991" spans="1:17" x14ac:dyDescent="0.35">
      <c r="A991" s="3" t="s">
        <v>31</v>
      </c>
      <c r="B991" s="4">
        <v>50.531123022800244</v>
      </c>
      <c r="C991" s="4">
        <v>54.268290585373734</v>
      </c>
      <c r="D991" s="4">
        <v>58.396189423305813</v>
      </c>
      <c r="E991" s="4">
        <v>62.843234564458996</v>
      </c>
      <c r="F991" s="4">
        <v>67.658926505525528</v>
      </c>
      <c r="G991" s="4">
        <v>72.905405413787449</v>
      </c>
      <c r="H991" s="4">
        <v>78.61588472996003</v>
      </c>
      <c r="I991" s="4">
        <v>84.991151962417604</v>
      </c>
      <c r="J991" s="4">
        <v>91.95366072006415</v>
      </c>
      <c r="K991" s="4">
        <v>99.603416259623273</v>
      </c>
      <c r="L991" s="4">
        <v>108.06435078900242</v>
      </c>
      <c r="M991" s="4">
        <v>117.44134191901001</v>
      </c>
      <c r="N991" s="4">
        <v>127.8551588597122</v>
      </c>
      <c r="O991" s="11">
        <f t="shared" si="15"/>
        <v>8.3555642758155982E-2</v>
      </c>
      <c r="P991"/>
      <c r="Q991" s="11"/>
    </row>
    <row r="992" spans="1:17" x14ac:dyDescent="0.35">
      <c r="A992" s="3" t="s">
        <v>28</v>
      </c>
      <c r="B992" s="4">
        <v>155.79589683469965</v>
      </c>
      <c r="C992" s="4">
        <v>166.75746082785861</v>
      </c>
      <c r="D992" s="4">
        <v>179.05856272873052</v>
      </c>
      <c r="E992" s="4">
        <v>192.28888396375606</v>
      </c>
      <c r="F992" s="4">
        <v>206.58446703129425</v>
      </c>
      <c r="G992" s="4">
        <v>221.76196816973356</v>
      </c>
      <c r="H992" s="4">
        <v>237.80780397155479</v>
      </c>
      <c r="I992" s="4">
        <v>254.54721084183069</v>
      </c>
      <c r="J992" s="4">
        <v>272.60546521559957</v>
      </c>
      <c r="K992" s="4">
        <v>292.31099630667632</v>
      </c>
      <c r="L992" s="4">
        <v>313.33127132556717</v>
      </c>
      <c r="M992" s="4">
        <v>335.47876274100588</v>
      </c>
      <c r="N992" s="4">
        <v>358.95156670858546</v>
      </c>
      <c r="O992" s="11">
        <f t="shared" si="15"/>
        <v>7.1219322902455889E-2</v>
      </c>
      <c r="P992"/>
      <c r="Q992" s="11"/>
    </row>
    <row r="993" spans="1:17" x14ac:dyDescent="0.35">
      <c r="A993" s="3" t="s">
        <v>33</v>
      </c>
      <c r="B993" s="4">
        <v>26.162509133392454</v>
      </c>
      <c r="C993" s="4">
        <v>28.020461745050689</v>
      </c>
      <c r="D993" s="4">
        <v>30.077828870618589</v>
      </c>
      <c r="E993" s="4">
        <v>32.303543684705467</v>
      </c>
      <c r="F993" s="4">
        <v>34.716599526873679</v>
      </c>
      <c r="G993" s="4">
        <v>37.327447634730682</v>
      </c>
      <c r="H993" s="4">
        <v>40.146549483656052</v>
      </c>
      <c r="I993" s="4">
        <v>43.198963491971469</v>
      </c>
      <c r="J993" s="4">
        <v>46.528700469864944</v>
      </c>
      <c r="K993" s="4">
        <v>50.178794487026323</v>
      </c>
      <c r="L993" s="4">
        <v>54.15812363865809</v>
      </c>
      <c r="M993" s="4">
        <v>58.484664361364757</v>
      </c>
      <c r="N993" s="4">
        <v>63.209381770839535</v>
      </c>
      <c r="O993" s="11">
        <f t="shared" si="15"/>
        <v>7.814962306309145E-2</v>
      </c>
      <c r="P993"/>
      <c r="Q993" s="11"/>
    </row>
    <row r="994" spans="1:17" x14ac:dyDescent="0.35">
      <c r="A994" s="2" t="s">
        <v>34</v>
      </c>
      <c r="O994" s="11" t="str">
        <f t="shared" si="15"/>
        <v/>
      </c>
      <c r="P994"/>
      <c r="Q994" s="11"/>
    </row>
    <row r="995" spans="1:17" x14ac:dyDescent="0.35">
      <c r="A995" s="3" t="s">
        <v>36</v>
      </c>
      <c r="B995" s="4">
        <v>160.85842184425147</v>
      </c>
      <c r="C995" s="4">
        <v>172.97241896387726</v>
      </c>
      <c r="D995" s="4">
        <v>186.26548278896334</v>
      </c>
      <c r="E995" s="4">
        <v>200.93766153299697</v>
      </c>
      <c r="F995" s="4">
        <v>216.99353264752898</v>
      </c>
      <c r="G995" s="4">
        <v>234.92044658194354</v>
      </c>
      <c r="H995" s="4">
        <v>254.45547151103054</v>
      </c>
      <c r="I995" s="4">
        <v>276.27416260569754</v>
      </c>
      <c r="J995" s="4">
        <v>300.41058300036269</v>
      </c>
      <c r="K995" s="4">
        <v>327.15627038801176</v>
      </c>
      <c r="L995" s="4">
        <v>357.03583084880654</v>
      </c>
      <c r="M995" s="4">
        <v>390.4991167096552</v>
      </c>
      <c r="N995" s="4">
        <v>427.82476684267027</v>
      </c>
      <c r="O995" s="11">
        <f t="shared" si="15"/>
        <v>8.941200759820836E-2</v>
      </c>
      <c r="P995"/>
      <c r="Q995" s="11"/>
    </row>
    <row r="996" spans="1:17" x14ac:dyDescent="0.35">
      <c r="A996" s="3" t="s">
        <v>37</v>
      </c>
      <c r="B996" s="4">
        <v>94.391631877430925</v>
      </c>
      <c r="C996" s="4">
        <v>101.68219191484695</v>
      </c>
      <c r="D996" s="4">
        <v>109.56369135413321</v>
      </c>
      <c r="E996" s="4">
        <v>118.11986944874188</v>
      </c>
      <c r="F996" s="4">
        <v>127.45191138060098</v>
      </c>
      <c r="G996" s="4">
        <v>137.61088080357507</v>
      </c>
      <c r="H996" s="4">
        <v>148.6177222036242</v>
      </c>
      <c r="I996" s="4">
        <v>160.63816019611693</v>
      </c>
      <c r="J996" s="4">
        <v>173.88056741241502</v>
      </c>
      <c r="K996" s="4">
        <v>188.32658116018055</v>
      </c>
      <c r="L996" s="4">
        <v>204.22263795395114</v>
      </c>
      <c r="M996" s="4">
        <v>221.67084503394642</v>
      </c>
      <c r="N996" s="4">
        <v>240.84508936904217</v>
      </c>
      <c r="O996" s="11">
        <f t="shared" si="15"/>
        <v>8.3244347728773746E-2</v>
      </c>
      <c r="P996"/>
      <c r="Q996" s="11"/>
    </row>
    <row r="997" spans="1:17" x14ac:dyDescent="0.35">
      <c r="A997" s="3" t="s">
        <v>35</v>
      </c>
      <c r="B997" s="4">
        <v>140.61725686051432</v>
      </c>
      <c r="C997" s="4">
        <v>150.76201445038674</v>
      </c>
      <c r="D997" s="4">
        <v>162.28157124515849</v>
      </c>
      <c r="E997" s="4">
        <v>174.54921367207214</v>
      </c>
      <c r="F997" s="4">
        <v>187.77717802014297</v>
      </c>
      <c r="G997" s="4">
        <v>201.58375443968134</v>
      </c>
      <c r="H997" s="4">
        <v>216.38269868469507</v>
      </c>
      <c r="I997" s="4">
        <v>231.6522094321507</v>
      </c>
      <c r="J997" s="4">
        <v>248.02873836194976</v>
      </c>
      <c r="K997" s="4">
        <v>265.85839147020602</v>
      </c>
      <c r="L997" s="4">
        <v>284.5588492044875</v>
      </c>
      <c r="M997" s="4">
        <v>303.86627357830844</v>
      </c>
      <c r="N997" s="4">
        <v>324.15771554636035</v>
      </c>
      <c r="O997" s="11">
        <f t="shared" si="15"/>
        <v>7.0216266499121729E-2</v>
      </c>
      <c r="P997"/>
      <c r="Q997" s="11"/>
    </row>
    <row r="998" spans="1:17" x14ac:dyDescent="0.35">
      <c r="A998" s="3" t="s">
        <v>38</v>
      </c>
      <c r="B998" s="4">
        <v>45.407783100738065</v>
      </c>
      <c r="C998" s="4">
        <v>48.441988284287412</v>
      </c>
      <c r="D998" s="4">
        <v>51.781006151584016</v>
      </c>
      <c r="E998" s="4">
        <v>55.354751099320879</v>
      </c>
      <c r="F998" s="4">
        <v>59.201560692334837</v>
      </c>
      <c r="G998" s="4">
        <v>63.369738968986809</v>
      </c>
      <c r="H998" s="4">
        <v>67.881078944114449</v>
      </c>
      <c r="I998" s="4">
        <v>72.901387130744681</v>
      </c>
      <c r="J998" s="4">
        <v>78.353238266700401</v>
      </c>
      <c r="K998" s="4">
        <v>84.31238902345325</v>
      </c>
      <c r="L998" s="4">
        <v>90.872714765184384</v>
      </c>
      <c r="M998" s="4">
        <v>98.109436944052732</v>
      </c>
      <c r="N998" s="4">
        <v>106.10888955689711</v>
      </c>
      <c r="O998" s="11">
        <f t="shared" si="15"/>
        <v>7.6419129881380388E-2</v>
      </c>
      <c r="P998"/>
      <c r="Q998" s="11"/>
    </row>
    <row r="999" spans="1:17" x14ac:dyDescent="0.35">
      <c r="A999" s="2" t="s">
        <v>22</v>
      </c>
      <c r="O999" s="11" t="str">
        <f t="shared" si="15"/>
        <v/>
      </c>
      <c r="P999"/>
      <c r="Q999" s="11"/>
    </row>
    <row r="1000" spans="1:17" x14ac:dyDescent="0.35">
      <c r="A1000" s="3" t="s">
        <v>39</v>
      </c>
      <c r="B1000" s="4">
        <v>114.46339417215233</v>
      </c>
      <c r="C1000" s="4">
        <v>124.27035178519361</v>
      </c>
      <c r="D1000" s="4">
        <v>135.02672182953324</v>
      </c>
      <c r="E1000" s="4">
        <v>146.75201358737985</v>
      </c>
      <c r="F1000" s="4">
        <v>159.56624450341599</v>
      </c>
      <c r="G1000" s="4">
        <v>173.39643373769053</v>
      </c>
      <c r="H1000" s="4">
        <v>187.9341665566177</v>
      </c>
      <c r="I1000" s="4">
        <v>203.21423109306386</v>
      </c>
      <c r="J1000" s="4">
        <v>219.98311665390429</v>
      </c>
      <c r="K1000" s="4">
        <v>238.43851197264644</v>
      </c>
      <c r="L1000" s="4">
        <v>258.51651694464545</v>
      </c>
      <c r="M1000" s="4">
        <v>279.81460027525213</v>
      </c>
      <c r="N1000" s="4">
        <v>302.35373024488638</v>
      </c>
      <c r="O1000" s="11">
        <f t="shared" si="15"/>
        <v>8.2670872269958312E-2</v>
      </c>
      <c r="P1000"/>
      <c r="Q1000" s="11"/>
    </row>
    <row r="1001" spans="1:17" x14ac:dyDescent="0.35">
      <c r="A1001" s="3" t="s">
        <v>41</v>
      </c>
      <c r="B1001" s="4">
        <v>91.280852153601046</v>
      </c>
      <c r="C1001" s="4">
        <v>96.64947190843715</v>
      </c>
      <c r="D1001" s="4">
        <v>102.58086278575723</v>
      </c>
      <c r="E1001" s="4">
        <v>108.90692275100584</v>
      </c>
      <c r="F1001" s="4">
        <v>115.68257014406288</v>
      </c>
      <c r="G1001" s="4">
        <v>123.00122601126554</v>
      </c>
      <c r="H1001" s="4">
        <v>130.99501723948183</v>
      </c>
      <c r="I1001" s="4">
        <v>139.80292098104019</v>
      </c>
      <c r="J1001" s="4">
        <v>149.33326367631412</v>
      </c>
      <c r="K1001" s="4">
        <v>159.65516928481514</v>
      </c>
      <c r="L1001" s="4">
        <v>171.00310797360621</v>
      </c>
      <c r="M1001" s="4">
        <v>183.50602887707703</v>
      </c>
      <c r="N1001" s="4">
        <v>197.31215217547086</v>
      </c>
      <c r="O1001" s="11">
        <f t="shared" si="15"/>
        <v>6.9844424337883695E-2</v>
      </c>
      <c r="P1001"/>
      <c r="Q1001" s="11"/>
    </row>
    <row r="1002" spans="1:17" x14ac:dyDescent="0.35">
      <c r="A1002" s="3" t="s">
        <v>40</v>
      </c>
      <c r="B1002" s="4">
        <v>112.99308451469825</v>
      </c>
      <c r="C1002" s="4">
        <v>120.83045926589422</v>
      </c>
      <c r="D1002" s="4">
        <v>129.32885591418085</v>
      </c>
      <c r="E1002" s="4">
        <v>138.5072175356014</v>
      </c>
      <c r="F1002" s="4">
        <v>148.38832744961849</v>
      </c>
      <c r="G1002" s="4">
        <v>159.07852070713793</v>
      </c>
      <c r="H1002" s="4">
        <v>170.78287509598724</v>
      </c>
      <c r="I1002" s="4">
        <v>183.510803796094</v>
      </c>
      <c r="J1002" s="4">
        <v>197.42825259475035</v>
      </c>
      <c r="K1002" s="4">
        <v>212.60249879336263</v>
      </c>
      <c r="L1002" s="4">
        <v>229.0911813710027</v>
      </c>
      <c r="M1002" s="4">
        <v>247.18763892021209</v>
      </c>
      <c r="N1002" s="4">
        <v>267.08295000881873</v>
      </c>
      <c r="O1002" s="11">
        <f t="shared" si="15"/>
        <v>7.6831628193591392E-2</v>
      </c>
      <c r="P1002"/>
      <c r="Q1002" s="11"/>
    </row>
    <row r="1003" spans="1:17" x14ac:dyDescent="0.35">
      <c r="A1003" s="3" t="s">
        <v>42</v>
      </c>
      <c r="B1003" s="4">
        <v>122.5377628424831</v>
      </c>
      <c r="C1003" s="4">
        <v>132.1083306538734</v>
      </c>
      <c r="D1003" s="4">
        <v>142.95531101036772</v>
      </c>
      <c r="E1003" s="4">
        <v>154.79534187914481</v>
      </c>
      <c r="F1003" s="4">
        <v>167.78704064351044</v>
      </c>
      <c r="G1003" s="4">
        <v>182.00864033809268</v>
      </c>
      <c r="H1003" s="4">
        <v>197.62491245137747</v>
      </c>
      <c r="I1003" s="4">
        <v>214.93796349451179</v>
      </c>
      <c r="J1003" s="4">
        <v>233.92849411645912</v>
      </c>
      <c r="K1003" s="4">
        <v>254.95745199102731</v>
      </c>
      <c r="L1003" s="4">
        <v>278.07922648317509</v>
      </c>
      <c r="M1003" s="4">
        <v>303.63740419342145</v>
      </c>
      <c r="N1003" s="4">
        <v>332.18762888579386</v>
      </c>
      <c r="O1003" s="11">
        <f t="shared" si="15"/>
        <v>8.9751184907463519E-2</v>
      </c>
      <c r="P1003"/>
      <c r="Q1003" s="11"/>
    </row>
    <row r="1004" spans="1:17" x14ac:dyDescent="0.35">
      <c r="A1004" s="1" t="s">
        <v>87</v>
      </c>
      <c r="O1004" s="11" t="str">
        <f t="shared" si="15"/>
        <v/>
      </c>
      <c r="P1004"/>
      <c r="Q1004" s="11"/>
    </row>
    <row r="1005" spans="1:17" x14ac:dyDescent="0.35">
      <c r="A1005" s="2" t="s">
        <v>24</v>
      </c>
      <c r="O1005" s="11" t="str">
        <f t="shared" si="15"/>
        <v/>
      </c>
      <c r="P1005"/>
      <c r="Q1005" s="11"/>
    </row>
    <row r="1006" spans="1:17" x14ac:dyDescent="0.35">
      <c r="A1006" s="3" t="s">
        <v>25</v>
      </c>
      <c r="B1006" s="4">
        <v>11.204151197975301</v>
      </c>
      <c r="C1006" s="4">
        <v>11.869653126813954</v>
      </c>
      <c r="D1006" s="4">
        <v>12.603265333187998</v>
      </c>
      <c r="E1006" s="4">
        <v>13.389463044030773</v>
      </c>
      <c r="F1006" s="4">
        <v>14.234088765431864</v>
      </c>
      <c r="G1006" s="4">
        <v>15.139185526130374</v>
      </c>
      <c r="H1006" s="4">
        <v>16.106663064658967</v>
      </c>
      <c r="I1006" s="4">
        <v>17.144153593350282</v>
      </c>
      <c r="J1006" s="4">
        <v>18.266427924537968</v>
      </c>
      <c r="K1006" s="4">
        <v>19.487176663683595</v>
      </c>
      <c r="L1006" s="4">
        <v>20.806165477099931</v>
      </c>
      <c r="M1006" s="4">
        <v>22.226584821393359</v>
      </c>
      <c r="N1006" s="4">
        <v>23.763942921711529</v>
      </c>
      <c r="O1006" s="11">
        <f t="shared" si="15"/>
        <v>6.6531563641751348E-2</v>
      </c>
      <c r="P1006"/>
      <c r="Q1006" s="11"/>
    </row>
    <row r="1007" spans="1:17" x14ac:dyDescent="0.35">
      <c r="A1007" s="3" t="s">
        <v>26</v>
      </c>
      <c r="B1007" s="4">
        <v>113.10387174994199</v>
      </c>
      <c r="C1007" s="4">
        <v>120.24693942760409</v>
      </c>
      <c r="D1007" s="4">
        <v>128.14845765457846</v>
      </c>
      <c r="E1007" s="4">
        <v>136.60749103638506</v>
      </c>
      <c r="F1007" s="4">
        <v>145.69949286863405</v>
      </c>
      <c r="G1007" s="4">
        <v>155.54959665037234</v>
      </c>
      <c r="H1007" s="4">
        <v>166.33387448953135</v>
      </c>
      <c r="I1007" s="4">
        <v>178.23990275518261</v>
      </c>
      <c r="J1007" s="4">
        <v>191.16416205794829</v>
      </c>
      <c r="K1007" s="4">
        <v>205.2071898524913</v>
      </c>
      <c r="L1007" s="4">
        <v>220.68359487123473</v>
      </c>
      <c r="M1007" s="4">
        <v>237.77681905257197</v>
      </c>
      <c r="N1007" s="4">
        <v>256.69812075072554</v>
      </c>
      <c r="O1007" s="11">
        <f t="shared" si="15"/>
        <v>7.4185075988378313E-2</v>
      </c>
      <c r="P1007"/>
      <c r="Q1007" s="11"/>
    </row>
    <row r="1008" spans="1:17" x14ac:dyDescent="0.35">
      <c r="A1008" s="2" t="s">
        <v>27</v>
      </c>
      <c r="O1008" s="11" t="str">
        <f t="shared" si="15"/>
        <v/>
      </c>
      <c r="P1008"/>
      <c r="Q1008" s="11"/>
    </row>
    <row r="1009" spans="1:17" x14ac:dyDescent="0.35">
      <c r="A1009" s="3" t="s">
        <v>30</v>
      </c>
      <c r="B1009" s="4">
        <v>22.253190248586005</v>
      </c>
      <c r="C1009" s="4">
        <v>24.042725852010097</v>
      </c>
      <c r="D1009" s="4">
        <v>25.982752377378937</v>
      </c>
      <c r="E1009" s="4">
        <v>28.094445229365135</v>
      </c>
      <c r="F1009" s="4">
        <v>30.403373868635928</v>
      </c>
      <c r="G1009" s="4">
        <v>32.923446753456965</v>
      </c>
      <c r="H1009" s="4">
        <v>35.661523080754179</v>
      </c>
      <c r="I1009" s="4">
        <v>38.659276094926369</v>
      </c>
      <c r="J1009" s="4">
        <v>41.96912591350447</v>
      </c>
      <c r="K1009" s="4">
        <v>45.589373217094874</v>
      </c>
      <c r="L1009" s="4">
        <v>49.582389044850288</v>
      </c>
      <c r="M1009" s="4">
        <v>53.976224892045217</v>
      </c>
      <c r="N1009" s="4">
        <v>58.816726399538325</v>
      </c>
      <c r="O1009" s="11">
        <f t="shared" si="15"/>
        <v>8.642403470272203E-2</v>
      </c>
      <c r="P1009"/>
      <c r="Q1009" s="11"/>
    </row>
    <row r="1010" spans="1:17" x14ac:dyDescent="0.35">
      <c r="A1010" s="3" t="s">
        <v>32</v>
      </c>
      <c r="B1010" s="4">
        <v>9.5056825374281999</v>
      </c>
      <c r="C1010" s="4">
        <v>9.9922735425090963</v>
      </c>
      <c r="D1010" s="4">
        <v>10.527833277747094</v>
      </c>
      <c r="E1010" s="4">
        <v>11.098148789567515</v>
      </c>
      <c r="F1010" s="4">
        <v>11.707138175613625</v>
      </c>
      <c r="G1010" s="4">
        <v>12.355458976719889</v>
      </c>
      <c r="H1010" s="4">
        <v>13.043623538897863</v>
      </c>
      <c r="I1010" s="4">
        <v>13.77674606143732</v>
      </c>
      <c r="J1010" s="4">
        <v>14.565502501933818</v>
      </c>
      <c r="K1010" s="4">
        <v>15.419359503100734</v>
      </c>
      <c r="L1010" s="4">
        <v>16.336451329285051</v>
      </c>
      <c r="M1010" s="4">
        <v>17.317632349591353</v>
      </c>
      <c r="N1010" s="4">
        <v>18.373301748649823</v>
      </c>
      <c r="O1010" s="11">
        <f t="shared" si="15"/>
        <v>5.8323237702997729E-2</v>
      </c>
      <c r="P1010"/>
      <c r="Q1010" s="11"/>
    </row>
    <row r="1011" spans="1:17" x14ac:dyDescent="0.35">
      <c r="A1011" s="3" t="s">
        <v>29</v>
      </c>
      <c r="B1011" s="4">
        <v>25.252539889930254</v>
      </c>
      <c r="C1011" s="4">
        <v>27.05453450909598</v>
      </c>
      <c r="D1011" s="4">
        <v>29.01595141519773</v>
      </c>
      <c r="E1011" s="4">
        <v>31.138854107457835</v>
      </c>
      <c r="F1011" s="4">
        <v>33.458105277846592</v>
      </c>
      <c r="G1011" s="4">
        <v>35.997681617666224</v>
      </c>
      <c r="H1011" s="4">
        <v>38.761987831256704</v>
      </c>
      <c r="I1011" s="4">
        <v>41.822437454802937</v>
      </c>
      <c r="J1011" s="4">
        <v>45.181019958438675</v>
      </c>
      <c r="K1011" s="4">
        <v>48.85102810916333</v>
      </c>
      <c r="L1011" s="4">
        <v>52.912085791866467</v>
      </c>
      <c r="M1011" s="4">
        <v>57.362600028862715</v>
      </c>
      <c r="N1011" s="4">
        <v>62.273904061440533</v>
      </c>
      <c r="O1011" s="11">
        <f t="shared" si="15"/>
        <v>8.1445178744273039E-2</v>
      </c>
      <c r="P1011"/>
      <c r="Q1011" s="11"/>
    </row>
    <row r="1012" spans="1:17" x14ac:dyDescent="0.35">
      <c r="A1012" s="3" t="s">
        <v>31</v>
      </c>
      <c r="B1012" s="4">
        <v>17.635133337399441</v>
      </c>
      <c r="C1012" s="4">
        <v>18.79652667546797</v>
      </c>
      <c r="D1012" s="4">
        <v>20.080192234346331</v>
      </c>
      <c r="E1012" s="4">
        <v>21.466797319455065</v>
      </c>
      <c r="F1012" s="4">
        <v>22.966462322651868</v>
      </c>
      <c r="G1012" s="4">
        <v>24.599333919118926</v>
      </c>
      <c r="H1012" s="4">
        <v>26.366933335727982</v>
      </c>
      <c r="I1012" s="4">
        <v>28.291285725568255</v>
      </c>
      <c r="J1012" s="4">
        <v>30.400142312546482</v>
      </c>
      <c r="K1012" s="4">
        <v>32.690582050900296</v>
      </c>
      <c r="L1012" s="4">
        <v>35.193919048278254</v>
      </c>
      <c r="M1012" s="4">
        <v>37.933685656770898</v>
      </c>
      <c r="N1012" s="4">
        <v>40.953303241112074</v>
      </c>
      <c r="O1012" s="11">
        <f t="shared" si="15"/>
        <v>7.5532790663707786E-2</v>
      </c>
      <c r="P1012"/>
      <c r="Q1012" s="11"/>
    </row>
    <row r="1013" spans="1:17" x14ac:dyDescent="0.35">
      <c r="A1013" s="3" t="s">
        <v>28</v>
      </c>
      <c r="B1013" s="4">
        <v>43.516464962173472</v>
      </c>
      <c r="C1013" s="4">
        <v>45.691502444386543</v>
      </c>
      <c r="D1013" s="4">
        <v>48.184892146653667</v>
      </c>
      <c r="E1013" s="4">
        <v>50.786369387774215</v>
      </c>
      <c r="F1013" s="4">
        <v>53.497783056595054</v>
      </c>
      <c r="G1013" s="4">
        <v>56.386026782207381</v>
      </c>
      <c r="H1013" s="4">
        <v>59.61615177837642</v>
      </c>
      <c r="I1013" s="4">
        <v>63.234771879008662</v>
      </c>
      <c r="J1013" s="4">
        <v>67.049831694387251</v>
      </c>
      <c r="K1013" s="4">
        <v>71.160891816922657</v>
      </c>
      <c r="L1013" s="4">
        <v>75.698802296656652</v>
      </c>
      <c r="M1013" s="4">
        <v>80.796226015239597</v>
      </c>
      <c r="N1013" s="4">
        <v>86.50193930423751</v>
      </c>
      <c r="O1013" s="11">
        <f t="shared" si="15"/>
        <v>6.3042484729806988E-2</v>
      </c>
      <c r="P1013"/>
      <c r="Q1013" s="11"/>
    </row>
    <row r="1014" spans="1:17" x14ac:dyDescent="0.35">
      <c r="A1014" s="3" t="s">
        <v>33</v>
      </c>
      <c r="B1014" s="4">
        <v>6.1450119723999261</v>
      </c>
      <c r="C1014" s="4">
        <v>6.5390295309483601</v>
      </c>
      <c r="D1014" s="4">
        <v>6.9601015364427212</v>
      </c>
      <c r="E1014" s="4">
        <v>7.4123392467960585</v>
      </c>
      <c r="F1014" s="4">
        <v>7.9007189327228557</v>
      </c>
      <c r="G1014" s="4">
        <v>8.4268341273333363</v>
      </c>
      <c r="H1014" s="4">
        <v>8.9903179891771714</v>
      </c>
      <c r="I1014" s="4">
        <v>9.5995391327893493</v>
      </c>
      <c r="J1014" s="4">
        <v>10.264967601675542</v>
      </c>
      <c r="K1014" s="4">
        <v>10.98313181899298</v>
      </c>
      <c r="L1014" s="4">
        <v>11.76611283739798</v>
      </c>
      <c r="M1014" s="4">
        <v>12.617034931455535</v>
      </c>
      <c r="N1014" s="4">
        <v>13.5428889174588</v>
      </c>
      <c r="O1014" s="11">
        <f t="shared" si="15"/>
        <v>7.0126865802235108E-2</v>
      </c>
      <c r="P1014"/>
      <c r="Q1014" s="11"/>
    </row>
    <row r="1015" spans="1:17" x14ac:dyDescent="0.35">
      <c r="A1015" s="2" t="s">
        <v>34</v>
      </c>
      <c r="O1015" s="11" t="str">
        <f t="shared" si="15"/>
        <v/>
      </c>
      <c r="P1015"/>
      <c r="Q1015" s="11"/>
    </row>
    <row r="1016" spans="1:17" x14ac:dyDescent="0.35">
      <c r="A1016" s="3" t="s">
        <v>36</v>
      </c>
      <c r="B1016" s="4">
        <v>45.274579954428951</v>
      </c>
      <c r="C1016" s="4">
        <v>48.541305542357961</v>
      </c>
      <c r="D1016" s="4">
        <v>52.146009791181044</v>
      </c>
      <c r="E1016" s="4">
        <v>56.023008292945619</v>
      </c>
      <c r="F1016" s="4">
        <v>60.214993485225818</v>
      </c>
      <c r="G1016" s="4">
        <v>64.775613228499012</v>
      </c>
      <c r="H1016" s="4">
        <v>69.732446563560018</v>
      </c>
      <c r="I1016" s="4">
        <v>75.261516901235325</v>
      </c>
      <c r="J1016" s="4">
        <v>81.291190691515538</v>
      </c>
      <c r="K1016" s="4">
        <v>87.907262655119652</v>
      </c>
      <c r="L1016" s="4">
        <v>95.21605942383006</v>
      </c>
      <c r="M1016" s="4">
        <v>103.30639545737282</v>
      </c>
      <c r="N1016" s="4">
        <v>112.28045618585705</v>
      </c>
      <c r="O1016" s="11">
        <f t="shared" si="15"/>
        <v>8.1751533010450558E-2</v>
      </c>
      <c r="P1016"/>
      <c r="Q1016" s="11"/>
    </row>
    <row r="1017" spans="1:17" x14ac:dyDescent="0.35">
      <c r="A1017" s="3" t="s">
        <v>37</v>
      </c>
      <c r="B1017" s="4">
        <v>27.957877632272641</v>
      </c>
      <c r="C1017" s="4">
        <v>29.800523205243209</v>
      </c>
      <c r="D1017" s="4">
        <v>31.837205000670298</v>
      </c>
      <c r="E1017" s="4">
        <v>34.037299251616929</v>
      </c>
      <c r="F1017" s="4">
        <v>36.416876538076814</v>
      </c>
      <c r="G1017" s="4">
        <v>39.007908763844831</v>
      </c>
      <c r="H1017" s="4">
        <v>41.812839033754813</v>
      </c>
      <c r="I1017" s="4">
        <v>44.866626201577212</v>
      </c>
      <c r="J1017" s="4">
        <v>48.213316697720224</v>
      </c>
      <c r="K1017" s="4">
        <v>51.848320484740398</v>
      </c>
      <c r="L1017" s="4">
        <v>55.821344763595967</v>
      </c>
      <c r="M1017" s="4">
        <v>60.169763541639718</v>
      </c>
      <c r="N1017" s="4">
        <v>64.962505600203187</v>
      </c>
      <c r="O1017" s="11">
        <f t="shared" si="15"/>
        <v>7.5583917482585999E-2</v>
      </c>
      <c r="P1017"/>
      <c r="Q1017" s="11"/>
    </row>
    <row r="1018" spans="1:17" x14ac:dyDescent="0.35">
      <c r="A1018" s="3" t="s">
        <v>35</v>
      </c>
      <c r="B1018" s="4">
        <v>39.634922356856023</v>
      </c>
      <c r="C1018" s="4">
        <v>41.616201340097092</v>
      </c>
      <c r="D1018" s="4">
        <v>43.84364717596948</v>
      </c>
      <c r="E1018" s="4">
        <v>46.189667361199909</v>
      </c>
      <c r="F1018" s="4">
        <v>48.667788891246246</v>
      </c>
      <c r="G1018" s="4">
        <v>51.316875417753295</v>
      </c>
      <c r="H1018" s="4">
        <v>54.28583468892208</v>
      </c>
      <c r="I1018" s="4">
        <v>57.543698649626748</v>
      </c>
      <c r="J1018" s="4">
        <v>61.010313041303732</v>
      </c>
      <c r="K1018" s="4">
        <v>64.725497804415511</v>
      </c>
      <c r="L1018" s="4">
        <v>68.825733756577876</v>
      </c>
      <c r="M1018" s="4">
        <v>73.366181192428712</v>
      </c>
      <c r="N1018" s="4">
        <v>78.390139714392006</v>
      </c>
      <c r="O1018" s="11">
        <f t="shared" si="15"/>
        <v>6.2394687819518541E-2</v>
      </c>
      <c r="P1018"/>
      <c r="Q1018" s="11"/>
    </row>
    <row r="1019" spans="1:17" x14ac:dyDescent="0.35">
      <c r="A1019" s="3" t="s">
        <v>38</v>
      </c>
      <c r="B1019" s="4">
        <v>11.440643004359668</v>
      </c>
      <c r="C1019" s="4">
        <v>12.158562466719793</v>
      </c>
      <c r="D1019" s="4">
        <v>12.924861019945658</v>
      </c>
      <c r="E1019" s="4">
        <v>13.746979174653374</v>
      </c>
      <c r="F1019" s="4">
        <v>14.633922719517029</v>
      </c>
      <c r="G1019" s="4">
        <v>15.588384766405566</v>
      </c>
      <c r="H1019" s="4">
        <v>16.609417267953415</v>
      </c>
      <c r="I1019" s="4">
        <v>17.71221459609362</v>
      </c>
      <c r="J1019" s="4">
        <v>18.915769551946777</v>
      </c>
      <c r="K1019" s="4">
        <v>20.213285571899316</v>
      </c>
      <c r="L1019" s="4">
        <v>21.626622404330774</v>
      </c>
      <c r="M1019" s="4">
        <v>23.161063682524098</v>
      </c>
      <c r="N1019" s="4">
        <v>24.828962171984845</v>
      </c>
      <c r="O1019" s="11">
        <f t="shared" si="15"/>
        <v>6.8758632748464679E-2</v>
      </c>
      <c r="P1019"/>
      <c r="Q1019" s="11"/>
    </row>
    <row r="1020" spans="1:17" x14ac:dyDescent="0.35">
      <c r="A1020" s="2" t="s">
        <v>22</v>
      </c>
      <c r="O1020" s="11" t="str">
        <f t="shared" si="15"/>
        <v/>
      </c>
      <c r="P1020"/>
      <c r="Q1020" s="11"/>
    </row>
    <row r="1021" spans="1:17" x14ac:dyDescent="0.35">
      <c r="A1021" s="3" t="s">
        <v>39</v>
      </c>
      <c r="B1021" s="4">
        <v>31.210910362517353</v>
      </c>
      <c r="C1021" s="4">
        <v>33.232056306588277</v>
      </c>
      <c r="D1021" s="4">
        <v>35.483438597933826</v>
      </c>
      <c r="E1021" s="4">
        <v>37.852282631379154</v>
      </c>
      <c r="F1021" s="4">
        <v>40.335249288111413</v>
      </c>
      <c r="G1021" s="4">
        <v>42.989787307383978</v>
      </c>
      <c r="H1021" s="4">
        <v>45.972237504188229</v>
      </c>
      <c r="I1021" s="4">
        <v>49.301095893485609</v>
      </c>
      <c r="J1021" s="4">
        <v>52.860285433331342</v>
      </c>
      <c r="K1021" s="4">
        <v>56.71245301994955</v>
      </c>
      <c r="L1021" s="4">
        <v>61.016588330395081</v>
      </c>
      <c r="M1021" s="4">
        <v>65.893072938746741</v>
      </c>
      <c r="N1021" s="4">
        <v>71.335073974129983</v>
      </c>
      <c r="O1021" s="11">
        <f t="shared" si="15"/>
        <v>7.5027783503621451E-2</v>
      </c>
      <c r="P1021"/>
      <c r="Q1021" s="11"/>
    </row>
    <row r="1022" spans="1:17" x14ac:dyDescent="0.35">
      <c r="A1022" s="3" t="s">
        <v>41</v>
      </c>
      <c r="B1022" s="4">
        <v>24.122757576856984</v>
      </c>
      <c r="C1022" s="4">
        <v>25.343015236387572</v>
      </c>
      <c r="D1022" s="4">
        <v>26.726465918787778</v>
      </c>
      <c r="E1022" s="4">
        <v>28.204589809472598</v>
      </c>
      <c r="F1022" s="4">
        <v>29.795626258426481</v>
      </c>
      <c r="G1022" s="4">
        <v>31.50119180980133</v>
      </c>
      <c r="H1022" s="4">
        <v>33.337142457248326</v>
      </c>
      <c r="I1022" s="4">
        <v>35.340302438518286</v>
      </c>
      <c r="J1022" s="4">
        <v>37.490260337954425</v>
      </c>
      <c r="K1022" s="4">
        <v>39.828795339930203</v>
      </c>
      <c r="L1022" s="4">
        <v>42.344823360936388</v>
      </c>
      <c r="M1022" s="4">
        <v>45.071492104351577</v>
      </c>
      <c r="N1022" s="4">
        <v>48.069182921670723</v>
      </c>
      <c r="O1022" s="11">
        <f t="shared" si="15"/>
        <v>6.2233429582786139E-2</v>
      </c>
      <c r="P1022"/>
      <c r="Q1022" s="11"/>
    </row>
    <row r="1023" spans="1:17" x14ac:dyDescent="0.35">
      <c r="A1023" s="3" t="s">
        <v>40</v>
      </c>
      <c r="B1023" s="4">
        <v>32.192840985536698</v>
      </c>
      <c r="C1023" s="4">
        <v>34.109753061827519</v>
      </c>
      <c r="D1023" s="4">
        <v>36.223895199400786</v>
      </c>
      <c r="E1023" s="4">
        <v>38.49662776593437</v>
      </c>
      <c r="F1023" s="4">
        <v>40.942996898320878</v>
      </c>
      <c r="G1023" s="4">
        <v>43.595528478987816</v>
      </c>
      <c r="H1023" s="4">
        <v>46.452930090460136</v>
      </c>
      <c r="I1023" s="4">
        <v>49.550013158113451</v>
      </c>
      <c r="J1023" s="4">
        <v>52.930747596168075</v>
      </c>
      <c r="K1023" s="4">
        <v>56.584606620813737</v>
      </c>
      <c r="L1023" s="4">
        <v>60.560500179051601</v>
      </c>
      <c r="M1023" s="4">
        <v>64.892732075329633</v>
      </c>
      <c r="N1023" s="4">
        <v>69.648747141716015</v>
      </c>
      <c r="O1023" s="11">
        <f t="shared" si="15"/>
        <v>6.9220649184942917E-2</v>
      </c>
      <c r="P1023"/>
      <c r="Q1023" s="11"/>
    </row>
    <row r="1024" spans="1:17" x14ac:dyDescent="0.35">
      <c r="A1024" s="3" t="s">
        <v>42</v>
      </c>
      <c r="B1024" s="4">
        <v>36.78151402300626</v>
      </c>
      <c r="C1024" s="4">
        <v>39.431767949614674</v>
      </c>
      <c r="D1024" s="4">
        <v>42.317923271644084</v>
      </c>
      <c r="E1024" s="4">
        <v>45.443453873629707</v>
      </c>
      <c r="F1024" s="4">
        <v>48.859709189207138</v>
      </c>
      <c r="G1024" s="4">
        <v>52.602274580329585</v>
      </c>
      <c r="H1024" s="4">
        <v>56.678227502293616</v>
      </c>
      <c r="I1024" s="4">
        <v>61.192644858415562</v>
      </c>
      <c r="J1024" s="4">
        <v>66.149296615032398</v>
      </c>
      <c r="K1024" s="4">
        <v>71.568511535481377</v>
      </c>
      <c r="L1024" s="4">
        <v>77.5678484779516</v>
      </c>
      <c r="M1024" s="4">
        <v>84.146106755537403</v>
      </c>
      <c r="N1024" s="4">
        <v>91.409059634920339</v>
      </c>
      <c r="O1024" s="11">
        <f t="shared" si="15"/>
        <v>8.2140200658321103E-2</v>
      </c>
      <c r="P1024"/>
      <c r="Q1024" s="11"/>
    </row>
    <row r="1025" spans="1:17" x14ac:dyDescent="0.35">
      <c r="A1025" s="1" t="s">
        <v>88</v>
      </c>
      <c r="O1025" s="11" t="str">
        <f t="shared" si="15"/>
        <v/>
      </c>
      <c r="P1025"/>
      <c r="Q1025" s="11"/>
    </row>
    <row r="1026" spans="1:17" x14ac:dyDescent="0.35">
      <c r="A1026" s="2" t="s">
        <v>24</v>
      </c>
      <c r="O1026" s="11" t="str">
        <f t="shared" si="15"/>
        <v/>
      </c>
      <c r="P1026"/>
      <c r="Q1026" s="11"/>
    </row>
    <row r="1027" spans="1:17" x14ac:dyDescent="0.35">
      <c r="A1027" s="3" t="s">
        <v>25</v>
      </c>
      <c r="B1027" s="4">
        <v>4.5515326880409086</v>
      </c>
      <c r="C1027" s="4">
        <v>4.6667821367287026</v>
      </c>
      <c r="D1027" s="4">
        <v>4.7961869595483844</v>
      </c>
      <c r="E1027" s="4">
        <v>4.9319367846448792</v>
      </c>
      <c r="F1027" s="4">
        <v>5.0749856067837387</v>
      </c>
      <c r="G1027" s="4">
        <v>5.2247473228930623</v>
      </c>
      <c r="H1027" s="4">
        <v>5.3805949572890022</v>
      </c>
      <c r="I1027" s="4">
        <v>5.5438258916797833</v>
      </c>
      <c r="J1027" s="4">
        <v>5.7178148315167761</v>
      </c>
      <c r="K1027" s="4">
        <v>5.9050927303641192</v>
      </c>
      <c r="L1027" s="4">
        <v>6.1035521616984436</v>
      </c>
      <c r="M1027" s="4">
        <v>6.3122471081782541</v>
      </c>
      <c r="N1027" s="4">
        <v>6.5337486293739504</v>
      </c>
      <c r="O1027" s="11">
        <f t="shared" si="15"/>
        <v>3.2454730715855626E-2</v>
      </c>
      <c r="P1027"/>
      <c r="Q1027" s="11"/>
    </row>
    <row r="1028" spans="1:17" x14ac:dyDescent="0.35">
      <c r="A1028" s="3" t="s">
        <v>26</v>
      </c>
      <c r="B1028" s="4">
        <v>40.231805984423055</v>
      </c>
      <c r="C1028" s="4">
        <v>41.603762556514738</v>
      </c>
      <c r="D1028" s="4">
        <v>43.033893783003251</v>
      </c>
      <c r="E1028" s="4">
        <v>44.53823502833685</v>
      </c>
      <c r="F1028" s="4">
        <v>46.135767236644512</v>
      </c>
      <c r="G1028" s="4">
        <v>47.823053345267205</v>
      </c>
      <c r="H1028" s="4">
        <v>49.585294204088022</v>
      </c>
      <c r="I1028" s="4">
        <v>51.456917352064899</v>
      </c>
      <c r="J1028" s="4">
        <v>53.479183704644718</v>
      </c>
      <c r="K1028" s="4">
        <v>55.61535781307186</v>
      </c>
      <c r="L1028" s="4">
        <v>57.910648354003165</v>
      </c>
      <c r="M1028" s="4">
        <v>60.360333669986687</v>
      </c>
      <c r="N1028" s="4">
        <v>62.977718085729045</v>
      </c>
      <c r="O1028" s="11">
        <f t="shared" si="15"/>
        <v>4.0108192338606435E-2</v>
      </c>
      <c r="P1028"/>
      <c r="Q1028" s="11"/>
    </row>
    <row r="1029" spans="1:17" x14ac:dyDescent="0.35">
      <c r="A1029" s="2" t="s">
        <v>27</v>
      </c>
      <c r="O1029" s="11" t="str">
        <f t="shared" si="15"/>
        <v/>
      </c>
      <c r="P1029"/>
      <c r="Q1029" s="11"/>
    </row>
    <row r="1030" spans="1:17" x14ac:dyDescent="0.35">
      <c r="A1030" s="3" t="s">
        <v>30</v>
      </c>
      <c r="B1030" s="4">
        <v>8.3769102896250285</v>
      </c>
      <c r="C1030" s="4">
        <v>8.7660489273768629</v>
      </c>
      <c r="D1030" s="4">
        <v>9.1756642359058223</v>
      </c>
      <c r="E1030" s="4">
        <v>9.6097608082035055</v>
      </c>
      <c r="F1030" s="4">
        <v>10.073155084302336</v>
      </c>
      <c r="G1030" s="4">
        <v>10.565980351786889</v>
      </c>
      <c r="H1030" s="4">
        <v>11.08584368700725</v>
      </c>
      <c r="I1030" s="4">
        <v>11.641221792559563</v>
      </c>
      <c r="J1030" s="4">
        <v>12.242521299762005</v>
      </c>
      <c r="K1030" s="4">
        <v>12.882761785199806</v>
      </c>
      <c r="L1030" s="4">
        <v>13.5735770973788</v>
      </c>
      <c r="M1030" s="4">
        <v>14.315421237275315</v>
      </c>
      <c r="N1030" s="4">
        <v>15.113006125779087</v>
      </c>
      <c r="O1030" s="11">
        <f t="shared" si="15"/>
        <v>5.2460646367617943E-2</v>
      </c>
      <c r="P1030"/>
      <c r="Q1030" s="11"/>
    </row>
    <row r="1031" spans="1:17" x14ac:dyDescent="0.35">
      <c r="A1031" s="3" t="s">
        <v>32</v>
      </c>
      <c r="B1031" s="4">
        <v>3.6907944687366516</v>
      </c>
      <c r="C1031" s="4">
        <v>3.7377112640033512</v>
      </c>
      <c r="D1031" s="4">
        <v>3.8001891409975195</v>
      </c>
      <c r="E1031" s="4">
        <v>3.866434555163675</v>
      </c>
      <c r="F1031" s="4">
        <v>3.938106893659632</v>
      </c>
      <c r="G1031" s="4">
        <v>4.0143827322756724</v>
      </c>
      <c r="H1031" s="4">
        <v>4.0963100772055254</v>
      </c>
      <c r="I1031" s="4">
        <v>4.1873073298235424</v>
      </c>
      <c r="J1031" s="4">
        <v>4.2834578608395457</v>
      </c>
      <c r="K1031" s="4">
        <v>4.3884181947094705</v>
      </c>
      <c r="L1031" s="4">
        <v>4.4994346058844039</v>
      </c>
      <c r="M1031" s="4">
        <v>4.6187530073497376</v>
      </c>
      <c r="N1031" s="4">
        <v>4.751016533612515</v>
      </c>
      <c r="O1031" s="11">
        <f t="shared" si="15"/>
        <v>2.4359826695253124E-2</v>
      </c>
      <c r="P1031"/>
      <c r="Q1031" s="11"/>
    </row>
    <row r="1032" spans="1:17" x14ac:dyDescent="0.35">
      <c r="A1032" s="3" t="s">
        <v>29</v>
      </c>
      <c r="B1032" s="4">
        <v>8.9461608644772994</v>
      </c>
      <c r="C1032" s="4">
        <v>9.3172015907125729</v>
      </c>
      <c r="D1032" s="4">
        <v>9.7061817909261041</v>
      </c>
      <c r="E1032" s="4">
        <v>10.117051152914941</v>
      </c>
      <c r="F1032" s="4">
        <v>10.554536161030562</v>
      </c>
      <c r="G1032" s="4">
        <v>11.018363214327731</v>
      </c>
      <c r="H1032" s="4">
        <v>11.505625587189906</v>
      </c>
      <c r="I1032" s="4">
        <v>12.024748963289479</v>
      </c>
      <c r="J1032" s="4">
        <v>12.585989061318747</v>
      </c>
      <c r="K1032" s="4">
        <v>13.181527766453938</v>
      </c>
      <c r="L1032" s="4">
        <v>13.822734842460727</v>
      </c>
      <c r="M1032" s="4">
        <v>14.509374820778836</v>
      </c>
      <c r="N1032" s="4">
        <v>15.245525646111677</v>
      </c>
      <c r="O1032" s="11">
        <f t="shared" si="15"/>
        <v>4.7481771567123174E-2</v>
      </c>
      <c r="P1032"/>
      <c r="Q1032" s="11"/>
    </row>
    <row r="1033" spans="1:17" x14ac:dyDescent="0.35">
      <c r="A1033" s="3" t="s">
        <v>31</v>
      </c>
      <c r="B1033" s="4">
        <v>5.5722756936543449</v>
      </c>
      <c r="C1033" s="4">
        <v>5.7477091312371487</v>
      </c>
      <c r="D1033" s="4">
        <v>5.9352164075804472</v>
      </c>
      <c r="E1033" s="4">
        <v>6.132785624797978</v>
      </c>
      <c r="F1033" s="4">
        <v>6.3450122773007598</v>
      </c>
      <c r="G1033" s="4">
        <v>6.5736071626434374</v>
      </c>
      <c r="H1033" s="4">
        <v>6.8162754827042695</v>
      </c>
      <c r="I1033" s="4">
        <v>7.0826503465031978</v>
      </c>
      <c r="J1033" s="4">
        <v>7.3690024488481791</v>
      </c>
      <c r="K1033" s="4">
        <v>7.6737350180941464</v>
      </c>
      <c r="L1033" s="4">
        <v>8.0056684766089159</v>
      </c>
      <c r="M1033" s="4">
        <v>8.3598056885009182</v>
      </c>
      <c r="N1033" s="4">
        <v>8.7422073997232843</v>
      </c>
      <c r="O1033" s="11">
        <f t="shared" si="15"/>
        <v>4.156935600283098E-2</v>
      </c>
      <c r="P1033"/>
      <c r="Q1033" s="11"/>
    </row>
    <row r="1034" spans="1:17" x14ac:dyDescent="0.35">
      <c r="A1034" s="3" t="s">
        <v>28</v>
      </c>
      <c r="B1034" s="4">
        <v>16.198018038169057</v>
      </c>
      <c r="C1034" s="4">
        <v>16.658592291324126</v>
      </c>
      <c r="D1034" s="4">
        <v>17.121321194582272</v>
      </c>
      <c r="E1034" s="4">
        <v>17.599252345435602</v>
      </c>
      <c r="F1034" s="4">
        <v>18.097880054867538</v>
      </c>
      <c r="G1034" s="4">
        <v>18.60873760802496</v>
      </c>
      <c r="H1034" s="4">
        <v>19.127312259541199</v>
      </c>
      <c r="I1034" s="4">
        <v>19.654424759507648</v>
      </c>
      <c r="J1034" s="4">
        <v>20.223405641069306</v>
      </c>
      <c r="K1034" s="4">
        <v>20.81219419978239</v>
      </c>
      <c r="L1034" s="4">
        <v>21.432649089909653</v>
      </c>
      <c r="M1034" s="4">
        <v>22.080605785008522</v>
      </c>
      <c r="N1034" s="4">
        <v>22.753031289190687</v>
      </c>
      <c r="O1034" s="11">
        <f t="shared" si="15"/>
        <v>2.9140386895105546E-2</v>
      </c>
      <c r="P1034"/>
      <c r="Q1034" s="11"/>
    </row>
    <row r="1035" spans="1:17" x14ac:dyDescent="0.35">
      <c r="A1035" s="3" t="s">
        <v>33</v>
      </c>
      <c r="B1035" s="4">
        <v>1.9991793178015815</v>
      </c>
      <c r="C1035" s="4">
        <v>2.0432814885893742</v>
      </c>
      <c r="D1035" s="4">
        <v>2.091507972559469</v>
      </c>
      <c r="E1035" s="4">
        <v>2.1448873264660291</v>
      </c>
      <c r="F1035" s="4">
        <v>2.2020623722674153</v>
      </c>
      <c r="G1035" s="4">
        <v>2.2667295991015752</v>
      </c>
      <c r="H1035" s="4">
        <v>2.3345220677288707</v>
      </c>
      <c r="I1035" s="4">
        <v>2.4103900520612522</v>
      </c>
      <c r="J1035" s="4">
        <v>2.4926222243237133</v>
      </c>
      <c r="K1035" s="4">
        <v>2.5818135791962216</v>
      </c>
      <c r="L1035" s="4">
        <v>2.6801364034590991</v>
      </c>
      <c r="M1035" s="4">
        <v>2.7886202392516122</v>
      </c>
      <c r="N1035" s="4">
        <v>2.9066797206857466</v>
      </c>
      <c r="O1035" s="11">
        <f t="shared" si="15"/>
        <v>3.6163308078813572E-2</v>
      </c>
      <c r="P1035"/>
      <c r="Q1035" s="11"/>
    </row>
    <row r="1036" spans="1:17" x14ac:dyDescent="0.35">
      <c r="A1036" s="2" t="s">
        <v>34</v>
      </c>
      <c r="O1036" s="11" t="str">
        <f t="shared" si="15"/>
        <v/>
      </c>
      <c r="P1036"/>
      <c r="Q1036" s="11"/>
    </row>
    <row r="1037" spans="1:17" x14ac:dyDescent="0.35">
      <c r="A1037" s="3" t="s">
        <v>36</v>
      </c>
      <c r="B1037" s="4">
        <v>15.396389579716194</v>
      </c>
      <c r="C1037" s="4">
        <v>15.958382954486183</v>
      </c>
      <c r="D1037" s="4">
        <v>16.60478261874924</v>
      </c>
      <c r="E1037" s="4">
        <v>17.289263774480069</v>
      </c>
      <c r="F1037" s="4">
        <v>18.021063925602398</v>
      </c>
      <c r="G1037" s="4">
        <v>18.798825081303026</v>
      </c>
      <c r="H1037" s="4">
        <v>19.629700176174225</v>
      </c>
      <c r="I1037" s="4">
        <v>20.532749545667976</v>
      </c>
      <c r="J1037" s="4">
        <v>21.492700131196226</v>
      </c>
      <c r="K1037" s="4">
        <v>22.530656507849265</v>
      </c>
      <c r="L1037" s="4">
        <v>23.63662748772142</v>
      </c>
      <c r="M1037" s="4">
        <v>24.825746607925144</v>
      </c>
      <c r="N1037" s="4">
        <v>26.127260956432206</v>
      </c>
      <c r="O1037" s="11">
        <f t="shared" si="15"/>
        <v>4.8149691566078658E-2</v>
      </c>
      <c r="P1037"/>
      <c r="Q1037" s="11"/>
    </row>
    <row r="1038" spans="1:17" x14ac:dyDescent="0.35">
      <c r="A1038" s="3" t="s">
        <v>37</v>
      </c>
      <c r="B1038" s="4">
        <v>9.9003283760940715</v>
      </c>
      <c r="C1038" s="4">
        <v>10.220170688607027</v>
      </c>
      <c r="D1038" s="4">
        <v>10.575241280335311</v>
      </c>
      <c r="E1038" s="4">
        <v>10.950692126143476</v>
      </c>
      <c r="F1038" s="4">
        <v>11.348302830103698</v>
      </c>
      <c r="G1038" s="4">
        <v>11.774403555622818</v>
      </c>
      <c r="H1038" s="4">
        <v>12.225422312661751</v>
      </c>
      <c r="I1038" s="4">
        <v>12.7075072529426</v>
      </c>
      <c r="J1038" s="4">
        <v>13.228391693501685</v>
      </c>
      <c r="K1038" s="4">
        <v>13.78123923693769</v>
      </c>
      <c r="L1038" s="4">
        <v>14.374192795558505</v>
      </c>
      <c r="M1038" s="4">
        <v>15.010928802815195</v>
      </c>
      <c r="N1038" s="4">
        <v>15.702211723526279</v>
      </c>
      <c r="O1038" s="11">
        <f t="shared" si="15"/>
        <v>4.1982135517884038E-2</v>
      </c>
      <c r="P1038"/>
      <c r="Q1038" s="11"/>
    </row>
    <row r="1039" spans="1:17" x14ac:dyDescent="0.35">
      <c r="A1039" s="3" t="s">
        <v>35</v>
      </c>
      <c r="B1039" s="4">
        <v>15.48065336060014</v>
      </c>
      <c r="C1039" s="4">
        <v>15.969249813627208</v>
      </c>
      <c r="D1039" s="4">
        <v>16.406009156303245</v>
      </c>
      <c r="E1039" s="4">
        <v>16.85882210789174</v>
      </c>
      <c r="F1039" s="4">
        <v>17.334839837500461</v>
      </c>
      <c r="G1039" s="4">
        <v>17.825524812911581</v>
      </c>
      <c r="H1039" s="4">
        <v>18.313424692355724</v>
      </c>
      <c r="I1039" s="4">
        <v>18.805819378679914</v>
      </c>
      <c r="J1039" s="4">
        <v>19.351052403015842</v>
      </c>
      <c r="K1039" s="4">
        <v>19.904367895068638</v>
      </c>
      <c r="L1039" s="4">
        <v>20.50654793917316</v>
      </c>
      <c r="M1039" s="4">
        <v>21.133767424982757</v>
      </c>
      <c r="N1039" s="4">
        <v>21.760829291654161</v>
      </c>
      <c r="O1039" s="11">
        <f t="shared" si="15"/>
        <v>2.8907089278786921E-2</v>
      </c>
      <c r="P1039"/>
      <c r="Q1039" s="11"/>
    </row>
    <row r="1040" spans="1:17" x14ac:dyDescent="0.35">
      <c r="A1040" s="3" t="s">
        <v>38</v>
      </c>
      <c r="B1040" s="4">
        <v>4.0059673560535556</v>
      </c>
      <c r="C1040" s="4">
        <v>4.1227412365230194</v>
      </c>
      <c r="D1040" s="4">
        <v>4.2440476871638397</v>
      </c>
      <c r="E1040" s="4">
        <v>4.371393804466444</v>
      </c>
      <c r="F1040" s="4">
        <v>4.5065462502216853</v>
      </c>
      <c r="G1040" s="4">
        <v>4.6490472183228375</v>
      </c>
      <c r="H1040" s="4">
        <v>4.7973419801853243</v>
      </c>
      <c r="I1040" s="4">
        <v>4.954667066454193</v>
      </c>
      <c r="J1040" s="4">
        <v>5.1248543084477465</v>
      </c>
      <c r="K1040" s="4">
        <v>5.3041869035803835</v>
      </c>
      <c r="L1040" s="4">
        <v>5.4968322932485139</v>
      </c>
      <c r="M1040" s="4">
        <v>5.702137942441845</v>
      </c>
      <c r="N1040" s="4">
        <v>5.921164743490352</v>
      </c>
      <c r="O1040" s="11">
        <f t="shared" si="15"/>
        <v>3.5156872112705594E-2</v>
      </c>
      <c r="P1040"/>
      <c r="Q1040" s="11"/>
    </row>
    <row r="1041" spans="1:17" x14ac:dyDescent="0.35">
      <c r="A1041" s="2" t="s">
        <v>22</v>
      </c>
      <c r="O1041" s="11" t="str">
        <f t="shared" si="15"/>
        <v/>
      </c>
      <c r="P1041"/>
      <c r="Q1041" s="11"/>
    </row>
    <row r="1042" spans="1:17" x14ac:dyDescent="0.35">
      <c r="A1042" s="3" t="s">
        <v>39</v>
      </c>
      <c r="B1042" s="4">
        <v>12.527041432581541</v>
      </c>
      <c r="C1042" s="4">
        <v>13.041042625616761</v>
      </c>
      <c r="D1042" s="4">
        <v>13.515267472694461</v>
      </c>
      <c r="E1042" s="4">
        <v>14.010204707094715</v>
      </c>
      <c r="F1042" s="4">
        <v>14.538732732249279</v>
      </c>
      <c r="G1042" s="4">
        <v>15.092014717858504</v>
      </c>
      <c r="H1042" s="4">
        <v>15.661019302173756</v>
      </c>
      <c r="I1042" s="4">
        <v>16.267967634931367</v>
      </c>
      <c r="J1042" s="4">
        <v>16.932086249246098</v>
      </c>
      <c r="K1042" s="4">
        <v>17.613132514167638</v>
      </c>
      <c r="L1042" s="4">
        <v>18.354637383339821</v>
      </c>
      <c r="M1042" s="4">
        <v>19.150747124258565</v>
      </c>
      <c r="N1042" s="4">
        <v>19.992191441874056</v>
      </c>
      <c r="O1042" s="11">
        <f t="shared" si="15"/>
        <v>4.0985643916370634E-2</v>
      </c>
      <c r="P1042"/>
      <c r="Q1042" s="11"/>
    </row>
    <row r="1043" spans="1:17" x14ac:dyDescent="0.35">
      <c r="A1043" s="3" t="s">
        <v>41</v>
      </c>
      <c r="B1043" s="4">
        <v>8.711804577670657</v>
      </c>
      <c r="C1043" s="4">
        <v>8.8946240850139588</v>
      </c>
      <c r="D1043" s="4">
        <v>9.1026974651990464</v>
      </c>
      <c r="E1043" s="4">
        <v>9.3208703769083776</v>
      </c>
      <c r="F1043" s="4">
        <v>9.5508054052993678</v>
      </c>
      <c r="G1043" s="4">
        <v>9.7912376140924486</v>
      </c>
      <c r="H1043" s="4">
        <v>10.040845477406819</v>
      </c>
      <c r="I1043" s="4">
        <v>10.301919614359424</v>
      </c>
      <c r="J1043" s="4">
        <v>10.580571241843163</v>
      </c>
      <c r="K1043" s="4">
        <v>10.881246179869462</v>
      </c>
      <c r="L1043" s="4">
        <v>11.199766642829312</v>
      </c>
      <c r="M1043" s="4">
        <v>11.53415380111368</v>
      </c>
      <c r="N1043" s="4">
        <v>11.888886686304295</v>
      </c>
      <c r="O1043" s="11">
        <f t="shared" si="15"/>
        <v>2.8118966739241861E-2</v>
      </c>
      <c r="P1043"/>
      <c r="Q1043" s="11"/>
    </row>
    <row r="1044" spans="1:17" x14ac:dyDescent="0.35">
      <c r="A1044" s="3" t="s">
        <v>40</v>
      </c>
      <c r="B1044" s="4">
        <v>11.149841159725863</v>
      </c>
      <c r="C1044" s="4">
        <v>11.433384679805197</v>
      </c>
      <c r="D1044" s="4">
        <v>11.751989444142364</v>
      </c>
      <c r="E1044" s="4">
        <v>12.088411973822041</v>
      </c>
      <c r="F1044" s="4">
        <v>12.444212940953063</v>
      </c>
      <c r="G1044" s="4">
        <v>12.825896493106184</v>
      </c>
      <c r="H1044" s="4">
        <v>13.229002377712517</v>
      </c>
      <c r="I1044" s="4">
        <v>13.659699410284169</v>
      </c>
      <c r="J1044" s="4">
        <v>14.125690962033854</v>
      </c>
      <c r="K1044" s="4">
        <v>14.618911221590745</v>
      </c>
      <c r="L1044" s="4">
        <v>15.14738754971269</v>
      </c>
      <c r="M1044" s="4">
        <v>15.714221087889957</v>
      </c>
      <c r="N1044" s="4">
        <v>16.329841678062071</v>
      </c>
      <c r="O1044" s="11">
        <f t="shared" si="15"/>
        <v>3.5106157135218849E-2</v>
      </c>
      <c r="P1044"/>
      <c r="Q1044" s="11"/>
    </row>
    <row r="1045" spans="1:17" x14ac:dyDescent="0.35">
      <c r="A1045" s="3" t="s">
        <v>42</v>
      </c>
      <c r="B1045" s="4">
        <v>12.394651502485898</v>
      </c>
      <c r="C1045" s="4">
        <v>12.901493302807518</v>
      </c>
      <c r="D1045" s="4">
        <v>13.460126360515765</v>
      </c>
      <c r="E1045" s="4">
        <v>14.050684755156597</v>
      </c>
      <c r="F1045" s="4">
        <v>14.677001764926533</v>
      </c>
      <c r="G1045" s="4">
        <v>15.338651843103133</v>
      </c>
      <c r="H1045" s="4">
        <v>16.035022004083924</v>
      </c>
      <c r="I1045" s="4">
        <v>16.77115658416972</v>
      </c>
      <c r="J1045" s="4">
        <v>17.55865008303838</v>
      </c>
      <c r="K1045" s="4">
        <v>18.407160627808128</v>
      </c>
      <c r="L1045" s="4">
        <v>19.312408939819786</v>
      </c>
      <c r="M1045" s="4">
        <v>20.273458764902742</v>
      </c>
      <c r="N1045" s="4">
        <v>21.300546908862575</v>
      </c>
      <c r="O1045" s="11">
        <f t="shared" ref="O1045:O1108" si="16">IFERROR(RATE(2033-2026,,-G1045,N1045),"")</f>
        <v>4.8025712332750076E-2</v>
      </c>
      <c r="P1045"/>
      <c r="Q1045" s="11"/>
    </row>
    <row r="1046" spans="1:17" x14ac:dyDescent="0.35">
      <c r="A1046" s="1" t="s">
        <v>89</v>
      </c>
      <c r="O1046" s="11" t="str">
        <f t="shared" si="16"/>
        <v/>
      </c>
      <c r="P1046"/>
      <c r="Q1046" s="11"/>
    </row>
    <row r="1047" spans="1:17" x14ac:dyDescent="0.35">
      <c r="A1047" s="2" t="s">
        <v>24</v>
      </c>
      <c r="O1047" s="11" t="str">
        <f t="shared" si="16"/>
        <v/>
      </c>
      <c r="P1047"/>
      <c r="Q1047" s="11"/>
    </row>
    <row r="1048" spans="1:17" x14ac:dyDescent="0.35">
      <c r="A1048" s="3" t="s">
        <v>25</v>
      </c>
      <c r="B1048" s="4">
        <v>248.61919735877993</v>
      </c>
      <c r="C1048" s="4">
        <v>262.07436338652764</v>
      </c>
      <c r="D1048" s="4">
        <v>276.66192233114322</v>
      </c>
      <c r="E1048" s="4">
        <v>292.59249942141412</v>
      </c>
      <c r="F1048" s="4">
        <v>309.77232363067242</v>
      </c>
      <c r="G1048" s="4">
        <v>328.80043085644485</v>
      </c>
      <c r="H1048" s="4">
        <v>349.1752242654037</v>
      </c>
      <c r="I1048" s="4">
        <v>371.71718561278851</v>
      </c>
      <c r="J1048" s="4">
        <v>396.31562691920885</v>
      </c>
      <c r="K1048" s="4">
        <v>423.20230496949569</v>
      </c>
      <c r="L1048" s="4">
        <v>452.88668474526588</v>
      </c>
      <c r="M1048" s="4">
        <v>485.73746507002136</v>
      </c>
      <c r="N1048" s="4">
        <v>521.87419693541619</v>
      </c>
      <c r="O1048" s="11">
        <f t="shared" si="16"/>
        <v>6.8222991079552611E-2</v>
      </c>
      <c r="P1048"/>
      <c r="Q1048" s="11"/>
    </row>
    <row r="1049" spans="1:17" x14ac:dyDescent="0.35">
      <c r="A1049" s="3" t="s">
        <v>26</v>
      </c>
      <c r="B1049" s="4">
        <v>2081.824244134395</v>
      </c>
      <c r="C1049" s="4">
        <v>2224.9343742583123</v>
      </c>
      <c r="D1049" s="4">
        <v>2383.2396924926716</v>
      </c>
      <c r="E1049" s="4">
        <v>2554.1783577547517</v>
      </c>
      <c r="F1049" s="4">
        <v>2739.1678695846072</v>
      </c>
      <c r="G1049" s="4">
        <v>2938.9392688365724</v>
      </c>
      <c r="H1049" s="4">
        <v>3154.2176822747615</v>
      </c>
      <c r="I1049" s="4">
        <v>3386.8683781627815</v>
      </c>
      <c r="J1049" s="4">
        <v>3640.226147363554</v>
      </c>
      <c r="K1049" s="4">
        <v>3917.5205247156064</v>
      </c>
      <c r="L1049" s="4">
        <v>4219.2864233985911</v>
      </c>
      <c r="M1049" s="4">
        <v>4546.7621737509999</v>
      </c>
      <c r="N1049" s="4">
        <v>4903.739352970907</v>
      </c>
      <c r="O1049" s="11">
        <f t="shared" si="16"/>
        <v>7.587643492447381E-2</v>
      </c>
      <c r="P1049"/>
      <c r="Q1049" s="11"/>
    </row>
    <row r="1050" spans="1:17" x14ac:dyDescent="0.35">
      <c r="A1050" s="2" t="s">
        <v>27</v>
      </c>
      <c r="O1050" s="11" t="str">
        <f t="shared" si="16"/>
        <v/>
      </c>
      <c r="P1050"/>
      <c r="Q1050" s="11"/>
    </row>
    <row r="1051" spans="1:17" x14ac:dyDescent="0.35">
      <c r="A1051" s="3" t="s">
        <v>30</v>
      </c>
      <c r="B1051" s="4">
        <v>407.73163012338392</v>
      </c>
      <c r="C1051" s="4">
        <v>441.19039473865945</v>
      </c>
      <c r="D1051" s="4">
        <v>477.56964665418474</v>
      </c>
      <c r="E1051" s="4">
        <v>517.10497423588447</v>
      </c>
      <c r="F1051" s="4">
        <v>560.09031349364682</v>
      </c>
      <c r="G1051" s="4">
        <v>607.01197555512147</v>
      </c>
      <c r="H1051" s="4">
        <v>658.54148509135553</v>
      </c>
      <c r="I1051" s="4">
        <v>714.82501729070486</v>
      </c>
      <c r="J1051" s="4">
        <v>776.9858079654507</v>
      </c>
      <c r="K1051" s="4">
        <v>845.77087237355261</v>
      </c>
      <c r="L1051" s="4">
        <v>921.75527289565662</v>
      </c>
      <c r="M1051" s="4">
        <v>1005.1892600359628</v>
      </c>
      <c r="N1051" s="4">
        <v>1097.9345486877455</v>
      </c>
      <c r="O1051" s="11">
        <f t="shared" si="16"/>
        <v>8.834968525242369E-2</v>
      </c>
      <c r="P1051"/>
      <c r="Q1051" s="11"/>
    </row>
    <row r="1052" spans="1:17" x14ac:dyDescent="0.35">
      <c r="A1052" s="3" t="s">
        <v>32</v>
      </c>
      <c r="B1052" s="4">
        <v>205.28686494290935</v>
      </c>
      <c r="C1052" s="4">
        <v>216.42201707453393</v>
      </c>
      <c r="D1052" s="4">
        <v>228.22040736798368</v>
      </c>
      <c r="E1052" s="4">
        <v>240.79483742295315</v>
      </c>
      <c r="F1052" s="4">
        <v>254.28161211415437</v>
      </c>
      <c r="G1052" s="4">
        <v>268.70263724928589</v>
      </c>
      <c r="H1052" s="4">
        <v>284.01594997341863</v>
      </c>
      <c r="I1052" s="4">
        <v>300.45653953580643</v>
      </c>
      <c r="J1052" s="4">
        <v>318.31591803980837</v>
      </c>
      <c r="K1052" s="4">
        <v>337.44181854498942</v>
      </c>
      <c r="L1052" s="4">
        <v>358.16460123631765</v>
      </c>
      <c r="M1052" s="4">
        <v>380.52902237750141</v>
      </c>
      <c r="N1052" s="4">
        <v>404.69386215205475</v>
      </c>
      <c r="O1052" s="11">
        <f t="shared" si="16"/>
        <v>6.0248856343043847E-2</v>
      </c>
      <c r="P1052"/>
      <c r="Q1052" s="11"/>
    </row>
    <row r="1053" spans="1:17" x14ac:dyDescent="0.35">
      <c r="A1053" s="3" t="s">
        <v>29</v>
      </c>
      <c r="B1053" s="4">
        <v>469.57976951599397</v>
      </c>
      <c r="C1053" s="4">
        <v>505.77586523845622</v>
      </c>
      <c r="D1053" s="4">
        <v>544.96245434630487</v>
      </c>
      <c r="E1053" s="4">
        <v>587.36356269987812</v>
      </c>
      <c r="F1053" s="4">
        <v>633.2648781308136</v>
      </c>
      <c r="G1053" s="4">
        <v>683.1638122197121</v>
      </c>
      <c r="H1053" s="4">
        <v>737.75650447834107</v>
      </c>
      <c r="I1053" s="4">
        <v>797.13711351604854</v>
      </c>
      <c r="J1053" s="4">
        <v>862.48688160528525</v>
      </c>
      <c r="K1053" s="4">
        <v>934.54698734774047</v>
      </c>
      <c r="L1053" s="4">
        <v>1013.8540879820441</v>
      </c>
      <c r="M1053" s="4">
        <v>1100.5766885514931</v>
      </c>
      <c r="N1053" s="4">
        <v>1196.6434191864907</v>
      </c>
      <c r="O1053" s="11">
        <f t="shared" si="16"/>
        <v>8.3370807888465528E-2</v>
      </c>
      <c r="P1053"/>
      <c r="Q1053" s="11"/>
    </row>
    <row r="1054" spans="1:17" x14ac:dyDescent="0.35">
      <c r="A1054" s="3" t="s">
        <v>31</v>
      </c>
      <c r="B1054" s="4">
        <v>302.54450871570037</v>
      </c>
      <c r="C1054" s="4">
        <v>322.45504404430545</v>
      </c>
      <c r="D1054" s="4">
        <v>344.96691101997584</v>
      </c>
      <c r="E1054" s="4">
        <v>369.29762137469277</v>
      </c>
      <c r="F1054" s="4">
        <v>395.75243707934328</v>
      </c>
      <c r="G1054" s="4">
        <v>424.43146174078305</v>
      </c>
      <c r="H1054" s="4">
        <v>455.63009450512783</v>
      </c>
      <c r="I1054" s="4">
        <v>489.9449050818896</v>
      </c>
      <c r="J1054" s="4">
        <v>527.21050848646416</v>
      </c>
      <c r="K1054" s="4">
        <v>568.12313652462194</v>
      </c>
      <c r="L1054" s="4">
        <v>612.66172829872153</v>
      </c>
      <c r="M1054" s="4">
        <v>661.43999191424393</v>
      </c>
      <c r="N1054" s="4">
        <v>715.50254147906037</v>
      </c>
      <c r="O1054" s="11">
        <f t="shared" si="16"/>
        <v>7.7458411423326642E-2</v>
      </c>
      <c r="P1054"/>
      <c r="Q1054" s="11"/>
    </row>
    <row r="1055" spans="1:17" x14ac:dyDescent="0.35">
      <c r="A1055" s="3" t="s">
        <v>28</v>
      </c>
      <c r="B1055" s="4">
        <v>806.15363617161643</v>
      </c>
      <c r="C1055" s="4">
        <v>853.61329713762825</v>
      </c>
      <c r="D1055" s="4">
        <v>907.12652996703741</v>
      </c>
      <c r="E1055" s="4">
        <v>964.92600008631234</v>
      </c>
      <c r="F1055" s="4">
        <v>1027.1879510942276</v>
      </c>
      <c r="G1055" s="4">
        <v>1094.1055793117607</v>
      </c>
      <c r="H1055" s="4">
        <v>1164.1633735827718</v>
      </c>
      <c r="I1055" s="4">
        <v>1238.7254176973438</v>
      </c>
      <c r="J1055" s="4">
        <v>1318.6788900835991</v>
      </c>
      <c r="K1055" s="4">
        <v>1405.1643760571701</v>
      </c>
      <c r="L1055" s="4">
        <v>1497.8379266461211</v>
      </c>
      <c r="M1055" s="4">
        <v>1596.9840822657789</v>
      </c>
      <c r="N1055" s="4">
        <v>1701.0926614694908</v>
      </c>
      <c r="O1055" s="11">
        <f t="shared" si="16"/>
        <v>6.5077593487077229E-2</v>
      </c>
      <c r="P1055"/>
      <c r="Q1055" s="11"/>
    </row>
    <row r="1056" spans="1:17" x14ac:dyDescent="0.35">
      <c r="A1056" s="3" t="s">
        <v>33</v>
      </c>
      <c r="B1056" s="4">
        <v>139.14703202357052</v>
      </c>
      <c r="C1056" s="4">
        <v>147.55211941125677</v>
      </c>
      <c r="D1056" s="4">
        <v>157.05566546832827</v>
      </c>
      <c r="E1056" s="4">
        <v>167.2838613564449</v>
      </c>
      <c r="F1056" s="4">
        <v>178.36300130309385</v>
      </c>
      <c r="G1056" s="4">
        <v>190.32423361635372</v>
      </c>
      <c r="H1056" s="4">
        <v>203.28549890915031</v>
      </c>
      <c r="I1056" s="4">
        <v>217.49657065377647</v>
      </c>
      <c r="J1056" s="4">
        <v>232.86376810215549</v>
      </c>
      <c r="K1056" s="4">
        <v>249.67563883702718</v>
      </c>
      <c r="L1056" s="4">
        <v>267.89949108499542</v>
      </c>
      <c r="M1056" s="4">
        <v>287.78059367604118</v>
      </c>
      <c r="N1056" s="4">
        <v>309.7465169314803</v>
      </c>
      <c r="O1056" s="11">
        <f t="shared" si="16"/>
        <v>7.2052487424634687E-2</v>
      </c>
      <c r="P1056"/>
      <c r="Q1056" s="11"/>
    </row>
    <row r="1057" spans="1:17" x14ac:dyDescent="0.35">
      <c r="A1057" s="2" t="s">
        <v>34</v>
      </c>
      <c r="O1057" s="11" t="str">
        <f t="shared" si="16"/>
        <v/>
      </c>
      <c r="P1057"/>
      <c r="Q1057" s="11"/>
    </row>
    <row r="1058" spans="1:17" x14ac:dyDescent="0.35">
      <c r="A1058" s="3" t="s">
        <v>36</v>
      </c>
      <c r="B1058" s="4">
        <v>803.64069702456902</v>
      </c>
      <c r="C1058" s="4">
        <v>861.84810097709124</v>
      </c>
      <c r="D1058" s="4">
        <v>927.72202921480368</v>
      </c>
      <c r="E1058" s="4">
        <v>999.29572001979398</v>
      </c>
      <c r="F1058" s="4">
        <v>1077.4954642822797</v>
      </c>
      <c r="G1058" s="4">
        <v>1162.710757007608</v>
      </c>
      <c r="H1058" s="4">
        <v>1255.8744087816315</v>
      </c>
      <c r="I1058" s="4">
        <v>1358.7710118278787</v>
      </c>
      <c r="J1058" s="4">
        <v>1471.1144335817639</v>
      </c>
      <c r="K1058" s="4">
        <v>1595.0138109666923</v>
      </c>
      <c r="L1058" s="4">
        <v>1730.6145270627769</v>
      </c>
      <c r="M1058" s="4">
        <v>1879.8563680562354</v>
      </c>
      <c r="N1058" s="4">
        <v>2045.9491851160767</v>
      </c>
      <c r="O1058" s="11">
        <f t="shared" si="16"/>
        <v>8.4077798611459836E-2</v>
      </c>
      <c r="P1058"/>
      <c r="Q1058" s="11"/>
    </row>
    <row r="1059" spans="1:17" x14ac:dyDescent="0.35">
      <c r="A1059" s="3" t="s">
        <v>37</v>
      </c>
      <c r="B1059" s="4">
        <v>486.49005520342115</v>
      </c>
      <c r="C1059" s="4">
        <v>517.5314314538216</v>
      </c>
      <c r="D1059" s="4">
        <v>551.35166272729487</v>
      </c>
      <c r="E1059" s="4">
        <v>588.44032487208869</v>
      </c>
      <c r="F1059" s="4">
        <v>628.69146784099064</v>
      </c>
      <c r="G1059" s="4">
        <v>673.39981306618677</v>
      </c>
      <c r="H1059" s="4">
        <v>721.65179144549745</v>
      </c>
      <c r="I1059" s="4">
        <v>775.23080105249255</v>
      </c>
      <c r="J1059" s="4">
        <v>834.04165430404555</v>
      </c>
      <c r="K1059" s="4">
        <v>898.70390854049128</v>
      </c>
      <c r="L1059" s="4">
        <v>970.44700990934643</v>
      </c>
      <c r="M1059" s="4">
        <v>1050.2407059895068</v>
      </c>
      <c r="N1059" s="4">
        <v>1138.5479176955726</v>
      </c>
      <c r="O1059" s="11">
        <f t="shared" si="16"/>
        <v>7.7910288958135579E-2</v>
      </c>
      <c r="P1059"/>
      <c r="Q1059" s="11"/>
    </row>
    <row r="1060" spans="1:17" x14ac:dyDescent="0.35">
      <c r="A1060" s="3" t="s">
        <v>35</v>
      </c>
      <c r="B1060" s="4">
        <v>836.91875477302415</v>
      </c>
      <c r="C1060" s="4">
        <v>892.14617821426714</v>
      </c>
      <c r="D1060" s="4">
        <v>951.67453605981405</v>
      </c>
      <c r="E1060" s="4">
        <v>1015.1796011125655</v>
      </c>
      <c r="F1060" s="4">
        <v>1082.9835566300676</v>
      </c>
      <c r="G1060" s="4">
        <v>1154.6902963685916</v>
      </c>
      <c r="H1060" s="4">
        <v>1230.3360134738887</v>
      </c>
      <c r="I1060" s="4">
        <v>1308.6793371377075</v>
      </c>
      <c r="J1060" s="4">
        <v>1393.4667234695153</v>
      </c>
      <c r="K1060" s="4">
        <v>1485.0166381430877</v>
      </c>
      <c r="L1060" s="4">
        <v>1583.0517523130975</v>
      </c>
      <c r="M1060" s="4">
        <v>1685.9198752100465</v>
      </c>
      <c r="N1060" s="4">
        <v>1793.2471242538363</v>
      </c>
      <c r="O1060" s="11">
        <f t="shared" si="16"/>
        <v>6.4904496892531693E-2</v>
      </c>
      <c r="P1060"/>
      <c r="Q1060" s="11"/>
    </row>
    <row r="1061" spans="1:17" x14ac:dyDescent="0.35">
      <c r="A1061" s="3" t="s">
        <v>38</v>
      </c>
      <c r="B1061" s="4">
        <v>203.39393449216041</v>
      </c>
      <c r="C1061" s="4">
        <v>215.48302699966015</v>
      </c>
      <c r="D1061" s="4">
        <v>229.15338682190213</v>
      </c>
      <c r="E1061" s="4">
        <v>243.85521117171797</v>
      </c>
      <c r="F1061" s="4">
        <v>259.76970446194184</v>
      </c>
      <c r="G1061" s="4">
        <v>276.93883325063109</v>
      </c>
      <c r="H1061" s="4">
        <v>295.53069283914783</v>
      </c>
      <c r="I1061" s="4">
        <v>315.90441375749083</v>
      </c>
      <c r="J1061" s="4">
        <v>337.91896292743832</v>
      </c>
      <c r="K1061" s="4">
        <v>361.98847203483029</v>
      </c>
      <c r="L1061" s="4">
        <v>388.05981885863565</v>
      </c>
      <c r="M1061" s="4">
        <v>416.48268956523214</v>
      </c>
      <c r="N1061" s="4">
        <v>447.86932284083753</v>
      </c>
      <c r="O1061" s="11">
        <f t="shared" si="16"/>
        <v>7.1084963704611384E-2</v>
      </c>
      <c r="P1061"/>
      <c r="Q1061" s="11"/>
    </row>
    <row r="1062" spans="1:17" x14ac:dyDescent="0.35">
      <c r="A1062" s="2" t="s">
        <v>22</v>
      </c>
      <c r="O1062" s="11" t="str">
        <f t="shared" si="16"/>
        <v/>
      </c>
      <c r="P1062"/>
      <c r="Q1062" s="11"/>
    </row>
    <row r="1063" spans="1:17" x14ac:dyDescent="0.35">
      <c r="A1063" s="3" t="s">
        <v>39</v>
      </c>
      <c r="B1063" s="4">
        <v>593.03657455700886</v>
      </c>
      <c r="C1063" s="4">
        <v>636.4739646748892</v>
      </c>
      <c r="D1063" s="4">
        <v>686.0669260742211</v>
      </c>
      <c r="E1063" s="4">
        <v>740.44269389105602</v>
      </c>
      <c r="F1063" s="4">
        <v>799.73701268036803</v>
      </c>
      <c r="G1063" s="4">
        <v>863.6791158022279</v>
      </c>
      <c r="H1063" s="4">
        <v>931.08314495760578</v>
      </c>
      <c r="I1063" s="4">
        <v>1001.0324687010534</v>
      </c>
      <c r="J1063" s="4">
        <v>1077.1396903725981</v>
      </c>
      <c r="K1063" s="4">
        <v>1161.266175089394</v>
      </c>
      <c r="L1063" s="4">
        <v>1251.6157823015869</v>
      </c>
      <c r="M1063" s="4">
        <v>1347.2270158867141</v>
      </c>
      <c r="N1063" s="4">
        <v>1448.7413281125127</v>
      </c>
      <c r="O1063" s="11">
        <f t="shared" si="16"/>
        <v>7.6691301516454521E-2</v>
      </c>
      <c r="P1063"/>
      <c r="Q1063" s="11"/>
    </row>
    <row r="1064" spans="1:17" x14ac:dyDescent="0.35">
      <c r="A1064" s="3" t="s">
        <v>41</v>
      </c>
      <c r="B1064" s="4">
        <v>435.67311904691752</v>
      </c>
      <c r="C1064" s="4">
        <v>459.09166882089863</v>
      </c>
      <c r="D1064" s="4">
        <v>484.29224917573458</v>
      </c>
      <c r="E1064" s="4">
        <v>511.19803591084735</v>
      </c>
      <c r="F1064" s="4">
        <v>540.27220223774748</v>
      </c>
      <c r="G1064" s="4">
        <v>571.76834109281992</v>
      </c>
      <c r="H1064" s="4">
        <v>605.60836650849512</v>
      </c>
      <c r="I1064" s="4">
        <v>642.76155783453885</v>
      </c>
      <c r="J1064" s="4">
        <v>683.06230991099903</v>
      </c>
      <c r="K1064" s="4">
        <v>726.52051273928305</v>
      </c>
      <c r="L1064" s="4">
        <v>774.12583644733081</v>
      </c>
      <c r="M1064" s="4">
        <v>825.60916167832954</v>
      </c>
      <c r="N1064" s="4">
        <v>881.76065596278613</v>
      </c>
      <c r="O1064" s="11">
        <f t="shared" si="16"/>
        <v>6.3838741189079687E-2</v>
      </c>
      <c r="P1064"/>
      <c r="Q1064" s="11"/>
    </row>
    <row r="1065" spans="1:17" x14ac:dyDescent="0.35">
      <c r="A1065" s="3" t="s">
        <v>40</v>
      </c>
      <c r="B1065" s="4">
        <v>631.14513215009197</v>
      </c>
      <c r="C1065" s="4">
        <v>671.13189950867468</v>
      </c>
      <c r="D1065" s="4">
        <v>714.30419516913457</v>
      </c>
      <c r="E1065" s="4">
        <v>760.70791439738741</v>
      </c>
      <c r="F1065" s="4">
        <v>810.40830335662122</v>
      </c>
      <c r="G1065" s="4">
        <v>863.92472177866534</v>
      </c>
      <c r="H1065" s="4">
        <v>922.30038526874159</v>
      </c>
      <c r="I1065" s="4">
        <v>985.49762215609337</v>
      </c>
      <c r="J1065" s="4">
        <v>1054.3191568655575</v>
      </c>
      <c r="K1065" s="4">
        <v>1129.0217844985596</v>
      </c>
      <c r="L1065" s="4">
        <v>1209.8041364346902</v>
      </c>
      <c r="M1065" s="4">
        <v>1298.1037905634205</v>
      </c>
      <c r="N1065" s="4">
        <v>1394.7878983961532</v>
      </c>
      <c r="O1065" s="11">
        <f t="shared" si="16"/>
        <v>7.0825970649061903E-2</v>
      </c>
      <c r="P1065"/>
      <c r="Q1065" s="11"/>
    </row>
    <row r="1066" spans="1:17" x14ac:dyDescent="0.35">
      <c r="A1066" s="3" t="s">
        <v>42</v>
      </c>
      <c r="B1066" s="4">
        <v>670.58861573915647</v>
      </c>
      <c r="C1066" s="4">
        <v>720.31120464037758</v>
      </c>
      <c r="D1066" s="4">
        <v>775.23824440472436</v>
      </c>
      <c r="E1066" s="4">
        <v>834.42221297687502</v>
      </c>
      <c r="F1066" s="4">
        <v>898.52267494054274</v>
      </c>
      <c r="G1066" s="4">
        <v>968.36752101930415</v>
      </c>
      <c r="H1066" s="4">
        <v>1044.4010098053227</v>
      </c>
      <c r="I1066" s="4">
        <v>1129.2939150838843</v>
      </c>
      <c r="J1066" s="4">
        <v>1222.0206171336083</v>
      </c>
      <c r="K1066" s="4">
        <v>1323.9143573578654</v>
      </c>
      <c r="L1066" s="4">
        <v>1436.6273529602486</v>
      </c>
      <c r="M1066" s="4">
        <v>1561.5596706925573</v>
      </c>
      <c r="N1066" s="4">
        <v>1700.3236674348707</v>
      </c>
      <c r="O1066" s="11">
        <f t="shared" si="16"/>
        <v>8.3745583742086155E-2</v>
      </c>
      <c r="P1066"/>
      <c r="Q1066" s="11"/>
    </row>
    <row r="1067" spans="1:17" x14ac:dyDescent="0.35">
      <c r="A1067" s="1" t="s">
        <v>90</v>
      </c>
      <c r="O1067" s="11" t="str">
        <f t="shared" si="16"/>
        <v/>
      </c>
      <c r="P1067"/>
      <c r="Q1067" s="11"/>
    </row>
    <row r="1068" spans="1:17" x14ac:dyDescent="0.35">
      <c r="A1068" s="2" t="s">
        <v>24</v>
      </c>
      <c r="O1068" s="11" t="str">
        <f t="shared" si="16"/>
        <v/>
      </c>
      <c r="P1068"/>
      <c r="Q1068" s="11"/>
    </row>
    <row r="1069" spans="1:17" x14ac:dyDescent="0.35">
      <c r="A1069" s="3" t="s">
        <v>25</v>
      </c>
      <c r="B1069" s="4">
        <v>34.750693960639289</v>
      </c>
      <c r="C1069" s="4">
        <v>36.617818032582072</v>
      </c>
      <c r="D1069" s="4">
        <v>38.599772018401666</v>
      </c>
      <c r="E1069" s="4">
        <v>40.701637142212235</v>
      </c>
      <c r="F1069" s="4">
        <v>42.93189451187753</v>
      </c>
      <c r="G1069" s="4">
        <v>45.312190489427167</v>
      </c>
      <c r="H1069" s="4">
        <v>47.87499343849619</v>
      </c>
      <c r="I1069" s="4">
        <v>50.610346178912806</v>
      </c>
      <c r="J1069" s="4">
        <v>53.577520117758432</v>
      </c>
      <c r="K1069" s="4">
        <v>56.802696440212095</v>
      </c>
      <c r="L1069" s="4">
        <v>60.296560510820569</v>
      </c>
      <c r="M1069" s="4">
        <v>64.046089028628401</v>
      </c>
      <c r="N1069" s="4">
        <v>68.140866566043826</v>
      </c>
      <c r="O1069" s="11">
        <f t="shared" si="16"/>
        <v>6.0017970287921871E-2</v>
      </c>
      <c r="P1069"/>
      <c r="Q1069" s="11"/>
    </row>
    <row r="1070" spans="1:17" x14ac:dyDescent="0.35">
      <c r="A1070" s="3" t="s">
        <v>26</v>
      </c>
      <c r="B1070" s="4">
        <v>329.96999950804087</v>
      </c>
      <c r="C1070" s="4">
        <v>348.65993615054163</v>
      </c>
      <c r="D1070" s="4">
        <v>369.2996105495489</v>
      </c>
      <c r="E1070" s="4">
        <v>391.27146922571444</v>
      </c>
      <c r="F1070" s="4">
        <v>414.76420902626245</v>
      </c>
      <c r="G1070" s="4">
        <v>440.10298432999252</v>
      </c>
      <c r="H1070" s="4">
        <v>467.74873197413143</v>
      </c>
      <c r="I1070" s="4">
        <v>498.183028315321</v>
      </c>
      <c r="J1070" s="4">
        <v>531.06154233319307</v>
      </c>
      <c r="K1070" s="4">
        <v>566.61449453902162</v>
      </c>
      <c r="L1070" s="4">
        <v>605.65696453118733</v>
      </c>
      <c r="M1070" s="4">
        <v>648.62359290984114</v>
      </c>
      <c r="N1070" s="4">
        <v>696.01350796741622</v>
      </c>
      <c r="O1070" s="11">
        <f t="shared" si="16"/>
        <v>6.7671431461904713E-2</v>
      </c>
      <c r="P1070"/>
      <c r="Q1070" s="11"/>
    </row>
    <row r="1071" spans="1:17" x14ac:dyDescent="0.35">
      <c r="A1071" s="2" t="s">
        <v>27</v>
      </c>
      <c r="O1071" s="11" t="str">
        <f t="shared" si="16"/>
        <v/>
      </c>
      <c r="P1071"/>
      <c r="Q1071" s="11"/>
    </row>
    <row r="1072" spans="1:17" x14ac:dyDescent="0.35">
      <c r="A1072" s="3" t="s">
        <v>30</v>
      </c>
      <c r="B1072" s="4">
        <v>61.33995734474631</v>
      </c>
      <c r="C1072" s="4">
        <v>65.872073108774273</v>
      </c>
      <c r="D1072" s="4">
        <v>70.765149134623897</v>
      </c>
      <c r="E1072" s="4">
        <v>76.044857796296185</v>
      </c>
      <c r="F1072" s="4">
        <v>81.744524091911799</v>
      </c>
      <c r="G1072" s="4">
        <v>87.924379917925506</v>
      </c>
      <c r="H1072" s="4">
        <v>94.669489252339474</v>
      </c>
      <c r="I1072" s="4">
        <v>101.98662748076144</v>
      </c>
      <c r="J1072" s="4">
        <v>110.02153271860411</v>
      </c>
      <c r="K1072" s="4">
        <v>118.86204260511391</v>
      </c>
      <c r="L1072" s="4">
        <v>128.5688955592008</v>
      </c>
      <c r="M1072" s="4">
        <v>139.1553714089512</v>
      </c>
      <c r="N1072" s="4">
        <v>150.85707919863123</v>
      </c>
      <c r="O1072" s="11">
        <f t="shared" si="16"/>
        <v>8.0174122276161441E-2</v>
      </c>
      <c r="P1072"/>
      <c r="Q1072" s="11"/>
    </row>
    <row r="1073" spans="1:17" x14ac:dyDescent="0.35">
      <c r="A1073" s="3" t="s">
        <v>32</v>
      </c>
      <c r="B1073" s="4">
        <v>27.134667254237115</v>
      </c>
      <c r="C1073" s="4">
        <v>28.344962049794564</v>
      </c>
      <c r="D1073" s="4">
        <v>29.636782401423577</v>
      </c>
      <c r="E1073" s="4">
        <v>31.006324595145685</v>
      </c>
      <c r="F1073" s="4">
        <v>32.450653740854129</v>
      </c>
      <c r="G1073" s="4">
        <v>33.985041762890631</v>
      </c>
      <c r="H1073" s="4">
        <v>35.644112653706586</v>
      </c>
      <c r="I1073" s="4">
        <v>37.418073238175538</v>
      </c>
      <c r="J1073" s="4">
        <v>39.329450736470989</v>
      </c>
      <c r="K1073" s="4">
        <v>41.378565095337024</v>
      </c>
      <c r="L1073" s="4">
        <v>43.563275302172912</v>
      </c>
      <c r="M1073" s="4">
        <v>45.925890441395261</v>
      </c>
      <c r="N1073" s="4">
        <v>48.485266728826112</v>
      </c>
      <c r="O1073" s="11">
        <f t="shared" si="16"/>
        <v>5.2073295865801283E-2</v>
      </c>
      <c r="P1073"/>
      <c r="Q1073" s="11"/>
    </row>
    <row r="1074" spans="1:17" x14ac:dyDescent="0.35">
      <c r="A1074" s="3" t="s">
        <v>29</v>
      </c>
      <c r="B1074" s="4">
        <v>72.007228125008226</v>
      </c>
      <c r="C1074" s="4">
        <v>76.968983261732745</v>
      </c>
      <c r="D1074" s="4">
        <v>82.303136260151604</v>
      </c>
      <c r="E1074" s="4">
        <v>88.033905123583153</v>
      </c>
      <c r="F1074" s="4">
        <v>94.193858108149215</v>
      </c>
      <c r="G1074" s="4">
        <v>100.84590058256927</v>
      </c>
      <c r="H1074" s="4">
        <v>108.08018496381371</v>
      </c>
      <c r="I1074" s="4">
        <v>115.89573822473568</v>
      </c>
      <c r="J1074" s="4">
        <v>124.44942847257424</v>
      </c>
      <c r="K1074" s="4">
        <v>133.8296396929824</v>
      </c>
      <c r="L1074" s="4">
        <v>144.09249991055032</v>
      </c>
      <c r="M1074" s="4">
        <v>155.2397860315929</v>
      </c>
      <c r="N1074" s="4">
        <v>167.52112979997153</v>
      </c>
      <c r="O1074" s="11">
        <f t="shared" si="16"/>
        <v>7.5195244700139358E-2</v>
      </c>
      <c r="P1074"/>
      <c r="Q1074" s="11"/>
    </row>
    <row r="1075" spans="1:17" x14ac:dyDescent="0.35">
      <c r="A1075" s="3" t="s">
        <v>31</v>
      </c>
      <c r="B1075" s="4">
        <v>51.27079203480718</v>
      </c>
      <c r="C1075" s="4">
        <v>54.32688291111787</v>
      </c>
      <c r="D1075" s="4">
        <v>57.697472966610817</v>
      </c>
      <c r="E1075" s="4">
        <v>61.321072887687848</v>
      </c>
      <c r="F1075" s="4">
        <v>65.221694754184952</v>
      </c>
      <c r="G1075" s="4">
        <v>69.451201325702471</v>
      </c>
      <c r="H1075" s="4">
        <v>74.007592240786636</v>
      </c>
      <c r="I1075" s="4">
        <v>78.946386416055375</v>
      </c>
      <c r="J1075" s="4">
        <v>84.337707694211488</v>
      </c>
      <c r="K1075" s="4">
        <v>90.164863485210873</v>
      </c>
      <c r="L1075" s="4">
        <v>96.505866969732509</v>
      </c>
      <c r="M1075" s="4">
        <v>103.4154740150308</v>
      </c>
      <c r="N1075" s="4">
        <v>111.00126807515863</v>
      </c>
      <c r="O1075" s="11">
        <f t="shared" si="16"/>
        <v>6.9282838961450155E-2</v>
      </c>
      <c r="P1075"/>
      <c r="Q1075" s="11"/>
    </row>
    <row r="1076" spans="1:17" x14ac:dyDescent="0.35">
      <c r="A1076" s="3" t="s">
        <v>28</v>
      </c>
      <c r="B1076" s="4">
        <v>133.87050499960205</v>
      </c>
      <c r="C1076" s="4">
        <v>139.65806451308691</v>
      </c>
      <c r="D1076" s="4">
        <v>146.27608395394839</v>
      </c>
      <c r="E1076" s="4">
        <v>153.16415937793124</v>
      </c>
      <c r="F1076" s="4">
        <v>160.42248429011801</v>
      </c>
      <c r="G1076" s="4">
        <v>168.18993811384848</v>
      </c>
      <c r="H1076" s="4">
        <v>176.72697744290139</v>
      </c>
      <c r="I1076" s="4">
        <v>186.42778281161225</v>
      </c>
      <c r="J1076" s="4">
        <v>196.63312273950942</v>
      </c>
      <c r="K1076" s="4">
        <v>207.42803365826813</v>
      </c>
      <c r="L1076" s="4">
        <v>219.40142446106529</v>
      </c>
      <c r="M1076" s="4">
        <v>232.84055728163565</v>
      </c>
      <c r="N1076" s="4">
        <v>247.69697340441235</v>
      </c>
      <c r="O1076" s="11">
        <f t="shared" si="16"/>
        <v>5.685946528170216E-2</v>
      </c>
      <c r="P1076"/>
      <c r="Q1076" s="11"/>
    </row>
    <row r="1077" spans="1:17" x14ac:dyDescent="0.35">
      <c r="A1077" s="3" t="s">
        <v>33</v>
      </c>
      <c r="B1077" s="4">
        <v>19.097543710279265</v>
      </c>
      <c r="C1077" s="4">
        <v>20.106788338617317</v>
      </c>
      <c r="D1077" s="4">
        <v>21.220757851192296</v>
      </c>
      <c r="E1077" s="4">
        <v>22.402786587282545</v>
      </c>
      <c r="F1077" s="4">
        <v>23.662888552921835</v>
      </c>
      <c r="G1077" s="4">
        <v>25.018713116483365</v>
      </c>
      <c r="H1077" s="4">
        <v>26.49536885907985</v>
      </c>
      <c r="I1077" s="4">
        <v>28.118766322893524</v>
      </c>
      <c r="J1077" s="4">
        <v>29.867820089581311</v>
      </c>
      <c r="K1077" s="4">
        <v>31.754046442321417</v>
      </c>
      <c r="L1077" s="4">
        <v>33.821562839286024</v>
      </c>
      <c r="M1077" s="4">
        <v>36.09260275986378</v>
      </c>
      <c r="N1077" s="4">
        <v>38.592657326460113</v>
      </c>
      <c r="O1077" s="11">
        <f t="shared" si="16"/>
        <v>6.3876921731624542E-2</v>
      </c>
      <c r="P1077"/>
      <c r="Q1077" s="11"/>
    </row>
    <row r="1078" spans="1:17" x14ac:dyDescent="0.35">
      <c r="A1078" s="2" t="s">
        <v>34</v>
      </c>
      <c r="O1078" s="11" t="str">
        <f t="shared" si="16"/>
        <v/>
      </c>
      <c r="P1078"/>
      <c r="Q1078" s="11"/>
    </row>
    <row r="1079" spans="1:17" x14ac:dyDescent="0.35">
      <c r="A1079" s="3" t="s">
        <v>36</v>
      </c>
      <c r="B1079" s="4">
        <v>121.90079972294077</v>
      </c>
      <c r="C1079" s="4">
        <v>129.95202971219308</v>
      </c>
      <c r="D1079" s="4">
        <v>138.85157342912166</v>
      </c>
      <c r="E1079" s="4">
        <v>148.46620845026624</v>
      </c>
      <c r="F1079" s="4">
        <v>158.86631753808837</v>
      </c>
      <c r="G1079" s="4">
        <v>170.19168898064407</v>
      </c>
      <c r="H1079" s="4">
        <v>182.45334993943786</v>
      </c>
      <c r="I1079" s="4">
        <v>195.80421850007457</v>
      </c>
      <c r="J1079" s="4">
        <v>210.43695216995764</v>
      </c>
      <c r="K1079" s="4">
        <v>226.33202510061909</v>
      </c>
      <c r="L1079" s="4">
        <v>243.7069240559519</v>
      </c>
      <c r="M1079" s="4">
        <v>262.72540448702165</v>
      </c>
      <c r="N1079" s="4">
        <v>283.68908819737601</v>
      </c>
      <c r="O1079" s="11">
        <f t="shared" si="16"/>
        <v>7.5723390178095845E-2</v>
      </c>
      <c r="P1079"/>
      <c r="Q1079" s="11"/>
    </row>
    <row r="1080" spans="1:17" x14ac:dyDescent="0.35">
      <c r="A1080" s="3" t="s">
        <v>37</v>
      </c>
      <c r="B1080" s="4">
        <v>83.458557950734303</v>
      </c>
      <c r="C1080" s="4">
        <v>88.456044720067226</v>
      </c>
      <c r="D1080" s="4">
        <v>93.968250941811448</v>
      </c>
      <c r="E1080" s="4">
        <v>99.895434000665375</v>
      </c>
      <c r="F1080" s="4">
        <v>106.27703524155611</v>
      </c>
      <c r="G1080" s="4">
        <v>113.19791862863151</v>
      </c>
      <c r="H1080" s="4">
        <v>120.65524432366763</v>
      </c>
      <c r="I1080" s="4">
        <v>128.73994395480847</v>
      </c>
      <c r="J1080" s="4">
        <v>137.56685916336326</v>
      </c>
      <c r="K1080" s="4">
        <v>147.10933926070172</v>
      </c>
      <c r="L1080" s="4">
        <v>157.49522470194725</v>
      </c>
      <c r="M1080" s="4">
        <v>168.81453147724372</v>
      </c>
      <c r="N1080" s="4">
        <v>181.24360306900138</v>
      </c>
      <c r="O1080" s="11">
        <f t="shared" si="16"/>
        <v>6.9555840662358953E-2</v>
      </c>
      <c r="P1080"/>
      <c r="Q1080" s="11"/>
    </row>
    <row r="1081" spans="1:17" x14ac:dyDescent="0.35">
      <c r="A1081" s="3" t="s">
        <v>35</v>
      </c>
      <c r="B1081" s="4">
        <v>127.64675710857796</v>
      </c>
      <c r="C1081" s="4">
        <v>133.47001739265855</v>
      </c>
      <c r="D1081" s="4">
        <v>139.83490865441001</v>
      </c>
      <c r="E1081" s="4">
        <v>146.41679691767695</v>
      </c>
      <c r="F1081" s="4">
        <v>153.28242507492308</v>
      </c>
      <c r="G1081" s="4">
        <v>160.52790401599162</v>
      </c>
      <c r="H1081" s="4">
        <v>168.63125763385221</v>
      </c>
      <c r="I1081" s="4">
        <v>177.72050480030862</v>
      </c>
      <c r="J1081" s="4">
        <v>187.26385226061024</v>
      </c>
      <c r="K1081" s="4">
        <v>197.52530842679619</v>
      </c>
      <c r="L1081" s="4">
        <v>208.9376643479556</v>
      </c>
      <c r="M1081" s="4">
        <v>221.63526878739555</v>
      </c>
      <c r="N1081" s="4">
        <v>235.69065238821292</v>
      </c>
      <c r="O1081" s="11">
        <f t="shared" si="16"/>
        <v>5.6397593806853011E-2</v>
      </c>
      <c r="P1081"/>
      <c r="Q1081" s="11"/>
    </row>
    <row r="1082" spans="1:17" x14ac:dyDescent="0.35">
      <c r="A1082" s="3" t="s">
        <v>38</v>
      </c>
      <c r="B1082" s="4">
        <v>31.714578686427146</v>
      </c>
      <c r="C1082" s="4">
        <v>33.399662358204829</v>
      </c>
      <c r="D1082" s="4">
        <v>35.244649542607441</v>
      </c>
      <c r="E1082" s="4">
        <v>37.194666999318116</v>
      </c>
      <c r="F1082" s="4">
        <v>39.270325683572409</v>
      </c>
      <c r="G1082" s="4">
        <v>41.497663194152516</v>
      </c>
      <c r="H1082" s="4">
        <v>43.88387351566999</v>
      </c>
      <c r="I1082" s="4">
        <v>46.528707239042198</v>
      </c>
      <c r="J1082" s="4">
        <v>49.371398857020438</v>
      </c>
      <c r="K1082" s="4">
        <v>52.450518191116757</v>
      </c>
      <c r="L1082" s="4">
        <v>55.813711936153069</v>
      </c>
      <c r="M1082" s="4">
        <v>59.494477186808645</v>
      </c>
      <c r="N1082" s="4">
        <v>63.5310308788697</v>
      </c>
      <c r="O1082" s="11">
        <f t="shared" si="16"/>
        <v>6.2730586303624769E-2</v>
      </c>
      <c r="P1082"/>
      <c r="Q1082" s="11"/>
    </row>
    <row r="1083" spans="1:17" x14ac:dyDescent="0.35">
      <c r="A1083" s="2" t="s">
        <v>22</v>
      </c>
      <c r="O1083" s="11" t="str">
        <f t="shared" si="16"/>
        <v/>
      </c>
      <c r="P1083"/>
      <c r="Q1083" s="11"/>
    </row>
    <row r="1084" spans="1:17" x14ac:dyDescent="0.35">
      <c r="A1084" s="3" t="s">
        <v>39</v>
      </c>
      <c r="B1084" s="4">
        <v>97.446640525395935</v>
      </c>
      <c r="C1084" s="4">
        <v>103.63270129461574</v>
      </c>
      <c r="D1084" s="4">
        <v>110.75019740766794</v>
      </c>
      <c r="E1084" s="4">
        <v>117.97752093349982</v>
      </c>
      <c r="F1084" s="4">
        <v>125.54604120051187</v>
      </c>
      <c r="G1084" s="4">
        <v>133.30071449844388</v>
      </c>
      <c r="H1084" s="4">
        <v>142.15860428978147</v>
      </c>
      <c r="I1084" s="4">
        <v>151.84084107017861</v>
      </c>
      <c r="J1084" s="4">
        <v>162.06330201085598</v>
      </c>
      <c r="K1084" s="4">
        <v>172.93272883329587</v>
      </c>
      <c r="L1084" s="4">
        <v>184.75038519982434</v>
      </c>
      <c r="M1084" s="4">
        <v>197.61332955886746</v>
      </c>
      <c r="N1084" s="4">
        <v>211.9575560293373</v>
      </c>
      <c r="O1084" s="11">
        <f t="shared" si="16"/>
        <v>6.8498151425006648E-2</v>
      </c>
      <c r="P1084"/>
      <c r="Q1084" s="11"/>
    </row>
    <row r="1085" spans="1:17" x14ac:dyDescent="0.35">
      <c r="A1085" s="3" t="s">
        <v>41</v>
      </c>
      <c r="B1085" s="4">
        <v>63.034128449217128</v>
      </c>
      <c r="C1085" s="4">
        <v>66.159944210162735</v>
      </c>
      <c r="D1085" s="4">
        <v>69.458878355742641</v>
      </c>
      <c r="E1085" s="4">
        <v>72.962737959723725</v>
      </c>
      <c r="F1085" s="4">
        <v>76.709866952992257</v>
      </c>
      <c r="G1085" s="4">
        <v>80.70339480724094</v>
      </c>
      <c r="H1085" s="4">
        <v>84.927181219616131</v>
      </c>
      <c r="I1085" s="4">
        <v>89.448151995293486</v>
      </c>
      <c r="J1085" s="4">
        <v>94.34885094710144</v>
      </c>
      <c r="K1085" s="4">
        <v>99.578796191410632</v>
      </c>
      <c r="L1085" s="4">
        <v>105.23076633862651</v>
      </c>
      <c r="M1085" s="4">
        <v>111.31195634892998</v>
      </c>
      <c r="N1085" s="4">
        <v>117.86273443019333</v>
      </c>
      <c r="O1085" s="11">
        <f t="shared" si="16"/>
        <v>5.5596193646302111E-2</v>
      </c>
      <c r="P1085"/>
      <c r="Q1085" s="11"/>
    </row>
    <row r="1086" spans="1:17" x14ac:dyDescent="0.35">
      <c r="A1086" s="3" t="s">
        <v>40</v>
      </c>
      <c r="B1086" s="4">
        <v>100.23994738405733</v>
      </c>
      <c r="C1086" s="4">
        <v>105.09958213278425</v>
      </c>
      <c r="D1086" s="4">
        <v>110.356910257284</v>
      </c>
      <c r="E1086" s="4">
        <v>116.08905007933849</v>
      </c>
      <c r="F1086" s="4">
        <v>122.2506292550372</v>
      </c>
      <c r="G1086" s="4">
        <v>129.07056983279111</v>
      </c>
      <c r="H1086" s="4">
        <v>136.34079171582431</v>
      </c>
      <c r="I1086" s="4">
        <v>144.37374265476268</v>
      </c>
      <c r="J1086" s="4">
        <v>153.11349308857473</v>
      </c>
      <c r="K1086" s="4">
        <v>162.63746200884265</v>
      </c>
      <c r="L1086" s="4">
        <v>173.12802317167458</v>
      </c>
      <c r="M1086" s="4">
        <v>184.70974541255089</v>
      </c>
      <c r="N1086" s="4">
        <v>197.40965726231786</v>
      </c>
      <c r="O1086" s="11">
        <f t="shared" si="16"/>
        <v>6.258339246770564E-2</v>
      </c>
      <c r="P1086"/>
      <c r="Q1086" s="11"/>
    </row>
    <row r="1087" spans="1:17" x14ac:dyDescent="0.35">
      <c r="A1087" s="3" t="s">
        <v>42</v>
      </c>
      <c r="B1087" s="4">
        <v>103.99997711000981</v>
      </c>
      <c r="C1087" s="4">
        <v>110.38552654556098</v>
      </c>
      <c r="D1087" s="4">
        <v>117.333396547256</v>
      </c>
      <c r="E1087" s="4">
        <v>124.94379739536465</v>
      </c>
      <c r="F1087" s="4">
        <v>133.18956612959872</v>
      </c>
      <c r="G1087" s="4">
        <v>142.34049568094375</v>
      </c>
      <c r="H1087" s="4">
        <v>152.19714818740576</v>
      </c>
      <c r="I1087" s="4">
        <v>163.1306387739991</v>
      </c>
      <c r="J1087" s="4">
        <v>175.11341640441938</v>
      </c>
      <c r="K1087" s="4">
        <v>188.26820394568458</v>
      </c>
      <c r="L1087" s="4">
        <v>202.84435033188245</v>
      </c>
      <c r="M1087" s="4">
        <v>219.03465061812128</v>
      </c>
      <c r="N1087" s="4">
        <v>236.92442681161148</v>
      </c>
      <c r="O1087" s="11">
        <f t="shared" si="16"/>
        <v>7.5502993543789143E-2</v>
      </c>
      <c r="P1087"/>
      <c r="Q1087" s="11"/>
    </row>
    <row r="1088" spans="1:17" x14ac:dyDescent="0.35">
      <c r="A1088" s="1" t="s">
        <v>91</v>
      </c>
      <c r="O1088" s="11" t="str">
        <f t="shared" si="16"/>
        <v/>
      </c>
      <c r="P1088"/>
      <c r="Q1088" s="11"/>
    </row>
    <row r="1089" spans="1:17" x14ac:dyDescent="0.35">
      <c r="A1089" s="2" t="s">
        <v>24</v>
      </c>
      <c r="O1089" s="11" t="str">
        <f t="shared" si="16"/>
        <v/>
      </c>
      <c r="P1089"/>
      <c r="Q1089" s="11"/>
    </row>
    <row r="1090" spans="1:17" x14ac:dyDescent="0.35">
      <c r="A1090" s="3" t="s">
        <v>25</v>
      </c>
      <c r="B1090" s="4">
        <v>7.3576925259863737</v>
      </c>
      <c r="C1090" s="4">
        <v>7.5959430996727768</v>
      </c>
      <c r="D1090" s="4">
        <v>7.8492893873268512</v>
      </c>
      <c r="E1090" s="4">
        <v>8.1160771635815294</v>
      </c>
      <c r="F1090" s="4">
        <v>8.3949427060625972</v>
      </c>
      <c r="G1090" s="4">
        <v>8.689282993413876</v>
      </c>
      <c r="H1090" s="4">
        <v>9.007272233543322</v>
      </c>
      <c r="I1090" s="4">
        <v>9.3454644242977505</v>
      </c>
      <c r="J1090" s="4">
        <v>9.7086249921852552</v>
      </c>
      <c r="K1090" s="4">
        <v>10.095796782392521</v>
      </c>
      <c r="L1090" s="4">
        <v>10.505443848445193</v>
      </c>
      <c r="M1090" s="4">
        <v>10.946798448864442</v>
      </c>
      <c r="N1090" s="4">
        <v>11.423052982388604</v>
      </c>
      <c r="O1090" s="11">
        <f t="shared" si="16"/>
        <v>3.9851154918055381E-2</v>
      </c>
      <c r="P1090"/>
      <c r="Q1090" s="11"/>
    </row>
    <row r="1091" spans="1:17" x14ac:dyDescent="0.35">
      <c r="A1091" s="3" t="s">
        <v>26</v>
      </c>
      <c r="B1091" s="4">
        <v>78.30436283898139</v>
      </c>
      <c r="C1091" s="4">
        <v>81.11208824696881</v>
      </c>
      <c r="D1091" s="4">
        <v>84.345237688129032</v>
      </c>
      <c r="E1091" s="4">
        <v>87.767702457136593</v>
      </c>
      <c r="F1091" s="4">
        <v>91.426016937963539</v>
      </c>
      <c r="G1091" s="4">
        <v>95.312845809780313</v>
      </c>
      <c r="H1091" s="4">
        <v>99.46402298409788</v>
      </c>
      <c r="I1091" s="4">
        <v>103.97562819413767</v>
      </c>
      <c r="J1091" s="4">
        <v>108.76964285236772</v>
      </c>
      <c r="K1091" s="4">
        <v>113.95233883172651</v>
      </c>
      <c r="L1091" s="4">
        <v>119.47245380475326</v>
      </c>
      <c r="M1091" s="4">
        <v>125.40584469175039</v>
      </c>
      <c r="N1091" s="4">
        <v>131.89947476672492</v>
      </c>
      <c r="O1091" s="11">
        <f t="shared" si="16"/>
        <v>4.7504619936876165E-2</v>
      </c>
      <c r="P1091"/>
      <c r="Q1091" s="11"/>
    </row>
    <row r="1092" spans="1:17" x14ac:dyDescent="0.35">
      <c r="A1092" s="2" t="s">
        <v>27</v>
      </c>
      <c r="O1092" s="11" t="str">
        <f t="shared" si="16"/>
        <v/>
      </c>
      <c r="P1092"/>
      <c r="Q1092" s="11"/>
    </row>
    <row r="1093" spans="1:17" x14ac:dyDescent="0.35">
      <c r="A1093" s="3" t="s">
        <v>30</v>
      </c>
      <c r="B1093" s="4">
        <v>15.282193297829362</v>
      </c>
      <c r="C1093" s="4">
        <v>16.016790445932298</v>
      </c>
      <c r="D1093" s="4">
        <v>16.850825278608816</v>
      </c>
      <c r="E1093" s="4">
        <v>17.740365584852992</v>
      </c>
      <c r="F1093" s="4">
        <v>18.696465741326094</v>
      </c>
      <c r="G1093" s="4">
        <v>19.719641873900972</v>
      </c>
      <c r="H1093" s="4">
        <v>20.819316417195981</v>
      </c>
      <c r="I1093" s="4">
        <v>22.017914285835655</v>
      </c>
      <c r="J1093" s="4">
        <v>23.301985073554931</v>
      </c>
      <c r="K1093" s="4">
        <v>24.696856667040699</v>
      </c>
      <c r="L1093" s="4">
        <v>26.194834125245571</v>
      </c>
      <c r="M1093" s="4">
        <v>27.815653113332125</v>
      </c>
      <c r="N1093" s="4">
        <v>29.595665380640771</v>
      </c>
      <c r="O1093" s="11">
        <f t="shared" si="16"/>
        <v>5.9716921714875387E-2</v>
      </c>
      <c r="P1093"/>
      <c r="Q1093" s="11"/>
    </row>
    <row r="1094" spans="1:17" x14ac:dyDescent="0.35">
      <c r="A1094" s="3" t="s">
        <v>32</v>
      </c>
      <c r="B1094" s="4">
        <v>6.9666736217732677</v>
      </c>
      <c r="C1094" s="4">
        <v>7.1431210571582238</v>
      </c>
      <c r="D1094" s="4">
        <v>7.3268681312589168</v>
      </c>
      <c r="E1094" s="4">
        <v>7.5177405751577195</v>
      </c>
      <c r="F1094" s="4">
        <v>7.7161601804832207</v>
      </c>
      <c r="G1094" s="4">
        <v>7.9248188572805365</v>
      </c>
      <c r="H1094" s="4">
        <v>8.147958282026778</v>
      </c>
      <c r="I1094" s="4">
        <v>8.3820780874441247</v>
      </c>
      <c r="J1094" s="4">
        <v>8.6354352422083345</v>
      </c>
      <c r="K1094" s="4">
        <v>8.9099962125303485</v>
      </c>
      <c r="L1094" s="4">
        <v>9.2049795733724622</v>
      </c>
      <c r="M1094" s="4">
        <v>9.5159516230847956</v>
      </c>
      <c r="N1094" s="4">
        <v>9.8540828698538281</v>
      </c>
      <c r="O1094" s="11">
        <f t="shared" si="16"/>
        <v>3.1616129384030023E-2</v>
      </c>
      <c r="P1094"/>
      <c r="Q1094" s="11"/>
    </row>
    <row r="1095" spans="1:17" x14ac:dyDescent="0.35">
      <c r="A1095" s="3" t="s">
        <v>29</v>
      </c>
      <c r="B1095" s="4">
        <v>18.166246747275057</v>
      </c>
      <c r="C1095" s="4">
        <v>19.031038085360873</v>
      </c>
      <c r="D1095" s="4">
        <v>19.982822023695007</v>
      </c>
      <c r="E1095" s="4">
        <v>20.99369246540121</v>
      </c>
      <c r="F1095" s="4">
        <v>22.070414177294175</v>
      </c>
      <c r="G1095" s="4">
        <v>23.213508354266121</v>
      </c>
      <c r="H1095" s="4">
        <v>24.423211039834058</v>
      </c>
      <c r="I1095" s="4">
        <v>25.70836629397937</v>
      </c>
      <c r="J1095" s="4">
        <v>27.088071215614196</v>
      </c>
      <c r="K1095" s="4">
        <v>28.578908657040909</v>
      </c>
      <c r="L1095" s="4">
        <v>30.176225462660206</v>
      </c>
      <c r="M1095" s="4">
        <v>31.880447379269917</v>
      </c>
      <c r="N1095" s="4">
        <v>33.709557102121622</v>
      </c>
      <c r="O1095" s="11">
        <f t="shared" si="16"/>
        <v>5.4738039302154491E-2</v>
      </c>
      <c r="P1095"/>
      <c r="Q1095" s="11"/>
    </row>
    <row r="1096" spans="1:17" x14ac:dyDescent="0.35">
      <c r="A1096" s="3" t="s">
        <v>31</v>
      </c>
      <c r="B1096" s="4">
        <v>11.389697248322641</v>
      </c>
      <c r="C1096" s="4">
        <v>11.813138892852637</v>
      </c>
      <c r="D1096" s="4">
        <v>12.299619373107419</v>
      </c>
      <c r="E1096" s="4">
        <v>12.814947564510845</v>
      </c>
      <c r="F1096" s="4">
        <v>13.366026496335099</v>
      </c>
      <c r="G1096" s="4">
        <v>13.951918483913287</v>
      </c>
      <c r="H1096" s="4">
        <v>14.577999877915726</v>
      </c>
      <c r="I1096" s="4">
        <v>15.258503913056035</v>
      </c>
      <c r="J1096" s="4">
        <v>15.982186353977104</v>
      </c>
      <c r="K1096" s="4">
        <v>16.764824544298399</v>
      </c>
      <c r="L1096" s="4">
        <v>17.599098425878964</v>
      </c>
      <c r="M1096" s="4">
        <v>18.496376027199798</v>
      </c>
      <c r="N1096" s="4">
        <v>19.478569838707521</v>
      </c>
      <c r="O1096" s="11">
        <f t="shared" si="16"/>
        <v>4.8825662924654546E-2</v>
      </c>
      <c r="P1096"/>
      <c r="Q1096" s="11"/>
    </row>
    <row r="1097" spans="1:17" x14ac:dyDescent="0.35">
      <c r="A1097" s="3" t="s">
        <v>28</v>
      </c>
      <c r="B1097" s="4">
        <v>28.694502895944503</v>
      </c>
      <c r="C1097" s="4">
        <v>29.389848337980027</v>
      </c>
      <c r="D1097" s="4">
        <v>30.256311559730072</v>
      </c>
      <c r="E1097" s="4">
        <v>31.159391073870012</v>
      </c>
      <c r="F1097" s="4">
        <v>32.12238481344761</v>
      </c>
      <c r="G1097" s="4">
        <v>33.128506912218057</v>
      </c>
      <c r="H1097" s="4">
        <v>34.21372344709512</v>
      </c>
      <c r="I1097" s="4">
        <v>35.415124082623635</v>
      </c>
      <c r="J1097" s="4">
        <v>36.660948309944771</v>
      </c>
      <c r="K1097" s="4">
        <v>37.994831823459577</v>
      </c>
      <c r="L1097" s="4">
        <v>39.378011457355115</v>
      </c>
      <c r="M1097" s="4">
        <v>40.865059074074466</v>
      </c>
      <c r="N1097" s="4">
        <v>42.519709457481838</v>
      </c>
      <c r="O1097" s="11">
        <f t="shared" si="16"/>
        <v>3.6296570173104913E-2</v>
      </c>
      <c r="P1097"/>
      <c r="Q1097" s="11"/>
    </row>
    <row r="1098" spans="1:17" x14ac:dyDescent="0.35">
      <c r="A1098" s="3" t="s">
        <v>33</v>
      </c>
      <c r="B1098" s="4">
        <v>5.1627415538229382</v>
      </c>
      <c r="C1098" s="4">
        <v>5.3140945273575326</v>
      </c>
      <c r="D1098" s="4">
        <v>5.4780807090556465</v>
      </c>
      <c r="E1098" s="4">
        <v>5.65764235692534</v>
      </c>
      <c r="F1098" s="4">
        <v>5.8495082351399317</v>
      </c>
      <c r="G1098" s="4">
        <v>6.0637343216151942</v>
      </c>
      <c r="H1098" s="4">
        <v>6.2890861535735318</v>
      </c>
      <c r="I1098" s="4">
        <v>6.5391059554965913</v>
      </c>
      <c r="J1098" s="4">
        <v>6.8096416492536562</v>
      </c>
      <c r="K1098" s="4">
        <v>7.1027177097490988</v>
      </c>
      <c r="L1098" s="4">
        <v>7.4247486086861478</v>
      </c>
      <c r="M1098" s="4">
        <v>7.7791559236537049</v>
      </c>
      <c r="N1098" s="4">
        <v>8.1649431003079584</v>
      </c>
      <c r="O1098" s="11">
        <f t="shared" si="16"/>
        <v>4.3419622281719805E-2</v>
      </c>
      <c r="P1098"/>
      <c r="Q1098" s="11"/>
    </row>
    <row r="1099" spans="1:17" x14ac:dyDescent="0.35">
      <c r="A1099" s="2" t="s">
        <v>34</v>
      </c>
      <c r="O1099" s="11" t="str">
        <f t="shared" si="16"/>
        <v/>
      </c>
      <c r="P1099"/>
      <c r="Q1099" s="11"/>
    </row>
    <row r="1100" spans="1:17" x14ac:dyDescent="0.35">
      <c r="A1100" s="3" t="s">
        <v>36</v>
      </c>
      <c r="B1100" s="4">
        <v>30.375132236861397</v>
      </c>
      <c r="C1100" s="4">
        <v>31.864912318082954</v>
      </c>
      <c r="D1100" s="4">
        <v>33.440387715210576</v>
      </c>
      <c r="E1100" s="4">
        <v>35.104706251574392</v>
      </c>
      <c r="F1100" s="4">
        <v>36.863880396538846</v>
      </c>
      <c r="G1100" s="4">
        <v>38.735108023210223</v>
      </c>
      <c r="H1100" s="4">
        <v>40.744519811300606</v>
      </c>
      <c r="I1100" s="4">
        <v>42.881661194683701</v>
      </c>
      <c r="J1100" s="4">
        <v>45.19490133103983</v>
      </c>
      <c r="K1100" s="4">
        <v>47.703822820207776</v>
      </c>
      <c r="L1100" s="4">
        <v>50.414625923567712</v>
      </c>
      <c r="M1100" s="4">
        <v>53.313553170211783</v>
      </c>
      <c r="N1100" s="4">
        <v>56.472476363306086</v>
      </c>
      <c r="O1100" s="11">
        <f t="shared" si="16"/>
        <v>5.5334885135746394E-2</v>
      </c>
      <c r="P1100"/>
      <c r="Q1100" s="11"/>
    </row>
    <row r="1101" spans="1:17" x14ac:dyDescent="0.35">
      <c r="A1101" s="3" t="s">
        <v>37</v>
      </c>
      <c r="B1101" s="4">
        <v>18.541704902557893</v>
      </c>
      <c r="C1101" s="4">
        <v>19.275392168119797</v>
      </c>
      <c r="D1101" s="4">
        <v>20.07872278496238</v>
      </c>
      <c r="E1101" s="4">
        <v>20.917307284262726</v>
      </c>
      <c r="F1101" s="4">
        <v>21.80089758625531</v>
      </c>
      <c r="G1101" s="4">
        <v>22.741712520608484</v>
      </c>
      <c r="H1101" s="4">
        <v>23.740962272311254</v>
      </c>
      <c r="I1101" s="4">
        <v>24.849800818229486</v>
      </c>
      <c r="J1101" s="4">
        <v>26.030967161313029</v>
      </c>
      <c r="K1101" s="4">
        <v>27.301362954613399</v>
      </c>
      <c r="L1101" s="4">
        <v>28.681666868155485</v>
      </c>
      <c r="M1101" s="4">
        <v>30.184130749005405</v>
      </c>
      <c r="N1101" s="4">
        <v>31.822655964909206</v>
      </c>
      <c r="O1101" s="11">
        <f t="shared" si="16"/>
        <v>4.9167312017660267E-2</v>
      </c>
      <c r="P1101"/>
      <c r="Q1101" s="11"/>
    </row>
    <row r="1102" spans="1:17" x14ac:dyDescent="0.35">
      <c r="A1102" s="3" t="s">
        <v>35</v>
      </c>
      <c r="B1102" s="4">
        <v>28.461566851126165</v>
      </c>
      <c r="C1102" s="4">
        <v>28.99520774245709</v>
      </c>
      <c r="D1102" s="4">
        <v>29.795626496451639</v>
      </c>
      <c r="E1102" s="4">
        <v>30.658044305768684</v>
      </c>
      <c r="F1102" s="4">
        <v>31.613297919263076</v>
      </c>
      <c r="G1102" s="4">
        <v>32.624065411716899</v>
      </c>
      <c r="H1102" s="4">
        <v>33.697565913091893</v>
      </c>
      <c r="I1102" s="4">
        <v>34.889468219937726</v>
      </c>
      <c r="J1102" s="4">
        <v>36.109780656986274</v>
      </c>
      <c r="K1102" s="4">
        <v>37.428218003459577</v>
      </c>
      <c r="L1102" s="4">
        <v>38.766662783933668</v>
      </c>
      <c r="M1102" s="4">
        <v>40.200867493594998</v>
      </c>
      <c r="N1102" s="4">
        <v>41.791251389693016</v>
      </c>
      <c r="O1102" s="11">
        <f t="shared" si="16"/>
        <v>3.6009885709879286E-2</v>
      </c>
      <c r="P1102"/>
      <c r="Q1102" s="11"/>
    </row>
    <row r="1103" spans="1:17" x14ac:dyDescent="0.35">
      <c r="A1103" s="3" t="s">
        <v>38</v>
      </c>
      <c r="B1103" s="4">
        <v>8.2836513744223232</v>
      </c>
      <c r="C1103" s="4">
        <v>8.5725191179817468</v>
      </c>
      <c r="D1103" s="4">
        <v>8.8797900788312862</v>
      </c>
      <c r="E1103" s="4">
        <v>9.2037217791123194</v>
      </c>
      <c r="F1103" s="4">
        <v>9.5428837419688968</v>
      </c>
      <c r="G1103" s="4">
        <v>9.9012428476585832</v>
      </c>
      <c r="H1103" s="4">
        <v>10.288247220937453</v>
      </c>
      <c r="I1103" s="4">
        <v>10.700162385584507</v>
      </c>
      <c r="J1103" s="4">
        <v>11.142618695213848</v>
      </c>
      <c r="K1103" s="4">
        <v>11.614731835838288</v>
      </c>
      <c r="L1103" s="4">
        <v>12.114942077541585</v>
      </c>
      <c r="M1103" s="4">
        <v>12.654091727802628</v>
      </c>
      <c r="N1103" s="4">
        <v>13.236144031205223</v>
      </c>
      <c r="O1103" s="11">
        <f t="shared" si="16"/>
        <v>4.2342037403329626E-2</v>
      </c>
      <c r="P1103"/>
      <c r="Q1103" s="11"/>
    </row>
    <row r="1104" spans="1:17" x14ac:dyDescent="0.35">
      <c r="A1104" s="2" t="s">
        <v>22</v>
      </c>
      <c r="O1104" s="11" t="str">
        <f t="shared" si="16"/>
        <v/>
      </c>
      <c r="P1104"/>
      <c r="Q1104" s="11"/>
    </row>
    <row r="1105" spans="1:17" x14ac:dyDescent="0.35">
      <c r="A1105" s="3" t="s">
        <v>39</v>
      </c>
      <c r="B1105" s="4">
        <v>20.218946530164772</v>
      </c>
      <c r="C1105" s="4">
        <v>20.919631427121942</v>
      </c>
      <c r="D1105" s="4">
        <v>21.812211789483285</v>
      </c>
      <c r="E1105" s="4">
        <v>22.774326840458642</v>
      </c>
      <c r="F1105" s="4">
        <v>23.827263067029037</v>
      </c>
      <c r="G1105" s="4">
        <v>24.922357710542201</v>
      </c>
      <c r="H1105" s="4">
        <v>26.093729700883443</v>
      </c>
      <c r="I1105" s="4">
        <v>27.340429242531769</v>
      </c>
      <c r="J1105" s="4">
        <v>28.631838121118804</v>
      </c>
      <c r="K1105" s="4">
        <v>30.066374594910585</v>
      </c>
      <c r="L1105" s="4">
        <v>31.515225487466239</v>
      </c>
      <c r="M1105" s="4">
        <v>33.027712789980768</v>
      </c>
      <c r="N1105" s="4">
        <v>34.693921962631237</v>
      </c>
      <c r="O1105" s="11">
        <f t="shared" si="16"/>
        <v>4.8391442718394642E-2</v>
      </c>
      <c r="P1105"/>
      <c r="Q1105" s="11"/>
    </row>
    <row r="1106" spans="1:17" x14ac:dyDescent="0.35">
      <c r="A1106" s="3" t="s">
        <v>41</v>
      </c>
      <c r="B1106" s="4">
        <v>17.51438120529625</v>
      </c>
      <c r="C1106" s="4">
        <v>17.946657649695808</v>
      </c>
      <c r="D1106" s="4">
        <v>18.435471789731842</v>
      </c>
      <c r="E1106" s="4">
        <v>18.943109688219863</v>
      </c>
      <c r="F1106" s="4">
        <v>19.475069226549497</v>
      </c>
      <c r="G1106" s="4">
        <v>20.042415154357222</v>
      </c>
      <c r="H1106" s="4">
        <v>20.660852928485838</v>
      </c>
      <c r="I1106" s="4">
        <v>21.344838497260444</v>
      </c>
      <c r="J1106" s="4">
        <v>22.071347736933053</v>
      </c>
      <c r="K1106" s="4">
        <v>22.843554906170798</v>
      </c>
      <c r="L1106" s="4">
        <v>23.687503828018183</v>
      </c>
      <c r="M1106" s="4">
        <v>24.610892292764053</v>
      </c>
      <c r="N1106" s="4">
        <v>25.622453670699201</v>
      </c>
      <c r="O1106" s="11">
        <f t="shared" si="16"/>
        <v>3.5711184384110854E-2</v>
      </c>
      <c r="P1106"/>
      <c r="Q1106" s="11"/>
    </row>
    <row r="1107" spans="1:17" x14ac:dyDescent="0.35">
      <c r="A1107" s="3" t="s">
        <v>40</v>
      </c>
      <c r="B1107" s="4">
        <v>22.500020517994788</v>
      </c>
      <c r="C1107" s="4">
        <v>23.244787871198355</v>
      </c>
      <c r="D1107" s="4">
        <v>24.063182427946256</v>
      </c>
      <c r="E1107" s="4">
        <v>24.912516639027423</v>
      </c>
      <c r="F1107" s="4">
        <v>25.803718067980757</v>
      </c>
      <c r="G1107" s="4">
        <v>26.750354402057784</v>
      </c>
      <c r="H1107" s="4">
        <v>27.752696728259782</v>
      </c>
      <c r="I1107" s="4">
        <v>28.869378777349453</v>
      </c>
      <c r="J1107" s="4">
        <v>30.054853573004493</v>
      </c>
      <c r="K1107" s="4">
        <v>31.327208433470432</v>
      </c>
      <c r="L1107" s="4">
        <v>32.708400968583994</v>
      </c>
      <c r="M1107" s="4">
        <v>34.210216764746725</v>
      </c>
      <c r="N1107" s="4">
        <v>35.845995354650917</v>
      </c>
      <c r="O1107" s="11">
        <f t="shared" si="16"/>
        <v>4.2698452871841187E-2</v>
      </c>
      <c r="P1107"/>
      <c r="Q1107" s="11"/>
    </row>
    <row r="1108" spans="1:17" x14ac:dyDescent="0.35">
      <c r="A1108" s="3" t="s">
        <v>42</v>
      </c>
      <c r="B1108" s="4">
        <v>25.428707111511958</v>
      </c>
      <c r="C1108" s="4">
        <v>26.596954398625485</v>
      </c>
      <c r="D1108" s="4">
        <v>27.883661068294504</v>
      </c>
      <c r="E1108" s="4">
        <v>29.253826453012188</v>
      </c>
      <c r="F1108" s="4">
        <v>30.714909282466838</v>
      </c>
      <c r="G1108" s="4">
        <v>32.287001536236971</v>
      </c>
      <c r="H1108" s="4">
        <v>33.964015860012132</v>
      </c>
      <c r="I1108" s="4">
        <v>35.766446101293745</v>
      </c>
      <c r="J1108" s="4">
        <v>37.720228413496621</v>
      </c>
      <c r="K1108" s="4">
        <v>39.810997679567215</v>
      </c>
      <c r="L1108" s="4">
        <v>42.066767369130027</v>
      </c>
      <c r="M1108" s="4">
        <v>44.503821293123266</v>
      </c>
      <c r="N1108" s="4">
        <v>47.160156761132178</v>
      </c>
      <c r="O1108" s="11">
        <f t="shared" si="16"/>
        <v>5.5618005696324233E-2</v>
      </c>
      <c r="P1108"/>
      <c r="Q1108" s="11"/>
    </row>
    <row r="1109" spans="1:17" x14ac:dyDescent="0.35">
      <c r="A1109" s="1" t="s">
        <v>92</v>
      </c>
      <c r="O1109" s="11" t="str">
        <f t="shared" ref="O1109:O1172" si="17">IFERROR(RATE(2033-2026,,-G1109,N1109),"")</f>
        <v/>
      </c>
      <c r="P1109"/>
      <c r="Q1109" s="11"/>
    </row>
    <row r="1110" spans="1:17" x14ac:dyDescent="0.35">
      <c r="A1110" s="2" t="s">
        <v>24</v>
      </c>
      <c r="O1110" s="11" t="str">
        <f t="shared" si="17"/>
        <v/>
      </c>
      <c r="P1110"/>
      <c r="Q1110" s="11"/>
    </row>
    <row r="1111" spans="1:17" x14ac:dyDescent="0.35">
      <c r="A1111" s="3" t="s">
        <v>25</v>
      </c>
      <c r="B1111" s="4">
        <v>10.171783060758552</v>
      </c>
      <c r="C1111" s="4">
        <v>10.507024357376029</v>
      </c>
      <c r="D1111" s="4">
        <v>10.880168679753465</v>
      </c>
      <c r="E1111" s="4">
        <v>11.269816582897588</v>
      </c>
      <c r="F1111" s="4">
        <v>11.679572387559624</v>
      </c>
      <c r="G1111" s="4">
        <v>12.116489391154049</v>
      </c>
      <c r="H1111" s="4">
        <v>12.590646257711285</v>
      </c>
      <c r="I1111" s="4">
        <v>13.111673991471498</v>
      </c>
      <c r="J1111" s="4">
        <v>13.666474855369215</v>
      </c>
      <c r="K1111" s="4">
        <v>14.25773575471904</v>
      </c>
      <c r="L1111" s="4">
        <v>14.902491482853289</v>
      </c>
      <c r="M1111" s="4">
        <v>15.606765818139761</v>
      </c>
      <c r="N1111" s="4">
        <v>16.377411078717731</v>
      </c>
      <c r="O1111" s="11">
        <f t="shared" si="17"/>
        <v>4.3987964459990751E-2</v>
      </c>
      <c r="P1111"/>
      <c r="Q1111" s="11"/>
    </row>
    <row r="1112" spans="1:17" x14ac:dyDescent="0.35">
      <c r="A1112" s="3" t="s">
        <v>26</v>
      </c>
      <c r="B1112" s="4">
        <v>111.74388712993769</v>
      </c>
      <c r="C1112" s="4">
        <v>116.84326996949416</v>
      </c>
      <c r="D1112" s="4">
        <v>122.207347105403</v>
      </c>
      <c r="E1112" s="4">
        <v>127.88881448195376</v>
      </c>
      <c r="F1112" s="4">
        <v>133.95100601093944</v>
      </c>
      <c r="G1112" s="4">
        <v>140.39478032206247</v>
      </c>
      <c r="H1112" s="4">
        <v>147.18742473399561</v>
      </c>
      <c r="I1112" s="4">
        <v>154.44064351861829</v>
      </c>
      <c r="J1112" s="4">
        <v>162.29139423260878</v>
      </c>
      <c r="K1112" s="4">
        <v>170.64571622205725</v>
      </c>
      <c r="L1112" s="4">
        <v>179.65650446898886</v>
      </c>
      <c r="M1112" s="4">
        <v>189.32820204051419</v>
      </c>
      <c r="N1112" s="4">
        <v>199.72154820883199</v>
      </c>
      <c r="O1112" s="11">
        <f t="shared" si="17"/>
        <v>5.1641482935542285E-2</v>
      </c>
      <c r="P1112"/>
      <c r="Q1112" s="11"/>
    </row>
    <row r="1113" spans="1:17" x14ac:dyDescent="0.35">
      <c r="A1113" s="2" t="s">
        <v>27</v>
      </c>
      <c r="O1113" s="11" t="str">
        <f t="shared" si="17"/>
        <v/>
      </c>
      <c r="P1113"/>
      <c r="Q1113" s="11"/>
    </row>
    <row r="1114" spans="1:17" x14ac:dyDescent="0.35">
      <c r="A1114" s="3" t="s">
        <v>30</v>
      </c>
      <c r="B1114" s="4">
        <v>19.829285070836722</v>
      </c>
      <c r="C1114" s="4">
        <v>20.886137454352792</v>
      </c>
      <c r="D1114" s="4">
        <v>22.052698873071741</v>
      </c>
      <c r="E1114" s="4">
        <v>23.291007690781687</v>
      </c>
      <c r="F1114" s="4">
        <v>24.611567749346339</v>
      </c>
      <c r="G1114" s="4">
        <v>26.032842303977382</v>
      </c>
      <c r="H1114" s="4">
        <v>27.581087670217851</v>
      </c>
      <c r="I1114" s="4">
        <v>29.283439671673349</v>
      </c>
      <c r="J1114" s="4">
        <v>31.118137638782944</v>
      </c>
      <c r="K1114" s="4">
        <v>33.097350329153535</v>
      </c>
      <c r="L1114" s="4">
        <v>35.267247470166687</v>
      </c>
      <c r="M1114" s="4">
        <v>37.651257591031808</v>
      </c>
      <c r="N1114" s="4">
        <v>40.276247066031623</v>
      </c>
      <c r="O1114" s="11">
        <f t="shared" si="17"/>
        <v>6.432764835954087E-2</v>
      </c>
      <c r="P1114"/>
      <c r="Q1114" s="11"/>
    </row>
    <row r="1115" spans="1:17" x14ac:dyDescent="0.35">
      <c r="A1115" s="3" t="s">
        <v>32</v>
      </c>
      <c r="B1115" s="4">
        <v>9.4148674112979585</v>
      </c>
      <c r="C1115" s="4">
        <v>9.6967303844816346</v>
      </c>
      <c r="D1115" s="4">
        <v>9.9908744326845991</v>
      </c>
      <c r="E1115" s="4">
        <v>10.297212039471786</v>
      </c>
      <c r="F1115" s="4">
        <v>10.616469165250583</v>
      </c>
      <c r="G1115" s="4">
        <v>10.952506847937588</v>
      </c>
      <c r="H1115" s="4">
        <v>11.311395871040158</v>
      </c>
      <c r="I1115" s="4">
        <v>11.68856609106663</v>
      </c>
      <c r="J1115" s="4">
        <v>12.095757965992814</v>
      </c>
      <c r="K1115" s="4">
        <v>12.536108894581965</v>
      </c>
      <c r="L1115" s="4">
        <v>13.008942423797221</v>
      </c>
      <c r="M1115" s="4">
        <v>13.508404351893972</v>
      </c>
      <c r="N1115" s="4">
        <v>14.050683199360298</v>
      </c>
      <c r="O1115" s="11">
        <f t="shared" si="17"/>
        <v>3.6226856750057899E-2</v>
      </c>
      <c r="P1115"/>
      <c r="Q1115" s="11"/>
    </row>
    <row r="1116" spans="1:17" x14ac:dyDescent="0.35">
      <c r="A1116" s="3" t="s">
        <v>29</v>
      </c>
      <c r="B1116" s="4">
        <v>26.366900628758657</v>
      </c>
      <c r="C1116" s="4">
        <v>27.773359275704401</v>
      </c>
      <c r="D1116" s="4">
        <v>29.262444041723498</v>
      </c>
      <c r="E1116" s="4">
        <v>30.848400050966017</v>
      </c>
      <c r="F1116" s="4">
        <v>32.54843427206454</v>
      </c>
      <c r="G1116" s="4">
        <v>34.365051115060531</v>
      </c>
      <c r="H1116" s="4">
        <v>36.292577425303932</v>
      </c>
      <c r="I1116" s="4">
        <v>38.360748541662161</v>
      </c>
      <c r="J1116" s="4">
        <v>40.606414351660192</v>
      </c>
      <c r="K1116" s="4">
        <v>43.009687297610895</v>
      </c>
      <c r="L1116" s="4">
        <v>45.612261055961397</v>
      </c>
      <c r="M1116" s="4">
        <v>48.419315095623404</v>
      </c>
      <c r="N1116" s="4">
        <v>51.450518732023383</v>
      </c>
      <c r="O1116" s="11">
        <f t="shared" si="17"/>
        <v>5.9348768896682315E-2</v>
      </c>
      <c r="P1116"/>
      <c r="Q1116" s="11"/>
    </row>
    <row r="1117" spans="1:17" x14ac:dyDescent="0.35">
      <c r="A1117" s="3" t="s">
        <v>31</v>
      </c>
      <c r="B1117" s="4">
        <v>16.208650368056958</v>
      </c>
      <c r="C1117" s="4">
        <v>16.953703013531101</v>
      </c>
      <c r="D1117" s="4">
        <v>17.749476723485849</v>
      </c>
      <c r="E1117" s="4">
        <v>18.593890083426679</v>
      </c>
      <c r="F1117" s="4">
        <v>19.485371389719177</v>
      </c>
      <c r="G1117" s="4">
        <v>20.433272840490918</v>
      </c>
      <c r="H1117" s="4">
        <v>21.458630258930992</v>
      </c>
      <c r="I1117" s="4">
        <v>22.555848153014168</v>
      </c>
      <c r="J1117" s="4">
        <v>23.738784154067091</v>
      </c>
      <c r="K1117" s="4">
        <v>25.007963136686342</v>
      </c>
      <c r="L1117" s="4">
        <v>26.362424603393013</v>
      </c>
      <c r="M1117" s="4">
        <v>27.828101470986276</v>
      </c>
      <c r="N1117" s="4">
        <v>29.416849259309757</v>
      </c>
      <c r="O1117" s="11">
        <f t="shared" si="17"/>
        <v>5.3436391686652374E-2</v>
      </c>
      <c r="P1117"/>
      <c r="Q1117" s="11"/>
    </row>
    <row r="1118" spans="1:17" x14ac:dyDescent="0.35">
      <c r="A1118" s="3" t="s">
        <v>28</v>
      </c>
      <c r="B1118" s="4">
        <v>44.933306417254983</v>
      </c>
      <c r="C1118" s="4">
        <v>46.679288809792808</v>
      </c>
      <c r="D1118" s="4">
        <v>48.453610254254102</v>
      </c>
      <c r="E1118" s="4">
        <v>50.323070109903796</v>
      </c>
      <c r="F1118" s="4">
        <v>52.325066818580723</v>
      </c>
      <c r="G1118" s="4">
        <v>54.429984560119209</v>
      </c>
      <c r="H1118" s="4">
        <v>56.567215900547097</v>
      </c>
      <c r="I1118" s="4">
        <v>58.797292972984565</v>
      </c>
      <c r="J1118" s="4">
        <v>61.213782633499946</v>
      </c>
      <c r="K1118" s="4">
        <v>63.724867223931142</v>
      </c>
      <c r="L1118" s="4">
        <v>66.40862835064479</v>
      </c>
      <c r="M1118" s="4">
        <v>69.223569862502046</v>
      </c>
      <c r="N1118" s="4">
        <v>72.158987879203863</v>
      </c>
      <c r="O1118" s="11">
        <f t="shared" si="17"/>
        <v>4.1101745378931187E-2</v>
      </c>
      <c r="P1118"/>
      <c r="Q1118" s="11"/>
    </row>
    <row r="1119" spans="1:17" x14ac:dyDescent="0.35">
      <c r="A1119" s="3" t="s">
        <v>33</v>
      </c>
      <c r="B1119" s="4">
        <v>5.1626602944909816</v>
      </c>
      <c r="C1119" s="4">
        <v>5.3610753890074339</v>
      </c>
      <c r="D1119" s="4">
        <v>5.5784114599366657</v>
      </c>
      <c r="E1119" s="4">
        <v>5.8050510903013688</v>
      </c>
      <c r="F1119" s="4">
        <v>6.0436690035377119</v>
      </c>
      <c r="G1119" s="4">
        <v>6.2976120456309088</v>
      </c>
      <c r="H1119" s="4">
        <v>6.5671638656668492</v>
      </c>
      <c r="I1119" s="4">
        <v>6.8664220796889044</v>
      </c>
      <c r="J1119" s="4">
        <v>7.1849923439750114</v>
      </c>
      <c r="K1119" s="4">
        <v>7.5274750948124174</v>
      </c>
      <c r="L1119" s="4">
        <v>7.8994920478790327</v>
      </c>
      <c r="M1119" s="4">
        <v>8.304319486616432</v>
      </c>
      <c r="N1119" s="4">
        <v>8.7456731516207888</v>
      </c>
      <c r="O1119" s="11">
        <f t="shared" si="17"/>
        <v>4.8030461111846952E-2</v>
      </c>
      <c r="P1119"/>
      <c r="Q1119" s="11"/>
    </row>
    <row r="1120" spans="1:17" x14ac:dyDescent="0.35">
      <c r="A1120" s="2" t="s">
        <v>34</v>
      </c>
      <c r="O1120" s="11" t="str">
        <f t="shared" si="17"/>
        <v/>
      </c>
      <c r="P1120"/>
      <c r="Q1120" s="11"/>
    </row>
    <row r="1121" spans="1:17" x14ac:dyDescent="0.35">
      <c r="A1121" s="3" t="s">
        <v>36</v>
      </c>
      <c r="B1121" s="4">
        <v>43.23100150176473</v>
      </c>
      <c r="C1121" s="4">
        <v>45.294175598756709</v>
      </c>
      <c r="D1121" s="4">
        <v>47.637157855925452</v>
      </c>
      <c r="E1121" s="4">
        <v>50.135474575687439</v>
      </c>
      <c r="F1121" s="4">
        <v>52.820210785135608</v>
      </c>
      <c r="G1121" s="4">
        <v>55.692638593342409</v>
      </c>
      <c r="H1121" s="4">
        <v>58.779181622633509</v>
      </c>
      <c r="I1121" s="4">
        <v>62.142938671445918</v>
      </c>
      <c r="J1121" s="4">
        <v>65.745672241327654</v>
      </c>
      <c r="K1121" s="4">
        <v>69.658605823144455</v>
      </c>
      <c r="L1121" s="4">
        <v>73.859727564225551</v>
      </c>
      <c r="M1121" s="4">
        <v>78.404397975734739</v>
      </c>
      <c r="N1121" s="4">
        <v>83.394741287823109</v>
      </c>
      <c r="O1121" s="11">
        <f t="shared" si="17"/>
        <v>5.9372502249175646E-2</v>
      </c>
      <c r="P1121"/>
      <c r="Q1121" s="11"/>
    </row>
    <row r="1122" spans="1:17" x14ac:dyDescent="0.35">
      <c r="A1122" s="3" t="s">
        <v>37</v>
      </c>
      <c r="B1122" s="4">
        <v>28.806134277810898</v>
      </c>
      <c r="C1122" s="4">
        <v>30.06228895597016</v>
      </c>
      <c r="D1122" s="4">
        <v>31.43655977966166</v>
      </c>
      <c r="E1122" s="4">
        <v>32.876431483043056</v>
      </c>
      <c r="F1122" s="4">
        <v>34.397942617725477</v>
      </c>
      <c r="G1122" s="4">
        <v>36.021267406881321</v>
      </c>
      <c r="H1122" s="4">
        <v>37.7494488532273</v>
      </c>
      <c r="I1122" s="4">
        <v>39.664981859096585</v>
      </c>
      <c r="J1122" s="4">
        <v>41.710499056931937</v>
      </c>
      <c r="K1122" s="4">
        <v>43.914518318348158</v>
      </c>
      <c r="L1122" s="4">
        <v>46.312061477022638</v>
      </c>
      <c r="M1122" s="4">
        <v>48.925068805583543</v>
      </c>
      <c r="N1122" s="4">
        <v>51.778474309947484</v>
      </c>
      <c r="O1122" s="11">
        <f t="shared" si="17"/>
        <v>5.32049565566017E-2</v>
      </c>
      <c r="P1122"/>
      <c r="Q1122" s="11"/>
    </row>
    <row r="1123" spans="1:17" x14ac:dyDescent="0.35">
      <c r="A1123" s="3" t="s">
        <v>35</v>
      </c>
      <c r="B1123" s="4">
        <v>37.295401057856722</v>
      </c>
      <c r="C1123" s="4">
        <v>38.921091034034376</v>
      </c>
      <c r="D1123" s="4">
        <v>40.419701028554769</v>
      </c>
      <c r="E1123" s="4">
        <v>42.001832011694091</v>
      </c>
      <c r="F1123" s="4">
        <v>43.68917351954974</v>
      </c>
      <c r="G1123" s="4">
        <v>45.461770422393883</v>
      </c>
      <c r="H1123" s="4">
        <v>47.252514042455147</v>
      </c>
      <c r="I1123" s="4">
        <v>49.042404800817621</v>
      </c>
      <c r="J1123" s="4">
        <v>51.041634679956644</v>
      </c>
      <c r="K1123" s="4">
        <v>53.059984057650979</v>
      </c>
      <c r="L1123" s="4">
        <v>55.256247664390628</v>
      </c>
      <c r="M1123" s="4">
        <v>57.54591566489151</v>
      </c>
      <c r="N1123" s="4">
        <v>59.86248119878698</v>
      </c>
      <c r="O1123" s="11">
        <f t="shared" si="17"/>
        <v>4.009407927306028E-2</v>
      </c>
      <c r="P1123"/>
      <c r="Q1123" s="11"/>
    </row>
    <row r="1124" spans="1:17" x14ac:dyDescent="0.35">
      <c r="A1124" s="3" t="s">
        <v>38</v>
      </c>
      <c r="B1124" s="4">
        <v>12.583133353263888</v>
      </c>
      <c r="C1124" s="4">
        <v>13.072738738108931</v>
      </c>
      <c r="D1124" s="4">
        <v>13.594097121014574</v>
      </c>
      <c r="E1124" s="4">
        <v>14.144892994426748</v>
      </c>
      <c r="F1124" s="4">
        <v>14.723251476088254</v>
      </c>
      <c r="G1124" s="4">
        <v>15.335593290598919</v>
      </c>
      <c r="H1124" s="4">
        <v>15.996926473390946</v>
      </c>
      <c r="I1124" s="4">
        <v>16.701992178729647</v>
      </c>
      <c r="J1124" s="4">
        <v>17.460063109761769</v>
      </c>
      <c r="K1124" s="4">
        <v>18.270343777632696</v>
      </c>
      <c r="L1124" s="4">
        <v>19.130959246203325</v>
      </c>
      <c r="M1124" s="4">
        <v>20.05958541244415</v>
      </c>
      <c r="N1124" s="4">
        <v>21.063262490992141</v>
      </c>
      <c r="O1124" s="11">
        <f t="shared" si="17"/>
        <v>4.6379671831861452E-2</v>
      </c>
      <c r="P1124"/>
      <c r="Q1124" s="11"/>
    </row>
    <row r="1125" spans="1:17" x14ac:dyDescent="0.35">
      <c r="A1125" s="2" t="s">
        <v>22</v>
      </c>
      <c r="O1125" s="11" t="str">
        <f t="shared" si="17"/>
        <v/>
      </c>
      <c r="P1125"/>
      <c r="Q1125" s="11"/>
    </row>
    <row r="1126" spans="1:17" x14ac:dyDescent="0.35">
      <c r="A1126" s="3" t="s">
        <v>39</v>
      </c>
      <c r="B1126" s="4">
        <v>29.109880812718401</v>
      </c>
      <c r="C1126" s="4">
        <v>30.715568089755138</v>
      </c>
      <c r="D1126" s="4">
        <v>32.2951341883483</v>
      </c>
      <c r="E1126" s="4">
        <v>33.974225872266857</v>
      </c>
      <c r="F1126" s="4">
        <v>35.79599617035106</v>
      </c>
      <c r="G1126" s="4">
        <v>37.707715248768721</v>
      </c>
      <c r="H1126" s="4">
        <v>39.640260852525117</v>
      </c>
      <c r="I1126" s="4">
        <v>41.681852443384884</v>
      </c>
      <c r="J1126" s="4">
        <v>43.900120431030615</v>
      </c>
      <c r="K1126" s="4">
        <v>46.192395975878128</v>
      </c>
      <c r="L1126" s="4">
        <v>48.649616191747867</v>
      </c>
      <c r="M1126" s="4">
        <v>51.268806052037831</v>
      </c>
      <c r="N1126" s="4">
        <v>53.971912227812737</v>
      </c>
      <c r="O1126" s="11">
        <f t="shared" si="17"/>
        <v>5.2563308166156814E-2</v>
      </c>
      <c r="P1126"/>
      <c r="Q1126" s="11"/>
    </row>
    <row r="1127" spans="1:17" x14ac:dyDescent="0.35">
      <c r="A1127" s="3" t="s">
        <v>41</v>
      </c>
      <c r="B1127" s="4">
        <v>24.809897757134568</v>
      </c>
      <c r="C1127" s="4">
        <v>25.524722136025026</v>
      </c>
      <c r="D1127" s="4">
        <v>26.325378897484619</v>
      </c>
      <c r="E1127" s="4">
        <v>27.159018569819697</v>
      </c>
      <c r="F1127" s="4">
        <v>28.033886341711071</v>
      </c>
      <c r="G1127" s="4">
        <v>28.966370335778091</v>
      </c>
      <c r="H1127" s="4">
        <v>29.979825014532341</v>
      </c>
      <c r="I1127" s="4">
        <v>31.096160523399281</v>
      </c>
      <c r="J1127" s="4">
        <v>32.283026358982319</v>
      </c>
      <c r="K1127" s="4">
        <v>33.545863999513003</v>
      </c>
      <c r="L1127" s="4">
        <v>34.923779288475231</v>
      </c>
      <c r="M1127" s="4">
        <v>36.429445693670729</v>
      </c>
      <c r="N1127" s="4">
        <v>38.077259478902704</v>
      </c>
      <c r="O1127" s="11">
        <f t="shared" si="17"/>
        <v>3.9842041094219585E-2</v>
      </c>
      <c r="P1127"/>
      <c r="Q1127" s="11"/>
    </row>
    <row r="1128" spans="1:17" x14ac:dyDescent="0.35">
      <c r="A1128" s="3" t="s">
        <v>40</v>
      </c>
      <c r="B1128" s="4">
        <v>31.947103866672862</v>
      </c>
      <c r="C1128" s="4">
        <v>33.134047194901463</v>
      </c>
      <c r="D1128" s="4">
        <v>34.44580093304473</v>
      </c>
      <c r="E1128" s="4">
        <v>35.835688210086801</v>
      </c>
      <c r="F1128" s="4">
        <v>37.310554185695459</v>
      </c>
      <c r="G1128" s="4">
        <v>38.89232355076475</v>
      </c>
      <c r="H1128" s="4">
        <v>40.570612114287329</v>
      </c>
      <c r="I1128" s="4">
        <v>42.36708489347695</v>
      </c>
      <c r="J1128" s="4">
        <v>44.309084181712478</v>
      </c>
      <c r="K1128" s="4">
        <v>46.375644792307334</v>
      </c>
      <c r="L1128" s="4">
        <v>48.595800095056681</v>
      </c>
      <c r="M1128" s="4">
        <v>50.984007995609964</v>
      </c>
      <c r="N1128" s="4">
        <v>53.579049961907032</v>
      </c>
      <c r="O1128" s="11">
        <f t="shared" si="17"/>
        <v>4.6829310501813499E-2</v>
      </c>
      <c r="P1128"/>
      <c r="Q1128" s="11"/>
    </row>
    <row r="1129" spans="1:17" x14ac:dyDescent="0.35">
      <c r="A1129" s="3" t="s">
        <v>42</v>
      </c>
      <c r="B1129" s="4">
        <v>36.048787754170412</v>
      </c>
      <c r="C1129" s="4">
        <v>37.975956906188564</v>
      </c>
      <c r="D1129" s="4">
        <v>40.021201766278807</v>
      </c>
      <c r="E1129" s="4">
        <v>42.189698412677991</v>
      </c>
      <c r="F1129" s="4">
        <v>44.490141700741468</v>
      </c>
      <c r="G1129" s="4">
        <v>46.944860577904969</v>
      </c>
      <c r="H1129" s="4">
        <v>49.587373010362114</v>
      </c>
      <c r="I1129" s="4">
        <v>52.407219649828662</v>
      </c>
      <c r="J1129" s="4">
        <v>55.465638116252599</v>
      </c>
      <c r="K1129" s="4">
        <v>58.789547209077838</v>
      </c>
      <c r="L1129" s="4">
        <v>62.389800376562356</v>
      </c>
      <c r="M1129" s="4">
        <v>66.252708117335416</v>
      </c>
      <c r="N1129" s="4">
        <v>70.470737618927231</v>
      </c>
      <c r="O1129" s="11">
        <f t="shared" si="17"/>
        <v>5.9748879975260759E-2</v>
      </c>
      <c r="P1129"/>
      <c r="Q1129" s="11"/>
    </row>
    <row r="1130" spans="1:17" x14ac:dyDescent="0.35">
      <c r="A1130" s="1" t="s">
        <v>93</v>
      </c>
      <c r="O1130" s="11" t="str">
        <f t="shared" si="17"/>
        <v/>
      </c>
      <c r="P1130"/>
      <c r="Q1130" s="11"/>
    </row>
    <row r="1131" spans="1:17" x14ac:dyDescent="0.35">
      <c r="A1131" s="2" t="s">
        <v>24</v>
      </c>
      <c r="O1131" s="11" t="str">
        <f t="shared" si="17"/>
        <v/>
      </c>
      <c r="P1131"/>
      <c r="Q1131" s="11"/>
    </row>
    <row r="1132" spans="1:17" x14ac:dyDescent="0.35">
      <c r="A1132" s="3" t="s">
        <v>25</v>
      </c>
      <c r="B1132" s="4">
        <v>6.4356004657078421</v>
      </c>
      <c r="C1132" s="4">
        <v>6.6320618407140941</v>
      </c>
      <c r="D1132" s="4">
        <v>6.8363361950913024</v>
      </c>
      <c r="E1132" s="4">
        <v>7.0508817089648259</v>
      </c>
      <c r="F1132" s="4">
        <v>7.2785883024765212</v>
      </c>
      <c r="G1132" s="4">
        <v>7.5187684606470286</v>
      </c>
      <c r="H1132" s="4">
        <v>7.7689568276766963</v>
      </c>
      <c r="I1132" s="4">
        <v>8.0344338615282656</v>
      </c>
      <c r="J1132" s="4">
        <v>8.3214734280006013</v>
      </c>
      <c r="K1132" s="4">
        <v>8.6241255599915636</v>
      </c>
      <c r="L1132" s="4">
        <v>8.949227423825187</v>
      </c>
      <c r="M1132" s="4">
        <v>9.2958051203209564</v>
      </c>
      <c r="N1132" s="4">
        <v>9.6656726002783859</v>
      </c>
      <c r="O1132" s="11">
        <f t="shared" si="17"/>
        <v>3.6534171791849278E-2</v>
      </c>
      <c r="P1132"/>
      <c r="Q1132" s="11"/>
    </row>
    <row r="1133" spans="1:17" x14ac:dyDescent="0.35">
      <c r="A1133" s="3" t="s">
        <v>26</v>
      </c>
      <c r="B1133" s="4">
        <v>66.295952310833329</v>
      </c>
      <c r="C1133" s="4">
        <v>68.290418699348052</v>
      </c>
      <c r="D1133" s="4">
        <v>70.45021350941191</v>
      </c>
      <c r="E1133" s="4">
        <v>72.813543035064285</v>
      </c>
      <c r="F1133" s="4">
        <v>75.338759058210442</v>
      </c>
      <c r="G1133" s="4">
        <v>78.155736500451013</v>
      </c>
      <c r="H1133" s="4">
        <v>81.120321146296703</v>
      </c>
      <c r="I1133" s="4">
        <v>84.407514681623269</v>
      </c>
      <c r="J1133" s="4">
        <v>87.964435547629606</v>
      </c>
      <c r="K1133" s="4">
        <v>91.817830891332434</v>
      </c>
      <c r="L1133" s="4">
        <v>96.051275651381644</v>
      </c>
      <c r="M1133" s="4">
        <v>100.70987119864041</v>
      </c>
      <c r="N1133" s="4">
        <v>105.78165168947135</v>
      </c>
      <c r="O1133" s="11">
        <f t="shared" si="17"/>
        <v>4.4187518617268093E-2</v>
      </c>
      <c r="P1133"/>
      <c r="Q1133" s="11"/>
    </row>
    <row r="1134" spans="1:17" x14ac:dyDescent="0.35">
      <c r="A1134" s="2" t="s">
        <v>27</v>
      </c>
      <c r="O1134" s="11" t="str">
        <f t="shared" si="17"/>
        <v/>
      </c>
      <c r="P1134"/>
      <c r="Q1134" s="11"/>
    </row>
    <row r="1135" spans="1:17" x14ac:dyDescent="0.35">
      <c r="A1135" s="3" t="s">
        <v>30</v>
      </c>
      <c r="B1135" s="4">
        <v>11.313920864344375</v>
      </c>
      <c r="C1135" s="4">
        <v>11.849964804468057</v>
      </c>
      <c r="D1135" s="4">
        <v>12.436372949372597</v>
      </c>
      <c r="E1135" s="4">
        <v>13.052898836783344</v>
      </c>
      <c r="F1135" s="4">
        <v>13.706217927137967</v>
      </c>
      <c r="G1135" s="4">
        <v>14.404747807845624</v>
      </c>
      <c r="H1135" s="4">
        <v>15.150174096000404</v>
      </c>
      <c r="I1135" s="4">
        <v>15.976090262139261</v>
      </c>
      <c r="J1135" s="4">
        <v>16.860235948462911</v>
      </c>
      <c r="K1135" s="4">
        <v>17.814741618870585</v>
      </c>
      <c r="L1135" s="4">
        <v>18.854546025101989</v>
      </c>
      <c r="M1135" s="4">
        <v>19.98947091562972</v>
      </c>
      <c r="N1135" s="4">
        <v>21.230695260811849</v>
      </c>
      <c r="O1135" s="11">
        <f t="shared" si="17"/>
        <v>5.6976929690251782E-2</v>
      </c>
      <c r="P1135"/>
      <c r="Q1135" s="11"/>
    </row>
    <row r="1136" spans="1:17" x14ac:dyDescent="0.35">
      <c r="A1136" s="3" t="s">
        <v>32</v>
      </c>
      <c r="B1136" s="4">
        <v>5.9304511455134836</v>
      </c>
      <c r="C1136" s="4">
        <v>6.0660761215050165</v>
      </c>
      <c r="D1136" s="4">
        <v>6.2064633467663075</v>
      </c>
      <c r="E1136" s="4">
        <v>6.3537122158374348</v>
      </c>
      <c r="F1136" s="4">
        <v>6.5102469720221334</v>
      </c>
      <c r="G1136" s="4">
        <v>6.6752176081142283</v>
      </c>
      <c r="H1136" s="4">
        <v>6.8462176621279376</v>
      </c>
      <c r="I1136" s="4">
        <v>7.0277347690304675</v>
      </c>
      <c r="J1136" s="4">
        <v>7.2249902366909504</v>
      </c>
      <c r="K1136" s="4">
        <v>7.4324340742754256</v>
      </c>
      <c r="L1136" s="4">
        <v>7.6556951998571421</v>
      </c>
      <c r="M1136" s="4">
        <v>7.8935506015147734</v>
      </c>
      <c r="N1136" s="4">
        <v>8.1471752394931425</v>
      </c>
      <c r="O1136" s="11">
        <f t="shared" si="17"/>
        <v>2.8876125942178997E-2</v>
      </c>
      <c r="P1136"/>
      <c r="Q1136" s="11"/>
    </row>
    <row r="1137" spans="1:17" x14ac:dyDescent="0.35">
      <c r="A1137" s="3" t="s">
        <v>29</v>
      </c>
      <c r="B1137" s="4">
        <v>14.762727282810447</v>
      </c>
      <c r="C1137" s="4">
        <v>15.367526397732572</v>
      </c>
      <c r="D1137" s="4">
        <v>16.03637967502587</v>
      </c>
      <c r="E1137" s="4">
        <v>16.739136865697791</v>
      </c>
      <c r="F1137" s="4">
        <v>17.481830701521364</v>
      </c>
      <c r="G1137" s="4">
        <v>18.275832018917111</v>
      </c>
      <c r="H1137" s="4">
        <v>19.137413242771093</v>
      </c>
      <c r="I1137" s="4">
        <v>20.082651040996062</v>
      </c>
      <c r="J1137" s="4">
        <v>21.093280649152753</v>
      </c>
      <c r="K1137" s="4">
        <v>22.174809340226581</v>
      </c>
      <c r="L1137" s="4">
        <v>23.35520724683159</v>
      </c>
      <c r="M1137" s="4">
        <v>24.646022550587453</v>
      </c>
      <c r="N1137" s="4">
        <v>26.060431501842547</v>
      </c>
      <c r="O1137" s="11">
        <f t="shared" si="17"/>
        <v>5.1998015788858647E-2</v>
      </c>
      <c r="P1137"/>
      <c r="Q1137" s="11"/>
    </row>
    <row r="1138" spans="1:17" x14ac:dyDescent="0.35">
      <c r="A1138" s="3" t="s">
        <v>31</v>
      </c>
      <c r="B1138" s="4">
        <v>9.728325239005768</v>
      </c>
      <c r="C1138" s="4">
        <v>10.107262327432034</v>
      </c>
      <c r="D1138" s="4">
        <v>10.525297016552603</v>
      </c>
      <c r="E1138" s="4">
        <v>10.966671268204173</v>
      </c>
      <c r="F1138" s="4">
        <v>11.434240874719075</v>
      </c>
      <c r="G1138" s="4">
        <v>11.927521988638686</v>
      </c>
      <c r="H1138" s="4">
        <v>12.445887989730979</v>
      </c>
      <c r="I1138" s="4">
        <v>12.99310732972461</v>
      </c>
      <c r="J1138" s="4">
        <v>13.577994485313814</v>
      </c>
      <c r="K1138" s="4">
        <v>14.207800511207441</v>
      </c>
      <c r="L1138" s="4">
        <v>14.878964177054046</v>
      </c>
      <c r="M1138" s="4">
        <v>15.59052519999142</v>
      </c>
      <c r="N1138" s="4">
        <v>16.350121633782667</v>
      </c>
      <c r="O1138" s="11">
        <f t="shared" si="17"/>
        <v>4.608566721573891E-2</v>
      </c>
      <c r="P1138"/>
      <c r="Q1138" s="11"/>
    </row>
    <row r="1139" spans="1:17" x14ac:dyDescent="0.35">
      <c r="A1139" s="3" t="s">
        <v>28</v>
      </c>
      <c r="B1139" s="4">
        <v>26.891442393833742</v>
      </c>
      <c r="C1139" s="4">
        <v>27.284643898153725</v>
      </c>
      <c r="D1139" s="4">
        <v>27.68661127565727</v>
      </c>
      <c r="E1139" s="4">
        <v>28.200416454243168</v>
      </c>
      <c r="F1139" s="4">
        <v>28.767360350991204</v>
      </c>
      <c r="G1139" s="4">
        <v>29.498511223572571</v>
      </c>
      <c r="H1139" s="4">
        <v>30.233823150013876</v>
      </c>
      <c r="I1139" s="4">
        <v>31.092114923627754</v>
      </c>
      <c r="J1139" s="4">
        <v>32.049023401125439</v>
      </c>
      <c r="K1139" s="4">
        <v>33.109745686272547</v>
      </c>
      <c r="L1139" s="4">
        <v>34.315062289517613</v>
      </c>
      <c r="M1139" s="4">
        <v>35.690371150915979</v>
      </c>
      <c r="N1139" s="4">
        <v>37.190959990490796</v>
      </c>
      <c r="O1139" s="11">
        <f t="shared" si="17"/>
        <v>3.3657727779356918E-2</v>
      </c>
      <c r="P1139"/>
      <c r="Q1139" s="11"/>
    </row>
    <row r="1140" spans="1:17" x14ac:dyDescent="0.35">
      <c r="A1140" s="3" t="s">
        <v>33</v>
      </c>
      <c r="B1140" s="4">
        <v>4.1046858510333495</v>
      </c>
      <c r="C1140" s="4">
        <v>4.2470069907707328</v>
      </c>
      <c r="D1140" s="4">
        <v>4.3954254411285731</v>
      </c>
      <c r="E1140" s="4">
        <v>4.5515891032631979</v>
      </c>
      <c r="F1140" s="4">
        <v>4.7174505342952253</v>
      </c>
      <c r="G1140" s="4">
        <v>4.8926743140098079</v>
      </c>
      <c r="H1140" s="4">
        <v>5.0757618333291283</v>
      </c>
      <c r="I1140" s="4">
        <v>5.2702502176333885</v>
      </c>
      <c r="J1140" s="4">
        <v>5.4803842548843482</v>
      </c>
      <c r="K1140" s="4">
        <v>5.702425220471417</v>
      </c>
      <c r="L1140" s="4">
        <v>5.9410281368444666</v>
      </c>
      <c r="M1140" s="4">
        <v>6.1957359003220285</v>
      </c>
      <c r="N1140" s="4">
        <v>6.4679406633287346</v>
      </c>
      <c r="O1140" s="11">
        <f t="shared" si="17"/>
        <v>4.0679747236005134E-2</v>
      </c>
      <c r="P1140"/>
      <c r="Q1140" s="11"/>
    </row>
    <row r="1141" spans="1:17" x14ac:dyDescent="0.35">
      <c r="A1141" s="2" t="s">
        <v>34</v>
      </c>
      <c r="O1141" s="11" t="str">
        <f t="shared" si="17"/>
        <v/>
      </c>
      <c r="P1141"/>
      <c r="Q1141" s="11"/>
    </row>
    <row r="1142" spans="1:17" x14ac:dyDescent="0.35">
      <c r="A1142" s="3" t="s">
        <v>36</v>
      </c>
      <c r="B1142" s="4">
        <v>25.023340625580879</v>
      </c>
      <c r="C1142" s="4">
        <v>26.033184356335706</v>
      </c>
      <c r="D1142" s="4">
        <v>27.188010530941856</v>
      </c>
      <c r="E1142" s="4">
        <v>28.413547246903008</v>
      </c>
      <c r="F1142" s="4">
        <v>29.725721580375168</v>
      </c>
      <c r="G1142" s="4">
        <v>31.123213547957008</v>
      </c>
      <c r="H1142" s="4">
        <v>32.618767491429928</v>
      </c>
      <c r="I1142" s="4">
        <v>34.245096001344486</v>
      </c>
      <c r="J1142" s="4">
        <v>35.978124129558438</v>
      </c>
      <c r="K1142" s="4">
        <v>37.85430687626291</v>
      </c>
      <c r="L1142" s="4">
        <v>39.858382838049657</v>
      </c>
      <c r="M1142" s="4">
        <v>42.017222950412986</v>
      </c>
      <c r="N1142" s="4">
        <v>44.381970248378835</v>
      </c>
      <c r="O1142" s="11">
        <f t="shared" si="17"/>
        <v>5.2004141009385579E-2</v>
      </c>
      <c r="P1142"/>
      <c r="Q1142" s="11"/>
    </row>
    <row r="1143" spans="1:17" x14ac:dyDescent="0.35">
      <c r="A1143" s="3" t="s">
        <v>37</v>
      </c>
      <c r="B1143" s="4">
        <v>16.24581566704267</v>
      </c>
      <c r="C1143" s="4">
        <v>16.874575303754</v>
      </c>
      <c r="D1143" s="4">
        <v>17.568302015748976</v>
      </c>
      <c r="E1143" s="4">
        <v>18.300646251152418</v>
      </c>
      <c r="F1143" s="4">
        <v>19.076345505582619</v>
      </c>
      <c r="G1143" s="4">
        <v>19.89456102813547</v>
      </c>
      <c r="H1143" s="4">
        <v>20.754216705994946</v>
      </c>
      <c r="I1143" s="4">
        <v>21.661566455301156</v>
      </c>
      <c r="J1143" s="4">
        <v>22.631270716318642</v>
      </c>
      <c r="K1143" s="4">
        <v>23.675370068758362</v>
      </c>
      <c r="L1143" s="4">
        <v>24.78787639410745</v>
      </c>
      <c r="M1143" s="4">
        <v>25.967140335929873</v>
      </c>
      <c r="N1143" s="4">
        <v>27.225835211314187</v>
      </c>
      <c r="O1143" s="11">
        <f t="shared" si="17"/>
        <v>4.5836598841012301E-2</v>
      </c>
      <c r="P1143"/>
      <c r="Q1143" s="11"/>
    </row>
    <row r="1144" spans="1:17" x14ac:dyDescent="0.35">
      <c r="A1144" s="3" t="s">
        <v>35</v>
      </c>
      <c r="B1144" s="4">
        <v>24.31170532690318</v>
      </c>
      <c r="C1144" s="4">
        <v>24.685920488809032</v>
      </c>
      <c r="D1144" s="4">
        <v>25.007587767486257</v>
      </c>
      <c r="E1144" s="4">
        <v>25.414165922871298</v>
      </c>
      <c r="F1144" s="4">
        <v>25.850967989158953</v>
      </c>
      <c r="G1144" s="4">
        <v>26.435851748896901</v>
      </c>
      <c r="H1144" s="4">
        <v>27.026136571484145</v>
      </c>
      <c r="I1144" s="4">
        <v>27.745034672562227</v>
      </c>
      <c r="J1144" s="4">
        <v>28.56134382823717</v>
      </c>
      <c r="K1144" s="4">
        <v>29.444990394137264</v>
      </c>
      <c r="L1144" s="4">
        <v>30.499452064350976</v>
      </c>
      <c r="M1144" s="4">
        <v>31.7395641725617</v>
      </c>
      <c r="N1144" s="4">
        <v>33.093199426998211</v>
      </c>
      <c r="O1144" s="11">
        <f t="shared" si="17"/>
        <v>3.2606998394249548E-2</v>
      </c>
      <c r="P1144"/>
      <c r="Q1144" s="11"/>
    </row>
    <row r="1145" spans="1:17" x14ac:dyDescent="0.35">
      <c r="A1145" s="3" t="s">
        <v>38</v>
      </c>
      <c r="B1145" s="4">
        <v>7.1506911570144345</v>
      </c>
      <c r="C1145" s="4">
        <v>7.3288003911634005</v>
      </c>
      <c r="D1145" s="4">
        <v>7.5226493903261229</v>
      </c>
      <c r="E1145" s="4">
        <v>7.7360653231023848</v>
      </c>
      <c r="F1145" s="4">
        <v>7.9643122855702222</v>
      </c>
      <c r="G1145" s="4">
        <v>8.2208786361086599</v>
      </c>
      <c r="H1145" s="4">
        <v>8.4901572050643956</v>
      </c>
      <c r="I1145" s="4">
        <v>8.7902514139436718</v>
      </c>
      <c r="J1145" s="4">
        <v>9.1151703015159669</v>
      </c>
      <c r="K1145" s="4">
        <v>9.4672891121654743</v>
      </c>
      <c r="L1145" s="4">
        <v>9.8547917786987593</v>
      </c>
      <c r="M1145" s="4">
        <v>10.281748860056815</v>
      </c>
      <c r="N1145" s="4">
        <v>10.7463194030585</v>
      </c>
      <c r="O1145" s="11">
        <f t="shared" si="17"/>
        <v>3.9011167324648176E-2</v>
      </c>
      <c r="P1145"/>
      <c r="Q1145" s="11"/>
    </row>
    <row r="1146" spans="1:17" x14ac:dyDescent="0.35">
      <c r="A1146" s="2" t="s">
        <v>22</v>
      </c>
      <c r="O1146" s="11" t="str">
        <f t="shared" si="17"/>
        <v/>
      </c>
      <c r="P1146"/>
      <c r="Q1146" s="11"/>
    </row>
    <row r="1147" spans="1:17" x14ac:dyDescent="0.35">
      <c r="A1147" s="3" t="s">
        <v>39</v>
      </c>
      <c r="B1147" s="4">
        <v>18.982264003763461</v>
      </c>
      <c r="C1147" s="4">
        <v>19.462362920831801</v>
      </c>
      <c r="D1147" s="4">
        <v>19.950768107283324</v>
      </c>
      <c r="E1147" s="4">
        <v>20.534479716738716</v>
      </c>
      <c r="F1147" s="4">
        <v>21.174826128544069</v>
      </c>
      <c r="G1147" s="4">
        <v>21.94811418665617</v>
      </c>
      <c r="H1147" s="4">
        <v>22.754903025181363</v>
      </c>
      <c r="I1147" s="4">
        <v>23.664472972778526</v>
      </c>
      <c r="J1147" s="4">
        <v>24.673018515178882</v>
      </c>
      <c r="K1147" s="4">
        <v>25.768058933314208</v>
      </c>
      <c r="L1147" s="4">
        <v>26.998363855062109</v>
      </c>
      <c r="M1147" s="4">
        <v>28.383574306412214</v>
      </c>
      <c r="N1147" s="4">
        <v>29.896305627286935</v>
      </c>
      <c r="O1147" s="11">
        <f t="shared" si="17"/>
        <v>4.5139665444128653E-2</v>
      </c>
      <c r="P1147"/>
      <c r="Q1147" s="11"/>
    </row>
    <row r="1148" spans="1:17" x14ac:dyDescent="0.35">
      <c r="A1148" s="3" t="s">
        <v>41</v>
      </c>
      <c r="B1148" s="4">
        <v>13.936919846453254</v>
      </c>
      <c r="C1148" s="4">
        <v>14.288045697721468</v>
      </c>
      <c r="D1148" s="4">
        <v>14.682421963413507</v>
      </c>
      <c r="E1148" s="4">
        <v>15.096122881809285</v>
      </c>
      <c r="F1148" s="4">
        <v>15.532061303809149</v>
      </c>
      <c r="G1148" s="4">
        <v>15.988435149950323</v>
      </c>
      <c r="H1148" s="4">
        <v>16.463318153610011</v>
      </c>
      <c r="I1148" s="4">
        <v>16.960673064568983</v>
      </c>
      <c r="J1148" s="4">
        <v>17.490815998567268</v>
      </c>
      <c r="K1148" s="4">
        <v>18.061476944001832</v>
      </c>
      <c r="L1148" s="4">
        <v>18.666195010138075</v>
      </c>
      <c r="M1148" s="4">
        <v>19.302064367253145</v>
      </c>
      <c r="N1148" s="4">
        <v>19.976935394151756</v>
      </c>
      <c r="O1148" s="11">
        <f t="shared" si="17"/>
        <v>3.2327645746195406E-2</v>
      </c>
      <c r="P1148"/>
      <c r="Q1148" s="11"/>
    </row>
    <row r="1149" spans="1:17" x14ac:dyDescent="0.35">
      <c r="A1149" s="3" t="s">
        <v>40</v>
      </c>
      <c r="B1149" s="4">
        <v>18.824027303238644</v>
      </c>
      <c r="C1149" s="4">
        <v>19.383423372687314</v>
      </c>
      <c r="D1149" s="4">
        <v>20.000282363422617</v>
      </c>
      <c r="E1149" s="4">
        <v>20.638539259232296</v>
      </c>
      <c r="F1149" s="4">
        <v>21.307013884321169</v>
      </c>
      <c r="G1149" s="4">
        <v>22.016589286594705</v>
      </c>
      <c r="H1149" s="4">
        <v>22.767060703654437</v>
      </c>
      <c r="I1149" s="4">
        <v>23.606101417511006</v>
      </c>
      <c r="J1149" s="4">
        <v>24.495574296923252</v>
      </c>
      <c r="K1149" s="4">
        <v>25.449696788883717</v>
      </c>
      <c r="L1149" s="4">
        <v>26.485642482534288</v>
      </c>
      <c r="M1149" s="4">
        <v>27.612121394037246</v>
      </c>
      <c r="N1149" s="4">
        <v>28.838980085251595</v>
      </c>
      <c r="O1149" s="11">
        <f t="shared" si="17"/>
        <v>3.9314825309869461E-2</v>
      </c>
      <c r="P1149"/>
      <c r="Q1149" s="11"/>
    </row>
    <row r="1150" spans="1:17" x14ac:dyDescent="0.35">
      <c r="A1150" s="3" t="s">
        <v>42</v>
      </c>
      <c r="B1150" s="4">
        <v>20.988341623085802</v>
      </c>
      <c r="C1150" s="4">
        <v>21.788648548821556</v>
      </c>
      <c r="D1150" s="4">
        <v>22.653077270383772</v>
      </c>
      <c r="E1150" s="4">
        <v>23.59528288624881</v>
      </c>
      <c r="F1150" s="4">
        <v>24.603446044012578</v>
      </c>
      <c r="G1150" s="4">
        <v>25.721366337896839</v>
      </c>
      <c r="H1150" s="4">
        <v>26.903996091527596</v>
      </c>
      <c r="I1150" s="4">
        <v>28.210701088293028</v>
      </c>
      <c r="J1150" s="4">
        <v>29.62650016496081</v>
      </c>
      <c r="K1150" s="4">
        <v>31.162723785124243</v>
      </c>
      <c r="L1150" s="4">
        <v>32.850301727472363</v>
      </c>
      <c r="M1150" s="4">
        <v>34.70791625125878</v>
      </c>
      <c r="N1150" s="4">
        <v>36.735103183059444</v>
      </c>
      <c r="O1150" s="11">
        <f t="shared" si="17"/>
        <v>5.2234316440096205E-2</v>
      </c>
      <c r="P1150"/>
      <c r="Q1150" s="11"/>
    </row>
    <row r="1151" spans="1:17" x14ac:dyDescent="0.35">
      <c r="A1151" s="1" t="s">
        <v>94</v>
      </c>
      <c r="O1151" s="11" t="str">
        <f t="shared" si="17"/>
        <v/>
      </c>
      <c r="P1151"/>
      <c r="Q1151" s="11"/>
    </row>
    <row r="1152" spans="1:17" x14ac:dyDescent="0.35">
      <c r="A1152" s="2" t="s">
        <v>24</v>
      </c>
      <c r="O1152" s="11" t="str">
        <f t="shared" si="17"/>
        <v/>
      </c>
      <c r="P1152"/>
      <c r="Q1152" s="11"/>
    </row>
    <row r="1153" spans="1:17" x14ac:dyDescent="0.35">
      <c r="A1153" s="3" t="s">
        <v>25</v>
      </c>
      <c r="B1153" s="4">
        <v>19.467838047229471</v>
      </c>
      <c r="C1153" s="4">
        <v>20.12519829405257</v>
      </c>
      <c r="D1153" s="4">
        <v>20.835794964686801</v>
      </c>
      <c r="E1153" s="4">
        <v>21.611475827425327</v>
      </c>
      <c r="F1153" s="4">
        <v>22.440551895990257</v>
      </c>
      <c r="G1153" s="4">
        <v>23.362252703656132</v>
      </c>
      <c r="H1153" s="4">
        <v>24.334448274696282</v>
      </c>
      <c r="I1153" s="4">
        <v>25.410143564916581</v>
      </c>
      <c r="J1153" s="4">
        <v>26.574488387349369</v>
      </c>
      <c r="K1153" s="4">
        <v>27.836470325121418</v>
      </c>
      <c r="L1153" s="4">
        <v>29.222425588822446</v>
      </c>
      <c r="M1153" s="4">
        <v>30.747348758702049</v>
      </c>
      <c r="N1153" s="4">
        <v>32.409012340480011</v>
      </c>
      <c r="O1153" s="11">
        <f t="shared" si="17"/>
        <v>4.7869734804048394E-2</v>
      </c>
      <c r="P1153"/>
      <c r="Q1153" s="11"/>
    </row>
    <row r="1154" spans="1:17" x14ac:dyDescent="0.35">
      <c r="A1154" s="3" t="s">
        <v>26</v>
      </c>
      <c r="B1154" s="4">
        <v>187.11717296660771</v>
      </c>
      <c r="C1154" s="4">
        <v>196.17168934869224</v>
      </c>
      <c r="D1154" s="4">
        <v>206.13671136939379</v>
      </c>
      <c r="E1154" s="4">
        <v>216.72641412629355</v>
      </c>
      <c r="F1154" s="4">
        <v>228.012036228901</v>
      </c>
      <c r="G1154" s="4">
        <v>240.0005248734856</v>
      </c>
      <c r="H1154" s="4">
        <v>252.69589849589352</v>
      </c>
      <c r="I1154" s="4">
        <v>266.19124954848036</v>
      </c>
      <c r="J1154" s="4">
        <v>280.68610988263947</v>
      </c>
      <c r="K1154" s="4">
        <v>296.35455233943458</v>
      </c>
      <c r="L1154" s="4">
        <v>313.1509549850681</v>
      </c>
      <c r="M1154" s="4">
        <v>331.08226326335409</v>
      </c>
      <c r="N1154" s="4">
        <v>350.33777234973059</v>
      </c>
      <c r="O1154" s="11">
        <f t="shared" si="17"/>
        <v>5.5523300346052108E-2</v>
      </c>
      <c r="P1154"/>
      <c r="Q1154" s="11"/>
    </row>
    <row r="1155" spans="1:17" x14ac:dyDescent="0.35">
      <c r="A1155" s="2" t="s">
        <v>27</v>
      </c>
      <c r="O1155" s="11" t="str">
        <f t="shared" si="17"/>
        <v/>
      </c>
      <c r="P1155"/>
      <c r="Q1155" s="11"/>
    </row>
    <row r="1156" spans="1:17" x14ac:dyDescent="0.35">
      <c r="A1156" s="3" t="s">
        <v>30</v>
      </c>
      <c r="B1156" s="4">
        <v>32.617716853357869</v>
      </c>
      <c r="C1156" s="4">
        <v>34.609710034321743</v>
      </c>
      <c r="D1156" s="4">
        <v>36.806692713046736</v>
      </c>
      <c r="E1156" s="4">
        <v>39.164292909920867</v>
      </c>
      <c r="F1156" s="4">
        <v>41.700355922794394</v>
      </c>
      <c r="G1156" s="4">
        <v>44.42170686357251</v>
      </c>
      <c r="H1156" s="4">
        <v>47.334820959648127</v>
      </c>
      <c r="I1156" s="4">
        <v>50.463029862354439</v>
      </c>
      <c r="J1156" s="4">
        <v>53.850822376182641</v>
      </c>
      <c r="K1156" s="4">
        <v>57.539780333713566</v>
      </c>
      <c r="L1156" s="4">
        <v>61.530627753572439</v>
      </c>
      <c r="M1156" s="4">
        <v>65.834218382355473</v>
      </c>
      <c r="N1156" s="4">
        <v>70.497955996588871</v>
      </c>
      <c r="O1156" s="11">
        <f t="shared" si="17"/>
        <v>6.8204662044637723E-2</v>
      </c>
      <c r="P1156"/>
      <c r="Q1156" s="11"/>
    </row>
    <row r="1157" spans="1:17" x14ac:dyDescent="0.35">
      <c r="A1157" s="3" t="s">
        <v>32</v>
      </c>
      <c r="B1157" s="4">
        <v>18.585146538679794</v>
      </c>
      <c r="C1157" s="4">
        <v>19.114002459879206</v>
      </c>
      <c r="D1157" s="4">
        <v>19.734434193457709</v>
      </c>
      <c r="E1157" s="4">
        <v>20.389146395316015</v>
      </c>
      <c r="F1157" s="4">
        <v>21.088107920115842</v>
      </c>
      <c r="G1157" s="4">
        <v>21.82856732704639</v>
      </c>
      <c r="H1157" s="4">
        <v>22.617723521357178</v>
      </c>
      <c r="I1157" s="4">
        <v>23.476257040424862</v>
      </c>
      <c r="J1157" s="4">
        <v>24.384937818649746</v>
      </c>
      <c r="K1157" s="4">
        <v>25.366374067807129</v>
      </c>
      <c r="L1157" s="4">
        <v>26.407450339574869</v>
      </c>
      <c r="M1157" s="4">
        <v>27.523495963390733</v>
      </c>
      <c r="N1157" s="4">
        <v>28.744994067178958</v>
      </c>
      <c r="O1157" s="11">
        <f t="shared" si="17"/>
        <v>4.0103871595460923E-2</v>
      </c>
      <c r="P1157"/>
      <c r="Q1157" s="11"/>
    </row>
    <row r="1158" spans="1:17" x14ac:dyDescent="0.35">
      <c r="A1158" s="3" t="s">
        <v>29</v>
      </c>
      <c r="B1158" s="4">
        <v>47.250316334938596</v>
      </c>
      <c r="C1158" s="4">
        <v>49.884792998726461</v>
      </c>
      <c r="D1158" s="4">
        <v>52.714629322152135</v>
      </c>
      <c r="E1158" s="4">
        <v>55.738518293616998</v>
      </c>
      <c r="F1158" s="4">
        <v>58.956539244599405</v>
      </c>
      <c r="G1158" s="4">
        <v>62.401736087840419</v>
      </c>
      <c r="H1158" s="4">
        <v>66.143978184319977</v>
      </c>
      <c r="I1158" s="4">
        <v>70.173546341130219</v>
      </c>
      <c r="J1158" s="4">
        <v>74.540737034237551</v>
      </c>
      <c r="K1158" s="4">
        <v>79.255718235624059</v>
      </c>
      <c r="L1158" s="4">
        <v>84.324168518577707</v>
      </c>
      <c r="M1158" s="4">
        <v>89.83783772807304</v>
      </c>
      <c r="N1158" s="4">
        <v>95.846271172214742</v>
      </c>
      <c r="O1158" s="11">
        <f t="shared" si="17"/>
        <v>6.3225801164615084E-2</v>
      </c>
      <c r="P1158"/>
      <c r="Q1158" s="11"/>
    </row>
    <row r="1159" spans="1:17" x14ac:dyDescent="0.35">
      <c r="A1159" s="3" t="s">
        <v>31</v>
      </c>
      <c r="B1159" s="4">
        <v>23.819797199746567</v>
      </c>
      <c r="C1159" s="4">
        <v>25.041907359904002</v>
      </c>
      <c r="D1159" s="4">
        <v>26.333575003255181</v>
      </c>
      <c r="E1159" s="4">
        <v>27.707195438413549</v>
      </c>
      <c r="F1159" s="4">
        <v>29.177726516549832</v>
      </c>
      <c r="G1159" s="4">
        <v>30.746828437655832</v>
      </c>
      <c r="H1159" s="4">
        <v>32.40882944210032</v>
      </c>
      <c r="I1159" s="4">
        <v>34.189718129910766</v>
      </c>
      <c r="J1159" s="4">
        <v>36.121621189420729</v>
      </c>
      <c r="K1159" s="4">
        <v>38.18594389974669</v>
      </c>
      <c r="L1159" s="4">
        <v>40.418905187086771</v>
      </c>
      <c r="M1159" s="4">
        <v>42.824085379946467</v>
      </c>
      <c r="N1159" s="4">
        <v>45.417848295716439</v>
      </c>
      <c r="O1159" s="11">
        <f t="shared" si="17"/>
        <v>5.7313426597484875E-2</v>
      </c>
      <c r="P1159"/>
      <c r="Q1159" s="11"/>
    </row>
    <row r="1160" spans="1:17" x14ac:dyDescent="0.35">
      <c r="A1160" s="3" t="s">
        <v>28</v>
      </c>
      <c r="B1160" s="4">
        <v>73.923901609121117</v>
      </c>
      <c r="C1160" s="4">
        <v>76.833702017912174</v>
      </c>
      <c r="D1160" s="4">
        <v>80.10076823218867</v>
      </c>
      <c r="E1160" s="4">
        <v>83.562926174877106</v>
      </c>
      <c r="F1160" s="4">
        <v>87.232636443899622</v>
      </c>
      <c r="G1160" s="4">
        <v>91.10930679259161</v>
      </c>
      <c r="H1160" s="4">
        <v>95.065517908142709</v>
      </c>
      <c r="I1160" s="4">
        <v>99.175791200075537</v>
      </c>
      <c r="J1160" s="4">
        <v>103.52998641068626</v>
      </c>
      <c r="K1160" s="4">
        <v>108.25154005810123</v>
      </c>
      <c r="L1160" s="4">
        <v>113.27200687463031</v>
      </c>
      <c r="M1160" s="4">
        <v>118.48371262184818</v>
      </c>
      <c r="N1160" s="4">
        <v>123.92068618113501</v>
      </c>
      <c r="O1160" s="11">
        <f t="shared" si="17"/>
        <v>4.4919922669733721E-2</v>
      </c>
      <c r="P1160"/>
      <c r="Q1160" s="11"/>
    </row>
    <row r="1161" spans="1:17" x14ac:dyDescent="0.35">
      <c r="A1161" s="3" t="s">
        <v>33</v>
      </c>
      <c r="B1161" s="4">
        <v>10.388132477993219</v>
      </c>
      <c r="C1161" s="4">
        <v>10.812772772001226</v>
      </c>
      <c r="D1161" s="4">
        <v>11.282406869980191</v>
      </c>
      <c r="E1161" s="4">
        <v>11.775810741574336</v>
      </c>
      <c r="F1161" s="4">
        <v>12.297222076932158</v>
      </c>
      <c r="G1161" s="4">
        <v>12.854632068434981</v>
      </c>
      <c r="H1161" s="4">
        <v>13.459476755021489</v>
      </c>
      <c r="I1161" s="4">
        <v>14.123050539501143</v>
      </c>
      <c r="J1161" s="4">
        <v>14.832493440811927</v>
      </c>
      <c r="K1161" s="4">
        <v>15.591666069563331</v>
      </c>
      <c r="L1161" s="4">
        <v>16.420221900448443</v>
      </c>
      <c r="M1161" s="4">
        <v>17.326261946442251</v>
      </c>
      <c r="N1161" s="4">
        <v>18.319028977376508</v>
      </c>
      <c r="O1161" s="11">
        <f t="shared" si="17"/>
        <v>5.1907478502153735E-2</v>
      </c>
      <c r="P1161"/>
      <c r="Q1161" s="11"/>
    </row>
    <row r="1162" spans="1:17" x14ac:dyDescent="0.35">
      <c r="A1162" s="2" t="s">
        <v>34</v>
      </c>
      <c r="O1162" s="11" t="str">
        <f t="shared" si="17"/>
        <v/>
      </c>
      <c r="P1162"/>
      <c r="Q1162" s="11"/>
    </row>
    <row r="1163" spans="1:17" x14ac:dyDescent="0.35">
      <c r="A1163" s="3" t="s">
        <v>36</v>
      </c>
      <c r="B1163" s="4">
        <v>69.715577370955742</v>
      </c>
      <c r="C1163" s="4">
        <v>73.725710766754034</v>
      </c>
      <c r="D1163" s="4">
        <v>77.986695055133566</v>
      </c>
      <c r="E1163" s="4">
        <v>82.539337864636138</v>
      </c>
      <c r="F1163" s="4">
        <v>87.432998514399529</v>
      </c>
      <c r="G1163" s="4">
        <v>92.678299830080505</v>
      </c>
      <c r="H1163" s="4">
        <v>98.26395043034951</v>
      </c>
      <c r="I1163" s="4">
        <v>104.27432156420895</v>
      </c>
      <c r="J1163" s="4">
        <v>110.81443119821886</v>
      </c>
      <c r="K1163" s="4">
        <v>117.83608536311745</v>
      </c>
      <c r="L1163" s="4">
        <v>125.45900205965017</v>
      </c>
      <c r="M1163" s="4">
        <v>133.7043141907977</v>
      </c>
      <c r="N1163" s="4">
        <v>142.63344980456938</v>
      </c>
      <c r="O1163" s="11">
        <f t="shared" si="17"/>
        <v>6.3528290516595198E-2</v>
      </c>
      <c r="P1163"/>
      <c r="Q1163" s="11"/>
    </row>
    <row r="1164" spans="1:17" x14ac:dyDescent="0.35">
      <c r="A1164" s="3" t="s">
        <v>37</v>
      </c>
      <c r="B1164" s="4">
        <v>48.541525522476682</v>
      </c>
      <c r="C1164" s="4">
        <v>50.836305767683939</v>
      </c>
      <c r="D1164" s="4">
        <v>53.297508544000536</v>
      </c>
      <c r="E1164" s="4">
        <v>55.91329336566703</v>
      </c>
      <c r="F1164" s="4">
        <v>58.731131915287008</v>
      </c>
      <c r="G1164" s="4">
        <v>61.774509123962197</v>
      </c>
      <c r="H1164" s="4">
        <v>65.030449759677808</v>
      </c>
      <c r="I1164" s="4">
        <v>68.5987065704347</v>
      </c>
      <c r="J1164" s="4">
        <v>72.455421331197542</v>
      </c>
      <c r="K1164" s="4">
        <v>76.595858442346227</v>
      </c>
      <c r="L1164" s="4">
        <v>81.118621968166806</v>
      </c>
      <c r="M1164" s="4">
        <v>85.987939394914662</v>
      </c>
      <c r="N1164" s="4">
        <v>91.279139231067134</v>
      </c>
      <c r="O1164" s="11">
        <f t="shared" si="17"/>
        <v>5.7360728310497135E-2</v>
      </c>
      <c r="P1164"/>
      <c r="Q1164" s="11"/>
    </row>
    <row r="1165" spans="1:17" x14ac:dyDescent="0.35">
      <c r="A1165" s="3" t="s">
        <v>35</v>
      </c>
      <c r="B1165" s="4">
        <v>69.568846242114688</v>
      </c>
      <c r="C1165" s="4">
        <v>72.234724908114202</v>
      </c>
      <c r="D1165" s="4">
        <v>75.367956344669921</v>
      </c>
      <c r="E1165" s="4">
        <v>78.704140270378133</v>
      </c>
      <c r="F1165" s="4">
        <v>82.198539422589334</v>
      </c>
      <c r="G1165" s="4">
        <v>85.849064050590158</v>
      </c>
      <c r="H1165" s="4">
        <v>89.621605465781101</v>
      </c>
      <c r="I1165" s="4">
        <v>93.45823399634827</v>
      </c>
      <c r="J1165" s="4">
        <v>97.485892401002985</v>
      </c>
      <c r="K1165" s="4">
        <v>101.93399130421133</v>
      </c>
      <c r="L1165" s="4">
        <v>106.5301947137464</v>
      </c>
      <c r="M1165" s="4">
        <v>111.29712593549351</v>
      </c>
      <c r="N1165" s="4">
        <v>116.26918127437926</v>
      </c>
      <c r="O1165" s="11">
        <f t="shared" si="17"/>
        <v>4.4283547101569939E-2</v>
      </c>
      <c r="P1165"/>
      <c r="Q1165" s="11"/>
    </row>
    <row r="1166" spans="1:17" x14ac:dyDescent="0.35">
      <c r="A1166" s="3" t="s">
        <v>38</v>
      </c>
      <c r="B1166" s="4">
        <v>18.759061878290058</v>
      </c>
      <c r="C1166" s="4">
        <v>19.500146200192638</v>
      </c>
      <c r="D1166" s="4">
        <v>20.32034639027658</v>
      </c>
      <c r="E1166" s="4">
        <v>21.181118453037595</v>
      </c>
      <c r="F1166" s="4">
        <v>22.089918272615407</v>
      </c>
      <c r="G1166" s="4">
        <v>23.060904572508893</v>
      </c>
      <c r="H1166" s="4">
        <v>24.114341114781368</v>
      </c>
      <c r="I1166" s="4">
        <v>25.270130982405064</v>
      </c>
      <c r="J1166" s="4">
        <v>26.504853339569475</v>
      </c>
      <c r="K1166" s="4">
        <v>27.825087554880987</v>
      </c>
      <c r="L1166" s="4">
        <v>29.265561832327162</v>
      </c>
      <c r="M1166" s="4">
        <v>30.840232500850263</v>
      </c>
      <c r="N1166" s="4">
        <v>32.565014380194803</v>
      </c>
      <c r="O1166" s="11">
        <f t="shared" si="17"/>
        <v>5.0535432985999412E-2</v>
      </c>
      <c r="P1166"/>
      <c r="Q1166" s="11"/>
    </row>
    <row r="1167" spans="1:17" x14ac:dyDescent="0.35">
      <c r="A1167" s="2" t="s">
        <v>22</v>
      </c>
      <c r="O1167" s="11" t="str">
        <f t="shared" si="17"/>
        <v/>
      </c>
      <c r="P1167"/>
      <c r="Q1167" s="11"/>
    </row>
    <row r="1168" spans="1:17" x14ac:dyDescent="0.35">
      <c r="A1168" s="3" t="s">
        <v>39</v>
      </c>
      <c r="B1168" s="4">
        <v>53.446667016709682</v>
      </c>
      <c r="C1168" s="4">
        <v>56.522629284336176</v>
      </c>
      <c r="D1168" s="4">
        <v>59.918232839463371</v>
      </c>
      <c r="E1168" s="4">
        <v>63.50832193925757</v>
      </c>
      <c r="F1168" s="4">
        <v>67.321655687970775</v>
      </c>
      <c r="G1168" s="4">
        <v>71.295795266302093</v>
      </c>
      <c r="H1168" s="4">
        <v>75.395660905560817</v>
      </c>
      <c r="I1168" s="4">
        <v>79.588269159429444</v>
      </c>
      <c r="J1168" s="4">
        <v>84.064344442940609</v>
      </c>
      <c r="K1168" s="4">
        <v>88.854064625040053</v>
      </c>
      <c r="L1168" s="4">
        <v>93.910482217781066</v>
      </c>
      <c r="M1168" s="4">
        <v>99.168968264322132</v>
      </c>
      <c r="N1168" s="4">
        <v>104.55363003360634</v>
      </c>
      <c r="O1168" s="11">
        <f t="shared" si="17"/>
        <v>5.6218085849353068E-2</v>
      </c>
      <c r="P1168"/>
      <c r="Q1168" s="11"/>
    </row>
    <row r="1169" spans="1:17" x14ac:dyDescent="0.35">
      <c r="A1169" s="3" t="s">
        <v>41</v>
      </c>
      <c r="B1169" s="4">
        <v>39.460738731329641</v>
      </c>
      <c r="C1169" s="4">
        <v>40.61663765341325</v>
      </c>
      <c r="D1169" s="4">
        <v>41.86903984169804</v>
      </c>
      <c r="E1169" s="4">
        <v>43.240426235437418</v>
      </c>
      <c r="F1169" s="4">
        <v>44.705786980293091</v>
      </c>
      <c r="G1169" s="4">
        <v>46.341969879612478</v>
      </c>
      <c r="H1169" s="4">
        <v>48.063103842272369</v>
      </c>
      <c r="I1169" s="4">
        <v>49.972676697718185</v>
      </c>
      <c r="J1169" s="4">
        <v>52.038944604256194</v>
      </c>
      <c r="K1169" s="4">
        <v>54.277367573646615</v>
      </c>
      <c r="L1169" s="4">
        <v>56.736951563014415</v>
      </c>
      <c r="M1169" s="4">
        <v>59.4438275323919</v>
      </c>
      <c r="N1169" s="4">
        <v>62.390363236835178</v>
      </c>
      <c r="O1169" s="11">
        <f t="shared" si="17"/>
        <v>4.339560573420647E-2</v>
      </c>
      <c r="P1169"/>
      <c r="Q1169" s="11"/>
    </row>
    <row r="1170" spans="1:17" x14ac:dyDescent="0.35">
      <c r="A1170" s="3" t="s">
        <v>40</v>
      </c>
      <c r="B1170" s="4">
        <v>51.841176612358964</v>
      </c>
      <c r="C1170" s="4">
        <v>54.127068912918467</v>
      </c>
      <c r="D1170" s="4">
        <v>56.535205268866555</v>
      </c>
      <c r="E1170" s="4">
        <v>59.068989565892558</v>
      </c>
      <c r="F1170" s="4">
        <v>61.736562972785698</v>
      </c>
      <c r="G1170" s="4">
        <v>64.564626164360774</v>
      </c>
      <c r="H1170" s="4">
        <v>67.594245317602727</v>
      </c>
      <c r="I1170" s="4">
        <v>70.804995009701884</v>
      </c>
      <c r="J1170" s="4">
        <v>74.273932891631731</v>
      </c>
      <c r="K1170" s="4">
        <v>78.029332434717162</v>
      </c>
      <c r="L1170" s="4">
        <v>82.077010352705202</v>
      </c>
      <c r="M1170" s="4">
        <v>86.390141694599379</v>
      </c>
      <c r="N1170" s="4">
        <v>91.081116422855942</v>
      </c>
      <c r="O1170" s="11">
        <f t="shared" si="17"/>
        <v>5.0382970524728669E-2</v>
      </c>
      <c r="P1170"/>
      <c r="Q1170" s="11"/>
    </row>
    <row r="1171" spans="1:17" x14ac:dyDescent="0.35">
      <c r="A1171" s="3" t="s">
        <v>42</v>
      </c>
      <c r="B1171" s="4">
        <v>61.83642865343888</v>
      </c>
      <c r="C1171" s="4">
        <v>65.030551792076935</v>
      </c>
      <c r="D1171" s="4">
        <v>68.650028384052618</v>
      </c>
      <c r="E1171" s="4">
        <v>72.52015221313134</v>
      </c>
      <c r="F1171" s="4">
        <v>76.688582483841699</v>
      </c>
      <c r="G1171" s="4">
        <v>81.160386266866396</v>
      </c>
      <c r="H1171" s="4">
        <v>85.977336705153903</v>
      </c>
      <c r="I1171" s="4">
        <v>91.235452246547453</v>
      </c>
      <c r="J1171" s="4">
        <v>96.883376331160321</v>
      </c>
      <c r="K1171" s="4">
        <v>103.03025803115216</v>
      </c>
      <c r="L1171" s="4">
        <v>109.64893644038985</v>
      </c>
      <c r="M1171" s="4">
        <v>116.82667453074274</v>
      </c>
      <c r="N1171" s="4">
        <v>124.72167499691314</v>
      </c>
      <c r="O1171" s="11">
        <f t="shared" si="17"/>
        <v>6.330249461439795E-2</v>
      </c>
      <c r="P1171"/>
      <c r="Q1171" s="11"/>
    </row>
    <row r="1172" spans="1:17" x14ac:dyDescent="0.35">
      <c r="A1172" s="1" t="s">
        <v>95</v>
      </c>
      <c r="O1172" s="11" t="str">
        <f t="shared" si="17"/>
        <v/>
      </c>
      <c r="P1172"/>
      <c r="Q1172" s="11"/>
    </row>
    <row r="1173" spans="1:17" x14ac:dyDescent="0.35">
      <c r="A1173" s="2" t="s">
        <v>24</v>
      </c>
      <c r="O1173" s="11" t="str">
        <f t="shared" ref="O1173:O1236" si="18">IFERROR(RATE(2033-2026,,-G1173,N1173),"")</f>
        <v/>
      </c>
      <c r="P1173"/>
      <c r="Q1173" s="11"/>
    </row>
    <row r="1174" spans="1:17" x14ac:dyDescent="0.35">
      <c r="A1174" s="3" t="s">
        <v>25</v>
      </c>
      <c r="B1174" s="4">
        <v>22.791664651813562</v>
      </c>
      <c r="C1174" s="4">
        <v>23.852330901270538</v>
      </c>
      <c r="D1174" s="4">
        <v>25.012612762341941</v>
      </c>
      <c r="E1174" s="4">
        <v>26.231545592787583</v>
      </c>
      <c r="F1174" s="4">
        <v>27.522398943487001</v>
      </c>
      <c r="G1174" s="4">
        <v>28.901897699929645</v>
      </c>
      <c r="H1174" s="4">
        <v>30.373205641496945</v>
      </c>
      <c r="I1174" s="4">
        <v>32.0034451217658</v>
      </c>
      <c r="J1174" s="4">
        <v>33.747636723178502</v>
      </c>
      <c r="K1174" s="4">
        <v>35.62978103366865</v>
      </c>
      <c r="L1174" s="4">
        <v>37.679418145544787</v>
      </c>
      <c r="M1174" s="4">
        <v>39.915767511710797</v>
      </c>
      <c r="N1174" s="4">
        <v>42.360696925393881</v>
      </c>
      <c r="O1174" s="11">
        <f t="shared" si="18"/>
        <v>5.6135239828002469E-2</v>
      </c>
      <c r="P1174"/>
      <c r="Q1174" s="11"/>
    </row>
    <row r="1175" spans="1:17" x14ac:dyDescent="0.35">
      <c r="A1175" s="3" t="s">
        <v>26</v>
      </c>
      <c r="B1175" s="4">
        <v>254.83574098386646</v>
      </c>
      <c r="C1175" s="4">
        <v>268.28052063858701</v>
      </c>
      <c r="D1175" s="4">
        <v>283.12030723235591</v>
      </c>
      <c r="E1175" s="4">
        <v>298.86556585543775</v>
      </c>
      <c r="F1175" s="4">
        <v>315.64965770847061</v>
      </c>
      <c r="G1175" s="4">
        <v>333.70775063088399</v>
      </c>
      <c r="H1175" s="4">
        <v>353.37442710248951</v>
      </c>
      <c r="I1175" s="4">
        <v>374.99485375541502</v>
      </c>
      <c r="J1175" s="4">
        <v>398.28733909508315</v>
      </c>
      <c r="K1175" s="4">
        <v>423.40502861040585</v>
      </c>
      <c r="L1175" s="4">
        <v>450.93571703684341</v>
      </c>
      <c r="M1175" s="4">
        <v>481.17522934470571</v>
      </c>
      <c r="N1175" s="4">
        <v>514.46272209916003</v>
      </c>
      <c r="O1175" s="11">
        <f t="shared" si="18"/>
        <v>6.3788702947399509E-2</v>
      </c>
      <c r="P1175"/>
      <c r="Q1175" s="11"/>
    </row>
    <row r="1176" spans="1:17" x14ac:dyDescent="0.35">
      <c r="A1176" s="2" t="s">
        <v>27</v>
      </c>
      <c r="O1176" s="11" t="str">
        <f t="shared" si="18"/>
        <v/>
      </c>
      <c r="P1176"/>
      <c r="Q1176" s="11"/>
    </row>
    <row r="1177" spans="1:17" x14ac:dyDescent="0.35">
      <c r="A1177" s="3" t="s">
        <v>30</v>
      </c>
      <c r="B1177" s="4">
        <v>43.656808249188508</v>
      </c>
      <c r="C1177" s="4">
        <v>46.590843821972634</v>
      </c>
      <c r="D1177" s="4">
        <v>49.82022968476636</v>
      </c>
      <c r="E1177" s="4">
        <v>53.277857818718829</v>
      </c>
      <c r="F1177" s="4">
        <v>57.000878609890165</v>
      </c>
      <c r="G1177" s="4">
        <v>61.036092227010926</v>
      </c>
      <c r="H1177" s="4">
        <v>65.404831765605365</v>
      </c>
      <c r="I1177" s="4">
        <v>70.267221250929325</v>
      </c>
      <c r="J1177" s="4">
        <v>75.549172043185322</v>
      </c>
      <c r="K1177" s="4">
        <v>81.324189166649703</v>
      </c>
      <c r="L1177" s="4">
        <v>87.683359953035165</v>
      </c>
      <c r="M1177" s="4">
        <v>94.699903304840745</v>
      </c>
      <c r="N1177" s="4">
        <v>102.457869517692</v>
      </c>
      <c r="O1177" s="11">
        <f t="shared" si="18"/>
        <v>7.6804701099713615E-2</v>
      </c>
      <c r="P1177"/>
      <c r="Q1177" s="11"/>
    </row>
    <row r="1178" spans="1:17" x14ac:dyDescent="0.35">
      <c r="A1178" s="3" t="s">
        <v>32</v>
      </c>
      <c r="B1178" s="4">
        <v>25.928202068672043</v>
      </c>
      <c r="C1178" s="4">
        <v>27.006040272346922</v>
      </c>
      <c r="D1178" s="4">
        <v>28.19371214882435</v>
      </c>
      <c r="E1178" s="4">
        <v>29.449820616799027</v>
      </c>
      <c r="F1178" s="4">
        <v>30.782533481680602</v>
      </c>
      <c r="G1178" s="4">
        <v>32.191107474515348</v>
      </c>
      <c r="H1178" s="4">
        <v>33.67440388306018</v>
      </c>
      <c r="I1178" s="4">
        <v>35.243161599321631</v>
      </c>
      <c r="J1178" s="4">
        <v>36.921911875096434</v>
      </c>
      <c r="K1178" s="4">
        <v>38.731177638588917</v>
      </c>
      <c r="L1178" s="4">
        <v>40.662208498314826</v>
      </c>
      <c r="M1178" s="4">
        <v>42.713269879849385</v>
      </c>
      <c r="N1178" s="4">
        <v>44.906162565401488</v>
      </c>
      <c r="O1178" s="11">
        <f t="shared" si="18"/>
        <v>4.8703846371545109E-2</v>
      </c>
      <c r="P1178"/>
      <c r="Q1178" s="11"/>
    </row>
    <row r="1179" spans="1:17" x14ac:dyDescent="0.35">
      <c r="A1179" s="3" t="s">
        <v>29</v>
      </c>
      <c r="B1179" s="4">
        <v>55.170588317981135</v>
      </c>
      <c r="C1179" s="4">
        <v>58.490624577014053</v>
      </c>
      <c r="D1179" s="4">
        <v>62.244631853224028</v>
      </c>
      <c r="E1179" s="4">
        <v>66.284180396873595</v>
      </c>
      <c r="F1179" s="4">
        <v>70.659126464638078</v>
      </c>
      <c r="G1179" s="4">
        <v>75.381591219777164</v>
      </c>
      <c r="H1179" s="4">
        <v>80.498060972663694</v>
      </c>
      <c r="I1179" s="4">
        <v>86.107186062517698</v>
      </c>
      <c r="J1179" s="4">
        <v>92.171558795108567</v>
      </c>
      <c r="K1179" s="4">
        <v>98.805095392948687</v>
      </c>
      <c r="L1179" s="4">
        <v>105.99448988279467</v>
      </c>
      <c r="M1179" s="4">
        <v>113.8364221237903</v>
      </c>
      <c r="N1179" s="4">
        <v>122.49960204965512</v>
      </c>
      <c r="O1179" s="11">
        <f t="shared" si="18"/>
        <v>7.1825775251670582E-2</v>
      </c>
      <c r="P1179"/>
      <c r="Q1179" s="11"/>
    </row>
    <row r="1180" spans="1:17" x14ac:dyDescent="0.35">
      <c r="A1180" s="3" t="s">
        <v>31</v>
      </c>
      <c r="B1180" s="4">
        <v>37.533292901227959</v>
      </c>
      <c r="C1180" s="4">
        <v>39.628671790351447</v>
      </c>
      <c r="D1180" s="4">
        <v>41.886194330579642</v>
      </c>
      <c r="E1180" s="4">
        <v>44.300160991889392</v>
      </c>
      <c r="F1180" s="4">
        <v>46.911620144322612</v>
      </c>
      <c r="G1180" s="4">
        <v>49.743741896981867</v>
      </c>
      <c r="H1180" s="4">
        <v>52.791018149189952</v>
      </c>
      <c r="I1180" s="4">
        <v>56.139192405763097</v>
      </c>
      <c r="J1180" s="4">
        <v>59.775553461260472</v>
      </c>
      <c r="K1180" s="4">
        <v>63.702642371716095</v>
      </c>
      <c r="L1180" s="4">
        <v>68.008923725235107</v>
      </c>
      <c r="M1180" s="4">
        <v>72.672958591137572</v>
      </c>
      <c r="N1180" s="4">
        <v>77.766376258215047</v>
      </c>
      <c r="O1180" s="11">
        <f t="shared" si="18"/>
        <v>6.5913385097174232E-2</v>
      </c>
      <c r="P1180"/>
      <c r="Q1180" s="11"/>
    </row>
    <row r="1181" spans="1:17" x14ac:dyDescent="0.35">
      <c r="A1181" s="3" t="s">
        <v>28</v>
      </c>
      <c r="B1181" s="4">
        <v>99.061989925249293</v>
      </c>
      <c r="C1181" s="4">
        <v>103.27140851359005</v>
      </c>
      <c r="D1181" s="4">
        <v>107.88649917278372</v>
      </c>
      <c r="E1181" s="4">
        <v>112.66329515245218</v>
      </c>
      <c r="F1181" s="4">
        <v>117.60506381462588</v>
      </c>
      <c r="G1181" s="4">
        <v>122.88078079255183</v>
      </c>
      <c r="H1181" s="4">
        <v>128.76569052228584</v>
      </c>
      <c r="I1181" s="4">
        <v>135.30750826273828</v>
      </c>
      <c r="J1181" s="4">
        <v>142.26018448135238</v>
      </c>
      <c r="K1181" s="4">
        <v>149.57327453576357</v>
      </c>
      <c r="L1181" s="4">
        <v>157.70914204094686</v>
      </c>
      <c r="M1181" s="4">
        <v>166.83389900167811</v>
      </c>
      <c r="N1181" s="4">
        <v>176.9434372065308</v>
      </c>
      <c r="O1181" s="11">
        <f t="shared" si="18"/>
        <v>5.346836753946372E-2</v>
      </c>
      <c r="P1181"/>
      <c r="Q1181" s="11"/>
    </row>
    <row r="1182" spans="1:17" x14ac:dyDescent="0.35">
      <c r="A1182" s="3" t="s">
        <v>33</v>
      </c>
      <c r="B1182" s="4">
        <v>16.276524173361086</v>
      </c>
      <c r="C1182" s="4">
        <v>17.145262564582453</v>
      </c>
      <c r="D1182" s="4">
        <v>18.101652804519723</v>
      </c>
      <c r="E1182" s="4">
        <v>19.121796471492321</v>
      </c>
      <c r="F1182" s="4">
        <v>20.212834136800303</v>
      </c>
      <c r="G1182" s="4">
        <v>21.376334719976498</v>
      </c>
      <c r="H1182" s="4">
        <v>22.613627451181433</v>
      </c>
      <c r="I1182" s="4">
        <v>23.93402929591084</v>
      </c>
      <c r="J1182" s="4">
        <v>25.356595162258479</v>
      </c>
      <c r="K1182" s="4">
        <v>26.898430538407524</v>
      </c>
      <c r="L1182" s="4">
        <v>28.55701108206161</v>
      </c>
      <c r="M1182" s="4">
        <v>30.334543955120328</v>
      </c>
      <c r="N1182" s="4">
        <v>32.249971427059421</v>
      </c>
      <c r="O1182" s="11">
        <f t="shared" si="18"/>
        <v>6.0507459308712139E-2</v>
      </c>
      <c r="P1182"/>
      <c r="Q1182" s="11"/>
    </row>
    <row r="1183" spans="1:17" x14ac:dyDescent="0.35">
      <c r="A1183" s="2" t="s">
        <v>34</v>
      </c>
      <c r="O1183" s="11" t="str">
        <f t="shared" si="18"/>
        <v/>
      </c>
      <c r="P1183"/>
      <c r="Q1183" s="11"/>
    </row>
    <row r="1184" spans="1:17" x14ac:dyDescent="0.35">
      <c r="A1184" s="3" t="s">
        <v>36</v>
      </c>
      <c r="B1184" s="4">
        <v>97.175398072256499</v>
      </c>
      <c r="C1184" s="4">
        <v>103.43175010911051</v>
      </c>
      <c r="D1184" s="4">
        <v>110.1914023337127</v>
      </c>
      <c r="E1184" s="4">
        <v>117.46289816679273</v>
      </c>
      <c r="F1184" s="4">
        <v>125.25780067796454</v>
      </c>
      <c r="G1184" s="4">
        <v>133.65790480433046</v>
      </c>
      <c r="H1184" s="4">
        <v>142.82636534078321</v>
      </c>
      <c r="I1184" s="4">
        <v>152.75957838853961</v>
      </c>
      <c r="J1184" s="4">
        <v>163.58419178786363</v>
      </c>
      <c r="K1184" s="4">
        <v>175.34263353159199</v>
      </c>
      <c r="L1184" s="4">
        <v>188.06845917214807</v>
      </c>
      <c r="M1184" s="4">
        <v>201.98794995566698</v>
      </c>
      <c r="N1184" s="4">
        <v>217.23949214308954</v>
      </c>
      <c r="O1184" s="11">
        <f t="shared" si="18"/>
        <v>7.1852130932147124E-2</v>
      </c>
      <c r="P1184"/>
      <c r="Q1184" s="11"/>
    </row>
    <row r="1185" spans="1:17" x14ac:dyDescent="0.35">
      <c r="A1185" s="3" t="s">
        <v>37</v>
      </c>
      <c r="B1185" s="4">
        <v>56.554801301506984</v>
      </c>
      <c r="C1185" s="4">
        <v>59.699157929839949</v>
      </c>
      <c r="D1185" s="4">
        <v>63.086374449466362</v>
      </c>
      <c r="E1185" s="4">
        <v>66.707706149966072</v>
      </c>
      <c r="F1185" s="4">
        <v>70.624809258972888</v>
      </c>
      <c r="G1185" s="4">
        <v>74.872371026725403</v>
      </c>
      <c r="H1185" s="4">
        <v>79.44188322030729</v>
      </c>
      <c r="I1185" s="4">
        <v>84.462163514271211</v>
      </c>
      <c r="J1185" s="4">
        <v>89.913791970260164</v>
      </c>
      <c r="K1185" s="4">
        <v>95.800307394063637</v>
      </c>
      <c r="L1185" s="4">
        <v>102.25446275605348</v>
      </c>
      <c r="M1185" s="4">
        <v>109.24365188827335</v>
      </c>
      <c r="N1185" s="4">
        <v>116.8751983779928</v>
      </c>
      <c r="O1185" s="11">
        <f t="shared" si="18"/>
        <v>6.5684580790992458E-2</v>
      </c>
      <c r="P1185"/>
      <c r="Q1185" s="11"/>
    </row>
    <row r="1186" spans="1:17" x14ac:dyDescent="0.35">
      <c r="A1186" s="3" t="s">
        <v>35</v>
      </c>
      <c r="B1186" s="4">
        <v>95.515232429359259</v>
      </c>
      <c r="C1186" s="4">
        <v>99.161441062390679</v>
      </c>
      <c r="D1186" s="4">
        <v>103.45216380953059</v>
      </c>
      <c r="E1186" s="4">
        <v>107.85926761044789</v>
      </c>
      <c r="F1186" s="4">
        <v>112.45748296484652</v>
      </c>
      <c r="G1186" s="4">
        <v>117.36405405661364</v>
      </c>
      <c r="H1186" s="4">
        <v>122.72255919886868</v>
      </c>
      <c r="I1186" s="4">
        <v>128.82785228390259</v>
      </c>
      <c r="J1186" s="4">
        <v>135.21868173227557</v>
      </c>
      <c r="K1186" s="4">
        <v>142.02266164771845</v>
      </c>
      <c r="L1186" s="4">
        <v>149.68993045171698</v>
      </c>
      <c r="M1186" s="4">
        <v>158.29139629292354</v>
      </c>
      <c r="N1186" s="4">
        <v>167.91698778794245</v>
      </c>
      <c r="O1186" s="11">
        <f t="shared" si="18"/>
        <v>5.2501662042422646E-2</v>
      </c>
      <c r="P1186"/>
      <c r="Q1186" s="11"/>
    </row>
    <row r="1187" spans="1:17" x14ac:dyDescent="0.35">
      <c r="A1187" s="3" t="s">
        <v>38</v>
      </c>
      <c r="B1187" s="4">
        <v>28.381973832557286</v>
      </c>
      <c r="C1187" s="4">
        <v>29.84050243851642</v>
      </c>
      <c r="D1187" s="4">
        <v>31.402979401988187</v>
      </c>
      <c r="E1187" s="4">
        <v>33.067239521018685</v>
      </c>
      <c r="F1187" s="4">
        <v>34.831963750173699</v>
      </c>
      <c r="G1187" s="4">
        <v>36.71531844314412</v>
      </c>
      <c r="H1187" s="4">
        <v>38.756824984027261</v>
      </c>
      <c r="I1187" s="4">
        <v>40.948704690467423</v>
      </c>
      <c r="J1187" s="4">
        <v>43.318310327862314</v>
      </c>
      <c r="K1187" s="4">
        <v>45.869207070700362</v>
      </c>
      <c r="L1187" s="4">
        <v>48.602282802469709</v>
      </c>
      <c r="M1187" s="4">
        <v>51.567998719552627</v>
      </c>
      <c r="N1187" s="4">
        <v>54.79174071552908</v>
      </c>
      <c r="O1187" s="11">
        <f t="shared" si="18"/>
        <v>5.8859303821243679E-2</v>
      </c>
      <c r="P1187"/>
      <c r="Q1187" s="11"/>
    </row>
    <row r="1188" spans="1:17" x14ac:dyDescent="0.35">
      <c r="A1188" s="2" t="s">
        <v>22</v>
      </c>
      <c r="O1188" s="11" t="str">
        <f t="shared" si="18"/>
        <v/>
      </c>
      <c r="P1188"/>
      <c r="Q1188" s="11"/>
    </row>
    <row r="1189" spans="1:17" x14ac:dyDescent="0.35">
      <c r="A1189" s="3" t="s">
        <v>39</v>
      </c>
      <c r="B1189" s="4">
        <v>71.265130987618136</v>
      </c>
      <c r="C1189" s="4">
        <v>74.857254892342496</v>
      </c>
      <c r="D1189" s="4">
        <v>79.008408503421549</v>
      </c>
      <c r="E1189" s="4">
        <v>83.303520203136202</v>
      </c>
      <c r="F1189" s="4">
        <v>87.783412091570767</v>
      </c>
      <c r="G1189" s="4">
        <v>92.548094878943061</v>
      </c>
      <c r="H1189" s="4">
        <v>97.880686694920257</v>
      </c>
      <c r="I1189" s="4">
        <v>103.97273628361432</v>
      </c>
      <c r="J1189" s="4">
        <v>110.36980741024109</v>
      </c>
      <c r="K1189" s="4">
        <v>117.2739340680979</v>
      </c>
      <c r="L1189" s="4">
        <v>125.02896054272929</v>
      </c>
      <c r="M1189" s="4">
        <v>133.82070606588672</v>
      </c>
      <c r="N1189" s="4">
        <v>143.67837227478401</v>
      </c>
      <c r="O1189" s="11">
        <f t="shared" si="18"/>
        <v>6.4851705653234615E-2</v>
      </c>
      <c r="P1189"/>
      <c r="Q1189" s="11"/>
    </row>
    <row r="1190" spans="1:17" x14ac:dyDescent="0.35">
      <c r="A1190" s="3" t="s">
        <v>41</v>
      </c>
      <c r="B1190" s="4">
        <v>55.871240177345172</v>
      </c>
      <c r="C1190" s="4">
        <v>58.362964090660768</v>
      </c>
      <c r="D1190" s="4">
        <v>61.022523523321382</v>
      </c>
      <c r="E1190" s="4">
        <v>63.842083826522</v>
      </c>
      <c r="F1190" s="4">
        <v>66.815599430136146</v>
      </c>
      <c r="G1190" s="4">
        <v>69.974512557970485</v>
      </c>
      <c r="H1190" s="4">
        <v>73.39011026947837</v>
      </c>
      <c r="I1190" s="4">
        <v>77.042224529939261</v>
      </c>
      <c r="J1190" s="4">
        <v>80.977234060777462</v>
      </c>
      <c r="K1190" s="4">
        <v>85.19579299635221</v>
      </c>
      <c r="L1190" s="4">
        <v>89.693488499275404</v>
      </c>
      <c r="M1190" s="4">
        <v>94.557427211993826</v>
      </c>
      <c r="N1190" s="4">
        <v>99.826426481486223</v>
      </c>
      <c r="O1190" s="11">
        <f t="shared" si="18"/>
        <v>5.2067641722199597E-2</v>
      </c>
      <c r="P1190"/>
      <c r="Q1190" s="11"/>
    </row>
    <row r="1191" spans="1:17" x14ac:dyDescent="0.35">
      <c r="A1191" s="3" t="s">
        <v>40</v>
      </c>
      <c r="B1191" s="4">
        <v>71.551024343535744</v>
      </c>
      <c r="C1191" s="4">
        <v>75.054784874637363</v>
      </c>
      <c r="D1191" s="4">
        <v>78.815659376470151</v>
      </c>
      <c r="E1191" s="4">
        <v>82.817370835644397</v>
      </c>
      <c r="F1191" s="4">
        <v>87.131385183932053</v>
      </c>
      <c r="G1191" s="4">
        <v>91.794040502971058</v>
      </c>
      <c r="H1191" s="4">
        <v>96.787726436083773</v>
      </c>
      <c r="I1191" s="4">
        <v>102.26249245526044</v>
      </c>
      <c r="J1191" s="4">
        <v>108.18507685379181</v>
      </c>
      <c r="K1191" s="4">
        <v>114.55054965020078</v>
      </c>
      <c r="L1191" s="4">
        <v>121.50848989024341</v>
      </c>
      <c r="M1191" s="4">
        <v>129.0081445851749</v>
      </c>
      <c r="N1191" s="4">
        <v>137.16511375478163</v>
      </c>
      <c r="O1191" s="11">
        <f t="shared" si="18"/>
        <v>5.9054852544875219E-2</v>
      </c>
      <c r="P1191"/>
      <c r="Q1191" s="11"/>
    </row>
    <row r="1192" spans="1:17" x14ac:dyDescent="0.35">
      <c r="A1192" s="3" t="s">
        <v>42</v>
      </c>
      <c r="B1192" s="4">
        <v>78.940010127180983</v>
      </c>
      <c r="C1192" s="4">
        <v>83.857847682216899</v>
      </c>
      <c r="D1192" s="4">
        <v>89.286328591484732</v>
      </c>
      <c r="E1192" s="4">
        <v>95.134136582922736</v>
      </c>
      <c r="F1192" s="4">
        <v>101.44165994631867</v>
      </c>
      <c r="G1192" s="4">
        <v>108.29300039092902</v>
      </c>
      <c r="H1192" s="4">
        <v>115.68910934350406</v>
      </c>
      <c r="I1192" s="4">
        <v>123.72084560836683</v>
      </c>
      <c r="J1192" s="4">
        <v>132.5028574934513</v>
      </c>
      <c r="K1192" s="4">
        <v>142.01453292942361</v>
      </c>
      <c r="L1192" s="4">
        <v>152.38419625014009</v>
      </c>
      <c r="M1192" s="4">
        <v>163.70471899336107</v>
      </c>
      <c r="N1192" s="4">
        <v>176.15350651350209</v>
      </c>
      <c r="O1192" s="11">
        <f t="shared" si="18"/>
        <v>7.1974402813923546E-2</v>
      </c>
      <c r="P1192"/>
      <c r="Q1192" s="11"/>
    </row>
    <row r="1193" spans="1:17" x14ac:dyDescent="0.35">
      <c r="A1193" s="1" t="s">
        <v>96</v>
      </c>
      <c r="O1193" s="11" t="str">
        <f t="shared" si="18"/>
        <v/>
      </c>
      <c r="P1193"/>
      <c r="Q1193" s="11"/>
    </row>
    <row r="1194" spans="1:17" x14ac:dyDescent="0.35">
      <c r="A1194" s="2" t="s">
        <v>24</v>
      </c>
      <c r="O1194" s="11" t="str">
        <f t="shared" si="18"/>
        <v/>
      </c>
      <c r="P1194"/>
      <c r="Q1194" s="11"/>
    </row>
    <row r="1195" spans="1:17" x14ac:dyDescent="0.35">
      <c r="A1195" s="3" t="s">
        <v>25</v>
      </c>
      <c r="B1195" s="4">
        <v>17.235342582813182</v>
      </c>
      <c r="C1195" s="4">
        <v>18.020654773667651</v>
      </c>
      <c r="D1195" s="4">
        <v>18.848890240504144</v>
      </c>
      <c r="E1195" s="4">
        <v>19.721362587229716</v>
      </c>
      <c r="F1195" s="4">
        <v>20.640974034351657</v>
      </c>
      <c r="G1195" s="4">
        <v>21.616847888641573</v>
      </c>
      <c r="H1195" s="4">
        <v>22.662968016168993</v>
      </c>
      <c r="I1195" s="4">
        <v>23.772779393168864</v>
      </c>
      <c r="J1195" s="4">
        <v>24.972419402279364</v>
      </c>
      <c r="K1195" s="4">
        <v>26.271769114435045</v>
      </c>
      <c r="L1195" s="4">
        <v>27.67320289659266</v>
      </c>
      <c r="M1195" s="4">
        <v>29.168101763905742</v>
      </c>
      <c r="N1195" s="4">
        <v>30.794801000174676</v>
      </c>
      <c r="O1195" s="11">
        <f t="shared" si="18"/>
        <v>5.1852891293375558E-2</v>
      </c>
      <c r="P1195"/>
      <c r="Q1195" s="11"/>
    </row>
    <row r="1196" spans="1:17" x14ac:dyDescent="0.35">
      <c r="A1196" s="3" t="s">
        <v>26</v>
      </c>
      <c r="B1196" s="4">
        <v>189.50282032948385</v>
      </c>
      <c r="C1196" s="4">
        <v>198.94581912918736</v>
      </c>
      <c r="D1196" s="4">
        <v>209.34397960082947</v>
      </c>
      <c r="E1196" s="4">
        <v>220.44485651231167</v>
      </c>
      <c r="F1196" s="4">
        <v>232.3121391317226</v>
      </c>
      <c r="G1196" s="4">
        <v>245.10595950465196</v>
      </c>
      <c r="H1196" s="4">
        <v>258.79002259988039</v>
      </c>
      <c r="I1196" s="4">
        <v>273.52996282474953</v>
      </c>
      <c r="J1196" s="4">
        <v>289.53541719764513</v>
      </c>
      <c r="K1196" s="4">
        <v>306.70968896793153</v>
      </c>
      <c r="L1196" s="4">
        <v>325.28105143660895</v>
      </c>
      <c r="M1196" s="4">
        <v>345.39035543530326</v>
      </c>
      <c r="N1196" s="4">
        <v>367.34893725176966</v>
      </c>
      <c r="O1196" s="11">
        <f t="shared" si="18"/>
        <v>5.9506339331937871E-2</v>
      </c>
      <c r="P1196"/>
      <c r="Q1196" s="11"/>
    </row>
    <row r="1197" spans="1:17" x14ac:dyDescent="0.35">
      <c r="A1197" s="2" t="s">
        <v>27</v>
      </c>
      <c r="O1197" s="11" t="str">
        <f t="shared" si="18"/>
        <v/>
      </c>
      <c r="P1197"/>
      <c r="Q1197" s="11"/>
    </row>
    <row r="1198" spans="1:17" x14ac:dyDescent="0.35">
      <c r="A1198" s="3" t="s">
        <v>30</v>
      </c>
      <c r="B1198" s="4">
        <v>36.689443620166763</v>
      </c>
      <c r="C1198" s="4">
        <v>38.970474094705111</v>
      </c>
      <c r="D1198" s="4">
        <v>41.488247630102471</v>
      </c>
      <c r="E1198" s="4">
        <v>44.200246637931158</v>
      </c>
      <c r="F1198" s="4">
        <v>47.125164982839635</v>
      </c>
      <c r="G1198" s="4">
        <v>50.301994775346799</v>
      </c>
      <c r="H1198" s="4">
        <v>53.731086214962914</v>
      </c>
      <c r="I1198" s="4">
        <v>57.454546137209185</v>
      </c>
      <c r="J1198" s="4">
        <v>61.525508787865036</v>
      </c>
      <c r="K1198" s="4">
        <v>65.934277111677076</v>
      </c>
      <c r="L1198" s="4">
        <v>70.740306437218052</v>
      </c>
      <c r="M1198" s="4">
        <v>75.986565691607908</v>
      </c>
      <c r="N1198" s="4">
        <v>81.755241167612496</v>
      </c>
      <c r="O1198" s="11">
        <f t="shared" si="18"/>
        <v>7.1847288772382528E-2</v>
      </c>
      <c r="P1198"/>
      <c r="Q1198" s="11"/>
    </row>
    <row r="1199" spans="1:17" x14ac:dyDescent="0.35">
      <c r="A1199" s="3" t="s">
        <v>32</v>
      </c>
      <c r="B1199" s="4">
        <v>16.683603608577766</v>
      </c>
      <c r="C1199" s="4">
        <v>17.219121262946715</v>
      </c>
      <c r="D1199" s="4">
        <v>17.840768432636239</v>
      </c>
      <c r="E1199" s="4">
        <v>18.497642950539706</v>
      </c>
      <c r="F1199" s="4">
        <v>19.199141289305036</v>
      </c>
      <c r="G1199" s="4">
        <v>19.943208901199725</v>
      </c>
      <c r="H1199" s="4">
        <v>20.736849945129663</v>
      </c>
      <c r="I1199" s="4">
        <v>21.599524530835144</v>
      </c>
      <c r="J1199" s="4">
        <v>22.514242274440811</v>
      </c>
      <c r="K1199" s="4">
        <v>23.502397867012412</v>
      </c>
      <c r="L1199" s="4">
        <v>24.552583481450533</v>
      </c>
      <c r="M1199" s="4">
        <v>25.679673035953055</v>
      </c>
      <c r="N1199" s="4">
        <v>26.91288275272553</v>
      </c>
      <c r="O1199" s="11">
        <f t="shared" si="18"/>
        <v>4.3746484812342251E-2</v>
      </c>
      <c r="P1199"/>
      <c r="Q1199" s="11"/>
    </row>
    <row r="1200" spans="1:17" x14ac:dyDescent="0.35">
      <c r="A1200" s="3" t="s">
        <v>29</v>
      </c>
      <c r="B1200" s="4">
        <v>41.802976717897941</v>
      </c>
      <c r="C1200" s="4">
        <v>44.176642836356514</v>
      </c>
      <c r="D1200" s="4">
        <v>46.735438793525866</v>
      </c>
      <c r="E1200" s="4">
        <v>49.473508284336809</v>
      </c>
      <c r="F1200" s="4">
        <v>52.437180359327201</v>
      </c>
      <c r="G1200" s="4">
        <v>55.652966697389999</v>
      </c>
      <c r="H1200" s="4">
        <v>59.115388783684907</v>
      </c>
      <c r="I1200" s="4">
        <v>62.921131160867226</v>
      </c>
      <c r="J1200" s="4">
        <v>67.056876624046851</v>
      </c>
      <c r="K1200" s="4">
        <v>71.526369081168966</v>
      </c>
      <c r="L1200" s="4">
        <v>76.429841404938884</v>
      </c>
      <c r="M1200" s="4">
        <v>81.744372768700927</v>
      </c>
      <c r="N1200" s="4">
        <v>87.551644716882194</v>
      </c>
      <c r="O1200" s="11">
        <f t="shared" si="18"/>
        <v>6.686840923120714E-2</v>
      </c>
      <c r="P1200"/>
      <c r="Q1200" s="11"/>
    </row>
    <row r="1201" spans="1:17" x14ac:dyDescent="0.35">
      <c r="A1201" s="3" t="s">
        <v>31</v>
      </c>
      <c r="B1201" s="4">
        <v>30.716287190821667</v>
      </c>
      <c r="C1201" s="4">
        <v>32.24982712846797</v>
      </c>
      <c r="D1201" s="4">
        <v>33.942355542712967</v>
      </c>
      <c r="E1201" s="4">
        <v>35.733855383246926</v>
      </c>
      <c r="F1201" s="4">
        <v>37.639423239111856</v>
      </c>
      <c r="G1201" s="4">
        <v>39.686128362987603</v>
      </c>
      <c r="H1201" s="4">
        <v>41.912566797012126</v>
      </c>
      <c r="I1201" s="4">
        <v>44.358169854842579</v>
      </c>
      <c r="J1201" s="4">
        <v>46.98778824937402</v>
      </c>
      <c r="K1201" s="4">
        <v>49.81793726352862</v>
      </c>
      <c r="L1201" s="4">
        <v>52.916087549364789</v>
      </c>
      <c r="M1201" s="4">
        <v>56.314719466526086</v>
      </c>
      <c r="N1201" s="4">
        <v>60.051026952165188</v>
      </c>
      <c r="O1201" s="11">
        <f t="shared" si="18"/>
        <v>6.0956032684869654E-2</v>
      </c>
      <c r="P1201"/>
      <c r="Q1201" s="11"/>
    </row>
    <row r="1202" spans="1:17" x14ac:dyDescent="0.35">
      <c r="A1202" s="3" t="s">
        <v>28</v>
      </c>
      <c r="B1202" s="4">
        <v>69.532942697325126</v>
      </c>
      <c r="C1202" s="4">
        <v>72.493573957604326</v>
      </c>
      <c r="D1202" s="4">
        <v>75.747626150007278</v>
      </c>
      <c r="E1202" s="4">
        <v>79.20449535411106</v>
      </c>
      <c r="F1202" s="4">
        <v>82.842144561889342</v>
      </c>
      <c r="G1202" s="4">
        <v>86.732519894025074</v>
      </c>
      <c r="H1202" s="4">
        <v>90.797756264648029</v>
      </c>
      <c r="I1202" s="4">
        <v>95.002861220359762</v>
      </c>
      <c r="J1202" s="4">
        <v>99.585802928551885</v>
      </c>
      <c r="K1202" s="4">
        <v>104.42705652966177</v>
      </c>
      <c r="L1202" s="4">
        <v>109.54181733661619</v>
      </c>
      <c r="M1202" s="4">
        <v>114.97606546097489</v>
      </c>
      <c r="N1202" s="4">
        <v>120.84024045999075</v>
      </c>
      <c r="O1202" s="11">
        <f t="shared" si="18"/>
        <v>4.8517442418370478E-2</v>
      </c>
      <c r="P1202"/>
      <c r="Q1202" s="11"/>
    </row>
    <row r="1203" spans="1:17" x14ac:dyDescent="0.35">
      <c r="A1203" s="3" t="s">
        <v>33</v>
      </c>
      <c r="B1203" s="4">
        <v>11.312909077507776</v>
      </c>
      <c r="C1203" s="4">
        <v>11.856834622774386</v>
      </c>
      <c r="D1203" s="4">
        <v>12.438433292348769</v>
      </c>
      <c r="E1203" s="4">
        <v>13.056470489375744</v>
      </c>
      <c r="F1203" s="4">
        <v>13.710058733601226</v>
      </c>
      <c r="G1203" s="4">
        <v>14.405988762344284</v>
      </c>
      <c r="H1203" s="4">
        <v>15.159342610611722</v>
      </c>
      <c r="I1203" s="4">
        <v>15.966509313804529</v>
      </c>
      <c r="J1203" s="4">
        <v>16.837617735645825</v>
      </c>
      <c r="K1203" s="4">
        <v>17.773420229317711</v>
      </c>
      <c r="L1203" s="4">
        <v>18.773618123613144</v>
      </c>
      <c r="M1203" s="4">
        <v>19.857060775446143</v>
      </c>
      <c r="N1203" s="4">
        <v>21.032702202568146</v>
      </c>
      <c r="O1203" s="11">
        <f t="shared" si="18"/>
        <v>5.5550114772326166E-2</v>
      </c>
      <c r="P1203"/>
      <c r="Q1203" s="11"/>
    </row>
    <row r="1204" spans="1:17" x14ac:dyDescent="0.35">
      <c r="A1204" s="2" t="s">
        <v>34</v>
      </c>
      <c r="O1204" s="11" t="str">
        <f t="shared" si="18"/>
        <v/>
      </c>
      <c r="P1204"/>
      <c r="Q1204" s="11"/>
    </row>
    <row r="1205" spans="1:17" x14ac:dyDescent="0.35">
      <c r="A1205" s="3" t="s">
        <v>36</v>
      </c>
      <c r="B1205" s="4">
        <v>72.551443183151051</v>
      </c>
      <c r="C1205" s="4">
        <v>76.714737553302811</v>
      </c>
      <c r="D1205" s="4">
        <v>81.204369756406905</v>
      </c>
      <c r="E1205" s="4">
        <v>86.010725226793966</v>
      </c>
      <c r="F1205" s="4">
        <v>91.21489260768638</v>
      </c>
      <c r="G1205" s="4">
        <v>96.863672147200489</v>
      </c>
      <c r="H1205" s="4">
        <v>102.94829117847235</v>
      </c>
      <c r="I1205" s="4">
        <v>109.63787178363873</v>
      </c>
      <c r="J1205" s="4">
        <v>116.91024435322646</v>
      </c>
      <c r="K1205" s="4">
        <v>124.77293370685125</v>
      </c>
      <c r="L1205" s="4">
        <v>133.40179995323555</v>
      </c>
      <c r="M1205" s="4">
        <v>142.75814520599843</v>
      </c>
      <c r="N1205" s="4">
        <v>152.98586139414465</v>
      </c>
      <c r="O1205" s="11">
        <f t="shared" si="18"/>
        <v>6.7470216696869631E-2</v>
      </c>
      <c r="P1205"/>
      <c r="Q1205" s="11"/>
    </row>
    <row r="1206" spans="1:17" x14ac:dyDescent="0.35">
      <c r="A1206" s="3" t="s">
        <v>37</v>
      </c>
      <c r="B1206" s="4">
        <v>45.672610536629143</v>
      </c>
      <c r="C1206" s="4">
        <v>48.146645907159673</v>
      </c>
      <c r="D1206" s="4">
        <v>50.870629334451635</v>
      </c>
      <c r="E1206" s="4">
        <v>53.777966400560999</v>
      </c>
      <c r="F1206" s="4">
        <v>56.889155151050105</v>
      </c>
      <c r="G1206" s="4">
        <v>60.209073597368359</v>
      </c>
      <c r="H1206" s="4">
        <v>63.741938998961579</v>
      </c>
      <c r="I1206" s="4">
        <v>67.514496375359187</v>
      </c>
      <c r="J1206" s="4">
        <v>71.581040247613402</v>
      </c>
      <c r="K1206" s="4">
        <v>75.99052472347185</v>
      </c>
      <c r="L1206" s="4">
        <v>80.736594169488214</v>
      </c>
      <c r="M1206" s="4">
        <v>85.826250235397339</v>
      </c>
      <c r="N1206" s="4">
        <v>91.31386417103603</v>
      </c>
      <c r="O1206" s="11">
        <f t="shared" si="18"/>
        <v>6.1302662550555671E-2</v>
      </c>
      <c r="P1206"/>
      <c r="Q1206" s="11"/>
    </row>
    <row r="1207" spans="1:17" x14ac:dyDescent="0.35">
      <c r="A1207" s="3" t="s">
        <v>35</v>
      </c>
      <c r="B1207" s="4">
        <v>69.840248787957876</v>
      </c>
      <c r="C1207" s="4">
        <v>72.547141494089828</v>
      </c>
      <c r="D1207" s="4">
        <v>75.586883719811738</v>
      </c>
      <c r="E1207" s="4">
        <v>78.813291440406886</v>
      </c>
      <c r="F1207" s="4">
        <v>82.184466467657529</v>
      </c>
      <c r="G1207" s="4">
        <v>85.817501466695262</v>
      </c>
      <c r="H1207" s="4">
        <v>89.694449543622682</v>
      </c>
      <c r="I1207" s="4">
        <v>93.769496711527466</v>
      </c>
      <c r="J1207" s="4">
        <v>98.22675394747759</v>
      </c>
      <c r="K1207" s="4">
        <v>102.90598691882951</v>
      </c>
      <c r="L1207" s="4">
        <v>107.87319665980442</v>
      </c>
      <c r="M1207" s="4">
        <v>113.29195647703483</v>
      </c>
      <c r="N1207" s="4">
        <v>119.29532200351105</v>
      </c>
      <c r="O1207" s="11">
        <f t="shared" si="18"/>
        <v>4.8178781520172992E-2</v>
      </c>
      <c r="P1207"/>
      <c r="Q1207" s="11"/>
    </row>
    <row r="1208" spans="1:17" x14ac:dyDescent="0.35">
      <c r="A1208" s="3" t="s">
        <v>38</v>
      </c>
      <c r="B1208" s="4">
        <v>18.673860404558969</v>
      </c>
      <c r="C1208" s="4">
        <v>19.55794894830267</v>
      </c>
      <c r="D1208" s="4">
        <v>20.530987030663344</v>
      </c>
      <c r="E1208" s="4">
        <v>21.564236031779526</v>
      </c>
      <c r="F1208" s="4">
        <v>22.664598939680253</v>
      </c>
      <c r="G1208" s="4">
        <v>23.832560182029383</v>
      </c>
      <c r="H1208" s="4">
        <v>25.068310894992749</v>
      </c>
      <c r="I1208" s="4">
        <v>26.380877347393035</v>
      </c>
      <c r="J1208" s="4">
        <v>27.789798051607011</v>
      </c>
      <c r="K1208" s="4">
        <v>29.312012733213908</v>
      </c>
      <c r="L1208" s="4">
        <v>30.942663550673455</v>
      </c>
      <c r="M1208" s="4">
        <v>32.682105280778366</v>
      </c>
      <c r="N1208" s="4">
        <v>34.54869068325263</v>
      </c>
      <c r="O1208" s="11">
        <f t="shared" si="18"/>
        <v>5.4477386650213018E-2</v>
      </c>
      <c r="P1208"/>
      <c r="Q1208" s="11"/>
    </row>
    <row r="1209" spans="1:17" x14ac:dyDescent="0.35">
      <c r="A1209" s="2" t="s">
        <v>22</v>
      </c>
      <c r="O1209" s="11" t="str">
        <f t="shared" si="18"/>
        <v/>
      </c>
      <c r="P1209"/>
      <c r="Q1209" s="11"/>
    </row>
    <row r="1210" spans="1:17" x14ac:dyDescent="0.35">
      <c r="A1210" s="3" t="s">
        <v>39</v>
      </c>
      <c r="B1210" s="4">
        <v>56.546558532753807</v>
      </c>
      <c r="C1210" s="4">
        <v>59.355166310368105</v>
      </c>
      <c r="D1210" s="4">
        <v>62.332736712449957</v>
      </c>
      <c r="E1210" s="4">
        <v>65.510120776297498</v>
      </c>
      <c r="F1210" s="4">
        <v>68.879132715122012</v>
      </c>
      <c r="G1210" s="4">
        <v>72.599762481208245</v>
      </c>
      <c r="H1210" s="4">
        <v>76.619125019883228</v>
      </c>
      <c r="I1210" s="4">
        <v>80.979966439168038</v>
      </c>
      <c r="J1210" s="4">
        <v>85.827330855405478</v>
      </c>
      <c r="K1210" s="4">
        <v>90.898876527897016</v>
      </c>
      <c r="L1210" s="4">
        <v>96.464789771070798</v>
      </c>
      <c r="M1210" s="4">
        <v>102.59766420345045</v>
      </c>
      <c r="N1210" s="4">
        <v>109.43619429234798</v>
      </c>
      <c r="O1210" s="11">
        <f t="shared" si="18"/>
        <v>6.037828635833524E-2</v>
      </c>
      <c r="P1210"/>
      <c r="Q1210" s="11"/>
    </row>
    <row r="1211" spans="1:17" x14ac:dyDescent="0.35">
      <c r="A1211" s="3" t="s">
        <v>41</v>
      </c>
      <c r="B1211" s="4">
        <v>41.2627081033256</v>
      </c>
      <c r="C1211" s="4">
        <v>42.744554239950176</v>
      </c>
      <c r="D1211" s="4">
        <v>44.4507536110779</v>
      </c>
      <c r="E1211" s="4">
        <v>46.256911003765559</v>
      </c>
      <c r="F1211" s="4">
        <v>48.187568058137153</v>
      </c>
      <c r="G1211" s="4">
        <v>50.238878782317343</v>
      </c>
      <c r="H1211" s="4">
        <v>52.429750623795307</v>
      </c>
      <c r="I1211" s="4">
        <v>54.810852028603307</v>
      </c>
      <c r="J1211" s="4">
        <v>57.341086188538121</v>
      </c>
      <c r="K1211" s="4">
        <v>60.076501586766419</v>
      </c>
      <c r="L1211" s="4">
        <v>62.990105504922958</v>
      </c>
      <c r="M1211" s="4">
        <v>66.12192123072218</v>
      </c>
      <c r="N1211" s="4">
        <v>69.549472373548184</v>
      </c>
      <c r="O1211" s="11">
        <f t="shared" si="18"/>
        <v>4.7560534932548755E-2</v>
      </c>
      <c r="P1211"/>
      <c r="Q1211" s="11"/>
    </row>
    <row r="1212" spans="1:17" x14ac:dyDescent="0.35">
      <c r="A1212" s="3" t="s">
        <v>40</v>
      </c>
      <c r="B1212" s="4">
        <v>49.089082615875959</v>
      </c>
      <c r="C1212" s="4">
        <v>51.416593070505179</v>
      </c>
      <c r="D1212" s="4">
        <v>53.978266107552059</v>
      </c>
      <c r="E1212" s="4">
        <v>56.698592157859544</v>
      </c>
      <c r="F1212" s="4">
        <v>59.595753461927103</v>
      </c>
      <c r="G1212" s="4">
        <v>62.671059770753963</v>
      </c>
      <c r="H1212" s="4">
        <v>65.92504995143652</v>
      </c>
      <c r="I1212" s="4">
        <v>69.381497810719395</v>
      </c>
      <c r="J1212" s="4">
        <v>73.091830655680184</v>
      </c>
      <c r="K1212" s="4">
        <v>77.100654317177103</v>
      </c>
      <c r="L1212" s="4">
        <v>81.395251467330255</v>
      </c>
      <c r="M1212" s="4">
        <v>85.976613293988223</v>
      </c>
      <c r="N1212" s="4">
        <v>90.893078465149912</v>
      </c>
      <c r="O1212" s="11">
        <f t="shared" si="18"/>
        <v>5.4547759808882913E-2</v>
      </c>
      <c r="P1212"/>
      <c r="Q1212" s="11"/>
    </row>
    <row r="1213" spans="1:17" x14ac:dyDescent="0.35">
      <c r="A1213" s="3" t="s">
        <v>42</v>
      </c>
      <c r="B1213" s="4">
        <v>59.839813660341676</v>
      </c>
      <c r="C1213" s="4">
        <v>63.450160282031533</v>
      </c>
      <c r="D1213" s="4">
        <v>67.431113410253715</v>
      </c>
      <c r="E1213" s="4">
        <v>71.700595161618807</v>
      </c>
      <c r="F1213" s="4">
        <v>76.290658930888</v>
      </c>
      <c r="G1213" s="4">
        <v>81.213106359013992</v>
      </c>
      <c r="H1213" s="4">
        <v>86.479065020934314</v>
      </c>
      <c r="I1213" s="4">
        <v>92.130425939427681</v>
      </c>
      <c r="J1213" s="4">
        <v>98.247588900300698</v>
      </c>
      <c r="K1213" s="4">
        <v>104.90542565052603</v>
      </c>
      <c r="L1213" s="4">
        <v>112.10410758987757</v>
      </c>
      <c r="M1213" s="4">
        <v>119.86225847104812</v>
      </c>
      <c r="N1213" s="4">
        <v>128.26499312089825</v>
      </c>
      <c r="O1213" s="11">
        <f t="shared" si="18"/>
        <v>6.7467285788724102E-2</v>
      </c>
      <c r="P1213"/>
      <c r="Q1213" s="11"/>
    </row>
    <row r="1214" spans="1:17" x14ac:dyDescent="0.35">
      <c r="A1214" s="1" t="s">
        <v>97</v>
      </c>
      <c r="O1214" s="11" t="str">
        <f t="shared" si="18"/>
        <v/>
      </c>
      <c r="P1214"/>
      <c r="Q1214" s="11"/>
    </row>
    <row r="1215" spans="1:17" x14ac:dyDescent="0.35">
      <c r="A1215" s="2" t="s">
        <v>24</v>
      </c>
      <c r="O1215" s="11" t="str">
        <f t="shared" si="18"/>
        <v/>
      </c>
      <c r="P1215"/>
      <c r="Q1215" s="11"/>
    </row>
    <row r="1216" spans="1:17" x14ac:dyDescent="0.35">
      <c r="A1216" s="3" t="s">
        <v>25</v>
      </c>
      <c r="B1216" s="4">
        <v>44.300160070879876</v>
      </c>
      <c r="C1216" s="4">
        <v>46.816157935986901</v>
      </c>
      <c r="D1216" s="4">
        <v>49.587778796816046</v>
      </c>
      <c r="E1216" s="4">
        <v>52.55198779070151</v>
      </c>
      <c r="F1216" s="4">
        <v>55.730221807062755</v>
      </c>
      <c r="G1216" s="4">
        <v>59.128822982146865</v>
      </c>
      <c r="H1216" s="4">
        <v>62.753541060782581</v>
      </c>
      <c r="I1216" s="4">
        <v>66.632354805760158</v>
      </c>
      <c r="J1216" s="4">
        <v>70.820703468196484</v>
      </c>
      <c r="K1216" s="4">
        <v>75.369284483036608</v>
      </c>
      <c r="L1216" s="4">
        <v>80.274429918633089</v>
      </c>
      <c r="M1216" s="4">
        <v>85.545705320843851</v>
      </c>
      <c r="N1216" s="4">
        <v>91.239975212199369</v>
      </c>
      <c r="O1216" s="11">
        <f t="shared" si="18"/>
        <v>6.39280889903108E-2</v>
      </c>
      <c r="P1216"/>
      <c r="Q1216" s="11"/>
    </row>
    <row r="1217" spans="1:17" x14ac:dyDescent="0.35">
      <c r="A1217" s="3" t="s">
        <v>26</v>
      </c>
      <c r="B1217" s="4">
        <v>462.77148679426745</v>
      </c>
      <c r="C1217" s="4">
        <v>491.41962674627842</v>
      </c>
      <c r="D1217" s="4">
        <v>523.03829878866736</v>
      </c>
      <c r="E1217" s="4">
        <v>557.08922654244043</v>
      </c>
      <c r="F1217" s="4">
        <v>593.80616289063835</v>
      </c>
      <c r="G1217" s="4">
        <v>633.67839503704943</v>
      </c>
      <c r="H1217" s="4">
        <v>676.70792878881889</v>
      </c>
      <c r="I1217" s="4">
        <v>723.42266179232638</v>
      </c>
      <c r="J1217" s="4">
        <v>774.48881112219749</v>
      </c>
      <c r="K1217" s="4">
        <v>829.78100152823549</v>
      </c>
      <c r="L1217" s="4">
        <v>890.04425765712438</v>
      </c>
      <c r="M1217" s="4">
        <v>955.81543024727284</v>
      </c>
      <c r="N1217" s="4">
        <v>1028.1241370603318</v>
      </c>
      <c r="O1217" s="11">
        <f t="shared" si="18"/>
        <v>7.158157191672565E-2</v>
      </c>
      <c r="P1217"/>
      <c r="Q1217" s="11"/>
    </row>
    <row r="1218" spans="1:17" x14ac:dyDescent="0.35">
      <c r="A1218" s="2" t="s">
        <v>27</v>
      </c>
      <c r="O1218" s="11" t="str">
        <f t="shared" si="18"/>
        <v/>
      </c>
      <c r="P1218"/>
      <c r="Q1218" s="11"/>
    </row>
    <row r="1219" spans="1:17" x14ac:dyDescent="0.35">
      <c r="A1219" s="3" t="s">
        <v>30</v>
      </c>
      <c r="B1219" s="4">
        <v>92.862946533897698</v>
      </c>
      <c r="C1219" s="4">
        <v>100.0464807616268</v>
      </c>
      <c r="D1219" s="4">
        <v>107.8253532743138</v>
      </c>
      <c r="E1219" s="4">
        <v>116.24435392455464</v>
      </c>
      <c r="F1219" s="4">
        <v>125.36052224665632</v>
      </c>
      <c r="G1219" s="4">
        <v>135.27286917648556</v>
      </c>
      <c r="H1219" s="4">
        <v>146.11985717475318</v>
      </c>
      <c r="I1219" s="4">
        <v>157.92086213231551</v>
      </c>
      <c r="J1219" s="4">
        <v>170.91064270584252</v>
      </c>
      <c r="K1219" s="4">
        <v>185.23699375014749</v>
      </c>
      <c r="L1219" s="4">
        <v>201.00732271483287</v>
      </c>
      <c r="M1219" s="4">
        <v>218.25615698424508</v>
      </c>
      <c r="N1219" s="4">
        <v>237.36711214878866</v>
      </c>
      <c r="O1219" s="11">
        <f t="shared" si="18"/>
        <v>8.3645222500040556E-2</v>
      </c>
      <c r="P1219"/>
      <c r="Q1219" s="11"/>
    </row>
    <row r="1220" spans="1:17" x14ac:dyDescent="0.35">
      <c r="A1220" s="3" t="s">
        <v>32</v>
      </c>
      <c r="B1220" s="4">
        <v>44.381586918538098</v>
      </c>
      <c r="C1220" s="4">
        <v>46.399095555936505</v>
      </c>
      <c r="D1220" s="4">
        <v>48.561197279262373</v>
      </c>
      <c r="E1220" s="4">
        <v>50.856325131215229</v>
      </c>
      <c r="F1220" s="4">
        <v>53.326937183681267</v>
      </c>
      <c r="G1220" s="4">
        <v>55.99341537172991</v>
      </c>
      <c r="H1220" s="4">
        <v>58.84294934833423</v>
      </c>
      <c r="I1220" s="4">
        <v>61.964815509049501</v>
      </c>
      <c r="J1220" s="4">
        <v>65.336014222278635</v>
      </c>
      <c r="K1220" s="4">
        <v>68.950942842157588</v>
      </c>
      <c r="L1220" s="4">
        <v>72.897057577207107</v>
      </c>
      <c r="M1220" s="4">
        <v>77.14045197643749</v>
      </c>
      <c r="N1220" s="4">
        <v>81.747115028059582</v>
      </c>
      <c r="O1220" s="11">
        <f t="shared" si="18"/>
        <v>5.5544377117762257E-2</v>
      </c>
      <c r="P1220"/>
      <c r="Q1220" s="11"/>
    </row>
    <row r="1221" spans="1:17" x14ac:dyDescent="0.35">
      <c r="A1221" s="3" t="s">
        <v>29</v>
      </c>
      <c r="B1221" s="4">
        <v>115.7138473393632</v>
      </c>
      <c r="C1221" s="4">
        <v>123.64951476262981</v>
      </c>
      <c r="D1221" s="4">
        <v>132.27033349407316</v>
      </c>
      <c r="E1221" s="4">
        <v>141.58010868580931</v>
      </c>
      <c r="F1221" s="4">
        <v>151.73169946538297</v>
      </c>
      <c r="G1221" s="4">
        <v>162.82697814420584</v>
      </c>
      <c r="H1221" s="4">
        <v>174.87819117351927</v>
      </c>
      <c r="I1221" s="4">
        <v>188.19972547572854</v>
      </c>
      <c r="J1221" s="4">
        <v>202.79026927296928</v>
      </c>
      <c r="K1221" s="4">
        <v>218.69919344297733</v>
      </c>
      <c r="L1221" s="4">
        <v>236.27224755496863</v>
      </c>
      <c r="M1221" s="4">
        <v>255.48889405231205</v>
      </c>
      <c r="N1221" s="4">
        <v>276.6535251770249</v>
      </c>
      <c r="O1221" s="11">
        <f t="shared" si="18"/>
        <v>7.8666325296660983E-2</v>
      </c>
      <c r="P1221"/>
      <c r="Q1221" s="11"/>
    </row>
    <row r="1222" spans="1:17" x14ac:dyDescent="0.35">
      <c r="A1222" s="3" t="s">
        <v>31</v>
      </c>
      <c r="B1222" s="4">
        <v>63.762140083116101</v>
      </c>
      <c r="C1222" s="4">
        <v>67.757969241983247</v>
      </c>
      <c r="D1222" s="4">
        <v>72.081431231768704</v>
      </c>
      <c r="E1222" s="4">
        <v>76.728671844793638</v>
      </c>
      <c r="F1222" s="4">
        <v>81.776630833440578</v>
      </c>
      <c r="G1222" s="4">
        <v>87.272998976061146</v>
      </c>
      <c r="H1222" s="4">
        <v>93.216292175814601</v>
      </c>
      <c r="I1222" s="4">
        <v>99.766014966960753</v>
      </c>
      <c r="J1222" s="4">
        <v>106.91071329796935</v>
      </c>
      <c r="K1222" s="4">
        <v>114.66577837050293</v>
      </c>
      <c r="L1222" s="4">
        <v>123.20152890822096</v>
      </c>
      <c r="M1222" s="4">
        <v>132.49342282962874</v>
      </c>
      <c r="N1222" s="4">
        <v>142.68579310376137</v>
      </c>
      <c r="O1222" s="11">
        <f t="shared" si="18"/>
        <v>7.2753941993676338E-2</v>
      </c>
      <c r="P1222"/>
      <c r="Q1222" s="11"/>
    </row>
    <row r="1223" spans="1:17" x14ac:dyDescent="0.35">
      <c r="A1223" s="3" t="s">
        <v>28</v>
      </c>
      <c r="B1223" s="4">
        <v>167.44197988832497</v>
      </c>
      <c r="C1223" s="4">
        <v>176.25378969194634</v>
      </c>
      <c r="D1223" s="4">
        <v>186.43687713762353</v>
      </c>
      <c r="E1223" s="4">
        <v>197.33764101169942</v>
      </c>
      <c r="F1223" s="4">
        <v>208.89090131878072</v>
      </c>
      <c r="G1223" s="4">
        <v>221.26860138544993</v>
      </c>
      <c r="H1223" s="4">
        <v>234.38853294294358</v>
      </c>
      <c r="I1223" s="4">
        <v>248.14910648695002</v>
      </c>
      <c r="J1223" s="4">
        <v>263.08361843762873</v>
      </c>
      <c r="K1223" s="4">
        <v>278.8896890094552</v>
      </c>
      <c r="L1223" s="4">
        <v>295.55166417519206</v>
      </c>
      <c r="M1223" s="4">
        <v>313.62735662561192</v>
      </c>
      <c r="N1223" s="4">
        <v>333.29471669177758</v>
      </c>
      <c r="O1223" s="11">
        <f t="shared" si="18"/>
        <v>6.0267672039609865E-2</v>
      </c>
      <c r="P1223"/>
      <c r="Q1223" s="11"/>
    </row>
    <row r="1224" spans="1:17" x14ac:dyDescent="0.35">
      <c r="A1224" s="3" t="s">
        <v>33</v>
      </c>
      <c r="B1224" s="4">
        <v>22.909146101907247</v>
      </c>
      <c r="C1224" s="4">
        <v>24.128934668142673</v>
      </c>
      <c r="D1224" s="4">
        <v>25.450885168441822</v>
      </c>
      <c r="E1224" s="4">
        <v>26.894113735069716</v>
      </c>
      <c r="F1224" s="4">
        <v>28.449693649759311</v>
      </c>
      <c r="G1224" s="4">
        <v>30.172354965263903</v>
      </c>
      <c r="H1224" s="4">
        <v>32.015647034236615</v>
      </c>
      <c r="I1224" s="4">
        <v>34.054492027082276</v>
      </c>
      <c r="J1224" s="4">
        <v>36.278256653705377</v>
      </c>
      <c r="K1224" s="4">
        <v>38.707688596031517</v>
      </c>
      <c r="L1224" s="4">
        <v>41.388866645335796</v>
      </c>
      <c r="M1224" s="4">
        <v>44.354853099881403</v>
      </c>
      <c r="N1224" s="4">
        <v>47.61585012311896</v>
      </c>
      <c r="O1224" s="11">
        <f t="shared" si="18"/>
        <v>6.7348017440145125E-2</v>
      </c>
      <c r="P1224"/>
      <c r="Q1224" s="11"/>
    </row>
    <row r="1225" spans="1:17" x14ac:dyDescent="0.35">
      <c r="A1225" s="2" t="s">
        <v>34</v>
      </c>
      <c r="O1225" s="11" t="str">
        <f t="shared" si="18"/>
        <v/>
      </c>
      <c r="P1225"/>
      <c r="Q1225" s="11"/>
    </row>
    <row r="1226" spans="1:17" x14ac:dyDescent="0.35">
      <c r="A1226" s="3" t="s">
        <v>36</v>
      </c>
      <c r="B1226" s="4">
        <v>183.52499749497122</v>
      </c>
      <c r="C1226" s="4">
        <v>196.76413663470899</v>
      </c>
      <c r="D1226" s="4">
        <v>211.43210991256822</v>
      </c>
      <c r="E1226" s="4">
        <v>227.31504816396742</v>
      </c>
      <c r="F1226" s="4">
        <v>244.55044883868447</v>
      </c>
      <c r="G1226" s="4">
        <v>263.2162098419376</v>
      </c>
      <c r="H1226" s="4">
        <v>283.39062455758659</v>
      </c>
      <c r="I1226" s="4">
        <v>305.25534989846125</v>
      </c>
      <c r="J1226" s="4">
        <v>329.12672195783153</v>
      </c>
      <c r="K1226" s="4">
        <v>355.31548478237181</v>
      </c>
      <c r="L1226" s="4">
        <v>383.89181525257248</v>
      </c>
      <c r="M1226" s="4">
        <v>414.99067078185107</v>
      </c>
      <c r="N1226" s="4">
        <v>448.98164620556031</v>
      </c>
      <c r="O1226" s="11">
        <f t="shared" si="18"/>
        <v>7.927185296540068E-2</v>
      </c>
      <c r="P1226"/>
      <c r="Q1226" s="11"/>
    </row>
    <row r="1227" spans="1:17" x14ac:dyDescent="0.35">
      <c r="A1227" s="3" t="s">
        <v>37</v>
      </c>
      <c r="B1227" s="4">
        <v>112.40002639425332</v>
      </c>
      <c r="C1227" s="4">
        <v>119.91008676604704</v>
      </c>
      <c r="D1227" s="4">
        <v>127.96945356394347</v>
      </c>
      <c r="E1227" s="4">
        <v>136.61240012997195</v>
      </c>
      <c r="F1227" s="4">
        <v>145.88587200310366</v>
      </c>
      <c r="G1227" s="4">
        <v>155.88341424907478</v>
      </c>
      <c r="H1227" s="4">
        <v>166.73993772691728</v>
      </c>
      <c r="I1227" s="4">
        <v>178.44869377828186</v>
      </c>
      <c r="J1227" s="4">
        <v>191.24599292592671</v>
      </c>
      <c r="K1227" s="4">
        <v>205.26103446696746</v>
      </c>
      <c r="L1227" s="4">
        <v>220.57250664294315</v>
      </c>
      <c r="M1227" s="4">
        <v>237.17524949729889</v>
      </c>
      <c r="N1227" s="4">
        <v>255.44277391227371</v>
      </c>
      <c r="O1227" s="11">
        <f t="shared" si="18"/>
        <v>7.310435874934082E-2</v>
      </c>
      <c r="P1227"/>
      <c r="Q1227" s="11"/>
    </row>
    <row r="1228" spans="1:17" x14ac:dyDescent="0.35">
      <c r="A1228" s="3" t="s">
        <v>35</v>
      </c>
      <c r="B1228" s="4">
        <v>169.31794870850052</v>
      </c>
      <c r="C1228" s="4">
        <v>177.38241395633514</v>
      </c>
      <c r="D1228" s="4">
        <v>186.5124632657753</v>
      </c>
      <c r="E1228" s="4">
        <v>196.29254622584932</v>
      </c>
      <c r="F1228" s="4">
        <v>206.74743124927829</v>
      </c>
      <c r="G1228" s="4">
        <v>218.17521464171102</v>
      </c>
      <c r="H1228" s="4">
        <v>230.37633714481024</v>
      </c>
      <c r="I1228" s="4">
        <v>243.63575889540562</v>
      </c>
      <c r="J1228" s="4">
        <v>258.1363369073307</v>
      </c>
      <c r="K1228" s="4">
        <v>273.36027171098988</v>
      </c>
      <c r="L1228" s="4">
        <v>289.80081782343927</v>
      </c>
      <c r="M1228" s="4">
        <v>307.89812461290785</v>
      </c>
      <c r="N1228" s="4">
        <v>327.91501868407988</v>
      </c>
      <c r="O1228" s="11">
        <f t="shared" si="18"/>
        <v>5.9935440654445261E-2</v>
      </c>
      <c r="P1228"/>
      <c r="Q1228" s="11"/>
    </row>
    <row r="1229" spans="1:17" x14ac:dyDescent="0.35">
      <c r="A1229" s="3" t="s">
        <v>38</v>
      </c>
      <c r="B1229" s="4">
        <v>41.828674267422272</v>
      </c>
      <c r="C1229" s="4">
        <v>44.179147325174178</v>
      </c>
      <c r="D1229" s="4">
        <v>46.712050843196387</v>
      </c>
      <c r="E1229" s="4">
        <v>49.421219813353268</v>
      </c>
      <c r="F1229" s="4">
        <v>52.352632606634714</v>
      </c>
      <c r="G1229" s="4">
        <v>55.532379286472839</v>
      </c>
      <c r="H1229" s="4">
        <v>58.954570420287368</v>
      </c>
      <c r="I1229" s="4">
        <v>62.715214025937833</v>
      </c>
      <c r="J1229" s="4">
        <v>66.800462799305038</v>
      </c>
      <c r="K1229" s="4">
        <v>71.213495050942896</v>
      </c>
      <c r="L1229" s="4">
        <v>76.053547856802496</v>
      </c>
      <c r="M1229" s="4">
        <v>81.297090676058772</v>
      </c>
      <c r="N1229" s="4">
        <v>87.024673470617401</v>
      </c>
      <c r="O1229" s="11">
        <f t="shared" si="18"/>
        <v>6.6279045287714208E-2</v>
      </c>
      <c r="P1229"/>
      <c r="Q1229" s="11"/>
    </row>
    <row r="1230" spans="1:17" x14ac:dyDescent="0.35">
      <c r="A1230" s="2" t="s">
        <v>22</v>
      </c>
      <c r="O1230" s="11" t="str">
        <f t="shared" si="18"/>
        <v/>
      </c>
      <c r="P1230"/>
      <c r="Q1230" s="11"/>
    </row>
    <row r="1231" spans="1:17" x14ac:dyDescent="0.35">
      <c r="A1231" s="3" t="s">
        <v>39</v>
      </c>
      <c r="B1231" s="4">
        <v>127.6789741381188</v>
      </c>
      <c r="C1231" s="4">
        <v>134.82914900121284</v>
      </c>
      <c r="D1231" s="4">
        <v>143.42128178241614</v>
      </c>
      <c r="E1231" s="4">
        <v>152.74179234576957</v>
      </c>
      <c r="F1231" s="4">
        <v>162.90372528218342</v>
      </c>
      <c r="G1231" s="4">
        <v>174.14588891125663</v>
      </c>
      <c r="H1231" s="4">
        <v>186.06659429891045</v>
      </c>
      <c r="I1231" s="4">
        <v>199.11659572386543</v>
      </c>
      <c r="J1231" s="4">
        <v>213.39713902784115</v>
      </c>
      <c r="K1231" s="4">
        <v>228.67593361721367</v>
      </c>
      <c r="L1231" s="4">
        <v>245.38859991267589</v>
      </c>
      <c r="M1231" s="4">
        <v>263.67142723940265</v>
      </c>
      <c r="N1231" s="4">
        <v>283.87250353245372</v>
      </c>
      <c r="O1231" s="11">
        <f t="shared" si="18"/>
        <v>7.2298574836558063E-2</v>
      </c>
      <c r="P1231"/>
      <c r="Q1231" s="11"/>
    </row>
    <row r="1232" spans="1:17" x14ac:dyDescent="0.35">
      <c r="A1232" s="3" t="s">
        <v>41</v>
      </c>
      <c r="B1232" s="4">
        <v>94.0238322171205</v>
      </c>
      <c r="C1232" s="4">
        <v>99.054185358421918</v>
      </c>
      <c r="D1232" s="4">
        <v>104.38078297068758</v>
      </c>
      <c r="E1232" s="4">
        <v>110.05457417840708</v>
      </c>
      <c r="F1232" s="4">
        <v>116.13710558394895</v>
      </c>
      <c r="G1232" s="4">
        <v>122.63750029972377</v>
      </c>
      <c r="H1232" s="4">
        <v>129.53570397673198</v>
      </c>
      <c r="I1232" s="4">
        <v>136.93803050690667</v>
      </c>
      <c r="J1232" s="4">
        <v>144.97625499999751</v>
      </c>
      <c r="K1232" s="4">
        <v>153.57966330966761</v>
      </c>
      <c r="L1232" s="4">
        <v>162.89739412711097</v>
      </c>
      <c r="M1232" s="4">
        <v>172.94827071798269</v>
      </c>
      <c r="N1232" s="4">
        <v>183.80288383153251</v>
      </c>
      <c r="O1232" s="11">
        <f t="shared" si="18"/>
        <v>5.9507773252206048E-2</v>
      </c>
      <c r="P1232"/>
      <c r="Q1232" s="11"/>
    </row>
    <row r="1233" spans="1:17" x14ac:dyDescent="0.35">
      <c r="A1233" s="3" t="s">
        <v>40</v>
      </c>
      <c r="B1233" s="4">
        <v>131.79871098106392</v>
      </c>
      <c r="C1233" s="4">
        <v>139.73380383680492</v>
      </c>
      <c r="D1233" s="4">
        <v>148.20201208940821</v>
      </c>
      <c r="E1233" s="4">
        <v>157.23193386137982</v>
      </c>
      <c r="F1233" s="4">
        <v>166.86589722883943</v>
      </c>
      <c r="G1233" s="4">
        <v>177.19832830006939</v>
      </c>
      <c r="H1233" s="4">
        <v>188.36817187142302</v>
      </c>
      <c r="I1233" s="4">
        <v>200.35071322478385</v>
      </c>
      <c r="J1233" s="4">
        <v>213.39451567094255</v>
      </c>
      <c r="K1233" s="4">
        <v>227.62227054178666</v>
      </c>
      <c r="L1233" s="4">
        <v>243.09735371444935</v>
      </c>
      <c r="M1233" s="4">
        <v>259.7888594417268</v>
      </c>
      <c r="N1233" s="4">
        <v>278.08108402181449</v>
      </c>
      <c r="O1233" s="11">
        <f t="shared" si="18"/>
        <v>6.6495021535977888E-2</v>
      </c>
      <c r="P1233"/>
      <c r="Q1233" s="11"/>
    </row>
    <row r="1234" spans="1:17" x14ac:dyDescent="0.35">
      <c r="A1234" s="3" t="s">
        <v>42</v>
      </c>
      <c r="B1234" s="4">
        <v>153.57012952884409</v>
      </c>
      <c r="C1234" s="4">
        <v>164.61864648582568</v>
      </c>
      <c r="D1234" s="4">
        <v>176.62200074297138</v>
      </c>
      <c r="E1234" s="4">
        <v>189.6129139475855</v>
      </c>
      <c r="F1234" s="4">
        <v>203.62965660272931</v>
      </c>
      <c r="G1234" s="4">
        <v>218.82550050814646</v>
      </c>
      <c r="H1234" s="4">
        <v>235.4909997025361</v>
      </c>
      <c r="I1234" s="4">
        <v>253.64967714253063</v>
      </c>
      <c r="J1234" s="4">
        <v>273.54160489161274</v>
      </c>
      <c r="K1234" s="4">
        <v>295.27241854260416</v>
      </c>
      <c r="L1234" s="4">
        <v>318.93533982152138</v>
      </c>
      <c r="M1234" s="4">
        <v>344.95257816900443</v>
      </c>
      <c r="N1234" s="4">
        <v>373.60764088673039</v>
      </c>
      <c r="O1234" s="11">
        <f t="shared" si="18"/>
        <v>7.9414530196037059E-2</v>
      </c>
      <c r="P1234"/>
      <c r="Q1234" s="11"/>
    </row>
    <row r="1235" spans="1:17" x14ac:dyDescent="0.35">
      <c r="A1235" s="1" t="s">
        <v>98</v>
      </c>
      <c r="O1235" s="11" t="str">
        <f t="shared" si="18"/>
        <v/>
      </c>
      <c r="P1235"/>
      <c r="Q1235" s="11"/>
    </row>
    <row r="1236" spans="1:17" x14ac:dyDescent="0.35">
      <c r="A1236" s="2" t="s">
        <v>24</v>
      </c>
      <c r="O1236" s="11" t="str">
        <f t="shared" si="18"/>
        <v/>
      </c>
      <c r="P1236"/>
      <c r="Q1236" s="11"/>
    </row>
    <row r="1237" spans="1:17" x14ac:dyDescent="0.35">
      <c r="A1237" s="3" t="s">
        <v>25</v>
      </c>
      <c r="B1237" s="4">
        <v>3.1521888111064507</v>
      </c>
      <c r="C1237" s="4">
        <v>3.2042939116260301</v>
      </c>
      <c r="D1237" s="4">
        <v>3.2654499260700112</v>
      </c>
      <c r="E1237" s="4">
        <v>3.3287491034837791</v>
      </c>
      <c r="F1237" s="4">
        <v>3.3950928757163275</v>
      </c>
      <c r="G1237" s="4">
        <v>3.4663236064727259</v>
      </c>
      <c r="H1237" s="4">
        <v>3.5450266121958491</v>
      </c>
      <c r="I1237" s="4">
        <v>3.6334891216398084</v>
      </c>
      <c r="J1237" s="4">
        <v>3.7275432657065606</v>
      </c>
      <c r="K1237" s="4">
        <v>3.8275735594257347</v>
      </c>
      <c r="L1237" s="4">
        <v>3.9377820918002051</v>
      </c>
      <c r="M1237" s="4">
        <v>4.0591865906679327</v>
      </c>
      <c r="N1237" s="4">
        <v>4.1929399123523554</v>
      </c>
      <c r="O1237" s="11">
        <f t="shared" ref="O1237:O1300" si="19">IFERROR(RATE(2033-2026,,-G1237,N1237),"")</f>
        <v>2.7559730749994328E-2</v>
      </c>
      <c r="P1237"/>
      <c r="Q1237" s="11"/>
    </row>
    <row r="1238" spans="1:17" x14ac:dyDescent="0.35">
      <c r="A1238" s="3" t="s">
        <v>26</v>
      </c>
      <c r="B1238" s="4">
        <v>34.189331454818841</v>
      </c>
      <c r="C1238" s="4">
        <v>35.137856360271343</v>
      </c>
      <c r="D1238" s="4">
        <v>36.146839504939486</v>
      </c>
      <c r="E1238" s="4">
        <v>37.207782777444706</v>
      </c>
      <c r="F1238" s="4">
        <v>38.313664811216441</v>
      </c>
      <c r="G1238" s="4">
        <v>39.479310801896034</v>
      </c>
      <c r="H1238" s="4">
        <v>40.74097933171133</v>
      </c>
      <c r="I1238" s="4">
        <v>42.081712747483841</v>
      </c>
      <c r="J1238" s="4">
        <v>43.521820482861884</v>
      </c>
      <c r="K1238" s="4">
        <v>45.055586229572341</v>
      </c>
      <c r="L1238" s="4">
        <v>46.674800577189615</v>
      </c>
      <c r="M1238" s="4">
        <v>48.419230957626219</v>
      </c>
      <c r="N1238" s="4">
        <v>50.30121054090138</v>
      </c>
      <c r="O1238" s="11">
        <f t="shared" si="19"/>
        <v>3.521329092397775E-2</v>
      </c>
      <c r="P1238"/>
      <c r="Q1238" s="11"/>
    </row>
    <row r="1239" spans="1:17" x14ac:dyDescent="0.35">
      <c r="A1239" s="2" t="s">
        <v>27</v>
      </c>
      <c r="O1239" s="11" t="str">
        <f t="shared" si="19"/>
        <v/>
      </c>
      <c r="P1239"/>
      <c r="Q1239" s="11"/>
    </row>
    <row r="1240" spans="1:17" x14ac:dyDescent="0.35">
      <c r="A1240" s="3" t="s">
        <v>30</v>
      </c>
      <c r="B1240" s="4">
        <v>6.1026960137055219</v>
      </c>
      <c r="C1240" s="4">
        <v>6.3355162035799353</v>
      </c>
      <c r="D1240" s="4">
        <v>6.5905669833269176</v>
      </c>
      <c r="E1240" s="4">
        <v>6.8564676725403135</v>
      </c>
      <c r="F1240" s="4">
        <v>7.1363684402341967</v>
      </c>
      <c r="G1240" s="4">
        <v>7.4342096710572649</v>
      </c>
      <c r="H1240" s="4">
        <v>7.7503114232634447</v>
      </c>
      <c r="I1240" s="4">
        <v>8.101296104859685</v>
      </c>
      <c r="J1240" s="4">
        <v>8.4748714965109162</v>
      </c>
      <c r="K1240" s="4">
        <v>8.8764453505196226</v>
      </c>
      <c r="L1240" s="4">
        <v>9.312623871800616</v>
      </c>
      <c r="M1240" s="4">
        <v>9.7872411357981637</v>
      </c>
      <c r="N1240" s="4">
        <v>10.304645018419695</v>
      </c>
      <c r="O1240" s="11">
        <f t="shared" si="19"/>
        <v>4.7748119392704388E-2</v>
      </c>
      <c r="P1240"/>
      <c r="Q1240" s="11"/>
    </row>
    <row r="1241" spans="1:17" x14ac:dyDescent="0.35">
      <c r="A1241" s="3" t="s">
        <v>32</v>
      </c>
      <c r="B1241" s="4">
        <v>3.5198915052413957</v>
      </c>
      <c r="C1241" s="4">
        <v>3.5585098870975953</v>
      </c>
      <c r="D1241" s="4">
        <v>3.6062201663019504</v>
      </c>
      <c r="E1241" s="4">
        <v>3.6573132836729165</v>
      </c>
      <c r="F1241" s="4">
        <v>3.7120794341370162</v>
      </c>
      <c r="G1241" s="4">
        <v>3.7722625067628148</v>
      </c>
      <c r="H1241" s="4">
        <v>3.8362787675499597</v>
      </c>
      <c r="I1241" s="4">
        <v>3.9057086053338108</v>
      </c>
      <c r="J1241" s="4">
        <v>3.9824773751083189</v>
      </c>
      <c r="K1241" s="4">
        <v>4.0639498435484365</v>
      </c>
      <c r="L1241" s="4">
        <v>4.1521025191185776</v>
      </c>
      <c r="M1241" s="4">
        <v>4.2474447698658162</v>
      </c>
      <c r="N1241" s="4">
        <v>4.3524297620235091</v>
      </c>
      <c r="O1241" s="11">
        <f t="shared" si="19"/>
        <v>2.0647309075831923E-2</v>
      </c>
      <c r="P1241"/>
      <c r="Q1241" s="11"/>
    </row>
    <row r="1242" spans="1:17" x14ac:dyDescent="0.35">
      <c r="A1242" s="3" t="s">
        <v>29</v>
      </c>
      <c r="B1242" s="4">
        <v>8.5397740700586624</v>
      </c>
      <c r="C1242" s="4">
        <v>8.8440934569027139</v>
      </c>
      <c r="D1242" s="4">
        <v>9.180553111611232</v>
      </c>
      <c r="E1242" s="4">
        <v>9.535089632860192</v>
      </c>
      <c r="F1242" s="4">
        <v>9.9100008264152262</v>
      </c>
      <c r="G1242" s="4">
        <v>10.304659604591901</v>
      </c>
      <c r="H1242" s="4">
        <v>10.718322158688851</v>
      </c>
      <c r="I1242" s="4">
        <v>11.154037809242455</v>
      </c>
      <c r="J1242" s="4">
        <v>11.619147619683702</v>
      </c>
      <c r="K1242" s="4">
        <v>12.119560089405065</v>
      </c>
      <c r="L1242" s="4">
        <v>12.651883815450919</v>
      </c>
      <c r="M1242" s="4">
        <v>13.214979779604024</v>
      </c>
      <c r="N1242" s="4">
        <v>13.815009470413328</v>
      </c>
      <c r="O1242" s="11">
        <f t="shared" si="19"/>
        <v>4.2769258801105013E-2</v>
      </c>
      <c r="P1242"/>
      <c r="Q1242" s="11"/>
    </row>
    <row r="1243" spans="1:17" x14ac:dyDescent="0.35">
      <c r="A1243" s="3" t="s">
        <v>31</v>
      </c>
      <c r="B1243" s="4">
        <v>4.6753098668401618</v>
      </c>
      <c r="C1243" s="4">
        <v>4.7960584000977677</v>
      </c>
      <c r="D1243" s="4">
        <v>4.9321833912882713</v>
      </c>
      <c r="E1243" s="4">
        <v>5.0736460803709944</v>
      </c>
      <c r="F1243" s="4">
        <v>5.221936462403983</v>
      </c>
      <c r="G1243" s="4">
        <v>5.3800438058906082</v>
      </c>
      <c r="H1243" s="4">
        <v>5.5522163582433519</v>
      </c>
      <c r="I1243" s="4">
        <v>5.7423853857375464</v>
      </c>
      <c r="J1243" s="4">
        <v>5.9444162127113325</v>
      </c>
      <c r="K1243" s="4">
        <v>6.1592027343192521</v>
      </c>
      <c r="L1243" s="4">
        <v>6.393808927701448</v>
      </c>
      <c r="M1243" s="4">
        <v>6.6503778726862217</v>
      </c>
      <c r="N1243" s="4">
        <v>6.931341740745248</v>
      </c>
      <c r="O1243" s="11">
        <f t="shared" si="19"/>
        <v>3.6856813017527815E-2</v>
      </c>
      <c r="P1243"/>
      <c r="Q1243" s="11"/>
    </row>
    <row r="1244" spans="1:17" x14ac:dyDescent="0.35">
      <c r="A1244" s="3" t="s">
        <v>28</v>
      </c>
      <c r="B1244" s="4">
        <v>12.657786936737214</v>
      </c>
      <c r="C1244" s="4">
        <v>12.921712335099944</v>
      </c>
      <c r="D1244" s="4">
        <v>13.170837604282717</v>
      </c>
      <c r="E1244" s="4">
        <v>13.433843607907534</v>
      </c>
      <c r="F1244" s="4">
        <v>13.697156024388725</v>
      </c>
      <c r="G1244" s="4">
        <v>13.968366244319419</v>
      </c>
      <c r="H1244" s="4">
        <v>14.28484583625448</v>
      </c>
      <c r="I1244" s="4">
        <v>14.605776154032505</v>
      </c>
      <c r="J1244" s="4">
        <v>14.955260473652586</v>
      </c>
      <c r="K1244" s="4">
        <v>15.319748239208032</v>
      </c>
      <c r="L1244" s="4">
        <v>15.68173354621922</v>
      </c>
      <c r="M1244" s="4">
        <v>16.076215768297487</v>
      </c>
      <c r="N1244" s="4">
        <v>16.499687561203551</v>
      </c>
      <c r="O1244" s="11">
        <f t="shared" si="19"/>
        <v>2.407761332415382E-2</v>
      </c>
      <c r="P1244"/>
      <c r="Q1244" s="11"/>
    </row>
    <row r="1245" spans="1:17" x14ac:dyDescent="0.35">
      <c r="A1245" s="3" t="s">
        <v>33</v>
      </c>
      <c r="B1245" s="4">
        <v>1.8460618733423333</v>
      </c>
      <c r="C1245" s="4">
        <v>1.8862599891194174</v>
      </c>
      <c r="D1245" s="4">
        <v>1.9319281741984127</v>
      </c>
      <c r="E1245" s="4">
        <v>1.9801716035765367</v>
      </c>
      <c r="F1245" s="4">
        <v>2.0312164993536266</v>
      </c>
      <c r="G1245" s="4">
        <v>2.0860925757467559</v>
      </c>
      <c r="H1245" s="4">
        <v>2.1440313999070888</v>
      </c>
      <c r="I1245" s="4">
        <v>2.2059978099176485</v>
      </c>
      <c r="J1245" s="4">
        <v>2.2731905709015874</v>
      </c>
      <c r="K1245" s="4">
        <v>2.3442535319976736</v>
      </c>
      <c r="L1245" s="4">
        <v>2.4204299886990324</v>
      </c>
      <c r="M1245" s="4">
        <v>2.5021582220424405</v>
      </c>
      <c r="N1245" s="4">
        <v>2.5910369004484064</v>
      </c>
      <c r="O1245" s="11">
        <f t="shared" si="19"/>
        <v>3.1450936161031853E-2</v>
      </c>
      <c r="P1245"/>
      <c r="Q1245" s="11"/>
    </row>
    <row r="1246" spans="1:17" x14ac:dyDescent="0.35">
      <c r="A1246" s="2" t="s">
        <v>34</v>
      </c>
      <c r="O1246" s="11" t="str">
        <f t="shared" si="19"/>
        <v/>
      </c>
      <c r="P1246"/>
      <c r="Q1246" s="11"/>
    </row>
    <row r="1247" spans="1:17" x14ac:dyDescent="0.35">
      <c r="A1247" s="3" t="s">
        <v>36</v>
      </c>
      <c r="B1247" s="4">
        <v>13.329917443006016</v>
      </c>
      <c r="C1247" s="4">
        <v>13.823879726635433</v>
      </c>
      <c r="D1247" s="4">
        <v>14.339930936153383</v>
      </c>
      <c r="E1247" s="4">
        <v>14.883593548103965</v>
      </c>
      <c r="F1247" s="4">
        <v>15.461436474545977</v>
      </c>
      <c r="G1247" s="4">
        <v>16.072589395070548</v>
      </c>
      <c r="H1247" s="4">
        <v>16.712351813755919</v>
      </c>
      <c r="I1247" s="4">
        <v>17.392559597479462</v>
      </c>
      <c r="J1247" s="4">
        <v>18.127491896247143</v>
      </c>
      <c r="K1247" s="4">
        <v>18.905150467216899</v>
      </c>
      <c r="L1247" s="4">
        <v>19.741252994948702</v>
      </c>
      <c r="M1247" s="4">
        <v>20.634672876928693</v>
      </c>
      <c r="N1247" s="4">
        <v>21.590430257416305</v>
      </c>
      <c r="O1247" s="11">
        <f t="shared" si="19"/>
        <v>4.3063571556743341E-2</v>
      </c>
      <c r="P1247"/>
      <c r="Q1247" s="11"/>
    </row>
    <row r="1248" spans="1:17" x14ac:dyDescent="0.35">
      <c r="A1248" s="3" t="s">
        <v>37</v>
      </c>
      <c r="B1248" s="4">
        <v>8.0797362343545096</v>
      </c>
      <c r="C1248" s="4">
        <v>8.2887266517583029</v>
      </c>
      <c r="D1248" s="4">
        <v>8.5243073793802218</v>
      </c>
      <c r="E1248" s="4">
        <v>8.7691314424247402</v>
      </c>
      <c r="F1248" s="4">
        <v>9.0257751634522521</v>
      </c>
      <c r="G1248" s="4">
        <v>9.2994066529854962</v>
      </c>
      <c r="H1248" s="4">
        <v>9.5973709521525432</v>
      </c>
      <c r="I1248" s="4">
        <v>9.9264662929284366</v>
      </c>
      <c r="J1248" s="4">
        <v>10.276091633006041</v>
      </c>
      <c r="K1248" s="4">
        <v>10.647794589423304</v>
      </c>
      <c r="L1248" s="4">
        <v>11.053789614905515</v>
      </c>
      <c r="M1248" s="4">
        <v>11.497785624118833</v>
      </c>
      <c r="N1248" s="4">
        <v>11.983991895042072</v>
      </c>
      <c r="O1248" s="11">
        <f t="shared" si="19"/>
        <v>3.6895956840813579E-2</v>
      </c>
      <c r="P1248"/>
      <c r="Q1248" s="11"/>
    </row>
    <row r="1249" spans="1:17" x14ac:dyDescent="0.35">
      <c r="A1249" s="3" t="s">
        <v>35</v>
      </c>
      <c r="B1249" s="4">
        <v>12.320308124175924</v>
      </c>
      <c r="C1249" s="4">
        <v>12.531077367470697</v>
      </c>
      <c r="D1249" s="4">
        <v>12.759572716799845</v>
      </c>
      <c r="E1249" s="4">
        <v>13.000920744705105</v>
      </c>
      <c r="F1249" s="4">
        <v>13.238359689832464</v>
      </c>
      <c r="G1249" s="4">
        <v>13.484759083586116</v>
      </c>
      <c r="H1249" s="4">
        <v>13.777773826067261</v>
      </c>
      <c r="I1249" s="4">
        <v>14.081333896006992</v>
      </c>
      <c r="J1249" s="4">
        <v>14.404673951882792</v>
      </c>
      <c r="K1249" s="4">
        <v>14.756290056895246</v>
      </c>
      <c r="L1249" s="4">
        <v>15.100756262123767</v>
      </c>
      <c r="M1249" s="4">
        <v>15.476994376110795</v>
      </c>
      <c r="N1249" s="4">
        <v>15.888504257034654</v>
      </c>
      <c r="O1249" s="11">
        <f t="shared" si="19"/>
        <v>2.3710405159790726E-2</v>
      </c>
      <c r="P1249"/>
      <c r="Q1249" s="11"/>
    </row>
    <row r="1250" spans="1:17" x14ac:dyDescent="0.35">
      <c r="A1250" s="3" t="s">
        <v>38</v>
      </c>
      <c r="B1250" s="4">
        <v>3.6115584643888434</v>
      </c>
      <c r="C1250" s="4">
        <v>3.6984665260329401</v>
      </c>
      <c r="D1250" s="4">
        <v>3.78847839867605</v>
      </c>
      <c r="E1250" s="4">
        <v>3.8828861456946768</v>
      </c>
      <c r="F1250" s="4">
        <v>3.9831863591020795</v>
      </c>
      <c r="G1250" s="4">
        <v>4.0888792767266002</v>
      </c>
      <c r="H1250" s="4">
        <v>4.198509351931456</v>
      </c>
      <c r="I1250" s="4">
        <v>4.3148420827087541</v>
      </c>
      <c r="J1250" s="4">
        <v>4.4411062674324677</v>
      </c>
      <c r="K1250" s="4">
        <v>4.5739246754626244</v>
      </c>
      <c r="L1250" s="4">
        <v>4.7167837970118347</v>
      </c>
      <c r="M1250" s="4">
        <v>4.8689646711358359</v>
      </c>
      <c r="N1250" s="4">
        <v>5.0312240437607052</v>
      </c>
      <c r="O1250" s="11">
        <f t="shared" si="19"/>
        <v>3.0070744365733319E-2</v>
      </c>
      <c r="P1250"/>
      <c r="Q1250" s="11"/>
    </row>
    <row r="1251" spans="1:17" x14ac:dyDescent="0.35">
      <c r="A1251" s="2" t="s">
        <v>22</v>
      </c>
      <c r="O1251" s="11" t="str">
        <f t="shared" si="19"/>
        <v/>
      </c>
      <c r="P1251"/>
      <c r="Q1251" s="11"/>
    </row>
    <row r="1252" spans="1:17" x14ac:dyDescent="0.35">
      <c r="A1252" s="3" t="s">
        <v>39</v>
      </c>
      <c r="B1252" s="4">
        <v>9.6204593313185143</v>
      </c>
      <c r="C1252" s="4">
        <v>9.9392954394009081</v>
      </c>
      <c r="D1252" s="4">
        <v>10.274745760790378</v>
      </c>
      <c r="E1252" s="4">
        <v>10.627896179209856</v>
      </c>
      <c r="F1252" s="4">
        <v>10.977745023200704</v>
      </c>
      <c r="G1252" s="4">
        <v>11.334750961472238</v>
      </c>
      <c r="H1252" s="4">
        <v>11.740025238755003</v>
      </c>
      <c r="I1252" s="4">
        <v>12.147930786717019</v>
      </c>
      <c r="J1252" s="4">
        <v>12.582301136309773</v>
      </c>
      <c r="K1252" s="4">
        <v>13.049139097211217</v>
      </c>
      <c r="L1252" s="4">
        <v>13.508512389925755</v>
      </c>
      <c r="M1252" s="4">
        <v>14.010287912608973</v>
      </c>
      <c r="N1252" s="4">
        <v>14.551776215879912</v>
      </c>
      <c r="O1252" s="11">
        <f t="shared" si="19"/>
        <v>3.6335976436560703E-2</v>
      </c>
      <c r="P1252"/>
      <c r="Q1252" s="11"/>
    </row>
    <row r="1253" spans="1:17" x14ac:dyDescent="0.35">
      <c r="A1253" s="3" t="s">
        <v>41</v>
      </c>
      <c r="B1253" s="4">
        <v>7.4398155547416831</v>
      </c>
      <c r="C1253" s="4">
        <v>7.532824537655352</v>
      </c>
      <c r="D1253" s="4">
        <v>7.6462488828095765</v>
      </c>
      <c r="E1253" s="4">
        <v>7.7636663694385932</v>
      </c>
      <c r="F1253" s="4">
        <v>7.8871260785989863</v>
      </c>
      <c r="G1253" s="4">
        <v>8.0208301933304629</v>
      </c>
      <c r="H1253" s="4">
        <v>8.1706331411509527</v>
      </c>
      <c r="I1253" s="4">
        <v>8.3416091760358082</v>
      </c>
      <c r="J1253" s="4">
        <v>8.5239321719300847</v>
      </c>
      <c r="K1253" s="4">
        <v>8.7183387676321438</v>
      </c>
      <c r="L1253" s="4">
        <v>8.9342485735453288</v>
      </c>
      <c r="M1253" s="4">
        <v>9.1737077103673617</v>
      </c>
      <c r="N1253" s="4">
        <v>9.439034005285043</v>
      </c>
      <c r="O1253" s="11">
        <f t="shared" si="19"/>
        <v>2.3531411732006315E-2</v>
      </c>
      <c r="P1253"/>
      <c r="Q1253" s="11"/>
    </row>
    <row r="1254" spans="1:17" x14ac:dyDescent="0.35">
      <c r="A1254" s="3" t="s">
        <v>40</v>
      </c>
      <c r="B1254" s="4">
        <v>9.9134938709526761</v>
      </c>
      <c r="C1254" s="4">
        <v>10.156492066094691</v>
      </c>
      <c r="D1254" s="4">
        <v>10.408226971530015</v>
      </c>
      <c r="E1254" s="4">
        <v>10.67225970808553</v>
      </c>
      <c r="F1254" s="4">
        <v>10.952719768588546</v>
      </c>
      <c r="G1254" s="4">
        <v>11.248254391782575</v>
      </c>
      <c r="H1254" s="4">
        <v>11.55487912492077</v>
      </c>
      <c r="I1254" s="4">
        <v>11.880219441838793</v>
      </c>
      <c r="J1254" s="4">
        <v>12.233189725867364</v>
      </c>
      <c r="K1254" s="4">
        <v>12.604523303650408</v>
      </c>
      <c r="L1254" s="4">
        <v>13.003851921776601</v>
      </c>
      <c r="M1254" s="4">
        <v>13.429229900668682</v>
      </c>
      <c r="N1254" s="4">
        <v>13.882778323057481</v>
      </c>
      <c r="O1254" s="11">
        <f t="shared" si="19"/>
        <v>3.0518740775730916E-2</v>
      </c>
      <c r="P1254"/>
      <c r="Q1254" s="11"/>
    </row>
    <row r="1255" spans="1:17" x14ac:dyDescent="0.35">
      <c r="A1255" s="3" t="s">
        <v>42</v>
      </c>
      <c r="B1255" s="4">
        <v>10.367751508912415</v>
      </c>
      <c r="C1255" s="4">
        <v>10.713538228746422</v>
      </c>
      <c r="D1255" s="4">
        <v>11.083067815879527</v>
      </c>
      <c r="E1255" s="4">
        <v>11.472709624194508</v>
      </c>
      <c r="F1255" s="4">
        <v>11.891166816544532</v>
      </c>
      <c r="G1255" s="4">
        <v>12.341798861783486</v>
      </c>
      <c r="H1255" s="4">
        <v>12.820468439080454</v>
      </c>
      <c r="I1255" s="4">
        <v>13.345442464532027</v>
      </c>
      <c r="J1255" s="4">
        <v>13.909940714461223</v>
      </c>
      <c r="K1255" s="4">
        <v>14.511158620504313</v>
      </c>
      <c r="L1255" s="4">
        <v>15.165969783742131</v>
      </c>
      <c r="M1255" s="4">
        <v>15.865192024649135</v>
      </c>
      <c r="N1255" s="4">
        <v>16.620561909031299</v>
      </c>
      <c r="O1255" s="11">
        <f t="shared" si="19"/>
        <v>4.3438238941617198E-2</v>
      </c>
      <c r="P1255"/>
      <c r="Q1255" s="11"/>
    </row>
    <row r="1256" spans="1:17" x14ac:dyDescent="0.35">
      <c r="B1256"/>
      <c r="C1256"/>
      <c r="D1256"/>
      <c r="E1256"/>
      <c r="F1256"/>
      <c r="G1256"/>
      <c r="H1256"/>
      <c r="I1256"/>
      <c r="J1256"/>
      <c r="K1256"/>
      <c r="L1256"/>
      <c r="M1256"/>
      <c r="N1256"/>
      <c r="O1256" s="11" t="str">
        <f t="shared" si="19"/>
        <v/>
      </c>
      <c r="P1256"/>
      <c r="Q1256" s="11"/>
    </row>
    <row r="1257" spans="1:17" x14ac:dyDescent="0.35">
      <c r="B1257"/>
      <c r="C1257"/>
      <c r="D1257"/>
      <c r="E1257"/>
      <c r="F1257"/>
      <c r="G1257"/>
      <c r="H1257"/>
      <c r="I1257"/>
      <c r="J1257"/>
      <c r="K1257"/>
      <c r="L1257"/>
      <c r="M1257"/>
      <c r="N1257"/>
      <c r="O1257" s="11" t="str">
        <f t="shared" si="19"/>
        <v/>
      </c>
      <c r="P1257"/>
      <c r="Q1257" s="11"/>
    </row>
    <row r="1258" spans="1:17" x14ac:dyDescent="0.35">
      <c r="B1258"/>
      <c r="C1258"/>
      <c r="D1258"/>
      <c r="E1258"/>
      <c r="F1258"/>
      <c r="G1258"/>
      <c r="H1258"/>
      <c r="I1258"/>
      <c r="J1258"/>
      <c r="K1258"/>
      <c r="L1258"/>
      <c r="M1258"/>
      <c r="N1258"/>
      <c r="O1258" s="11" t="str">
        <f t="shared" si="19"/>
        <v/>
      </c>
      <c r="P1258"/>
      <c r="Q1258" s="11"/>
    </row>
    <row r="1259" spans="1:17" x14ac:dyDescent="0.35">
      <c r="B1259"/>
      <c r="C1259"/>
      <c r="D1259"/>
      <c r="E1259"/>
      <c r="F1259"/>
      <c r="G1259"/>
      <c r="H1259"/>
      <c r="I1259"/>
      <c r="J1259"/>
      <c r="K1259"/>
      <c r="L1259"/>
      <c r="M1259"/>
      <c r="N1259"/>
      <c r="O1259" s="11" t="str">
        <f t="shared" si="19"/>
        <v/>
      </c>
      <c r="P1259"/>
      <c r="Q1259" s="11"/>
    </row>
    <row r="1260" spans="1:17" x14ac:dyDescent="0.35">
      <c r="B1260"/>
      <c r="C1260"/>
      <c r="D1260"/>
      <c r="E1260"/>
      <c r="F1260"/>
      <c r="G1260"/>
      <c r="H1260"/>
      <c r="I1260"/>
      <c r="J1260"/>
      <c r="K1260"/>
      <c r="L1260"/>
      <c r="M1260"/>
      <c r="N1260"/>
      <c r="O1260" s="11" t="str">
        <f t="shared" si="19"/>
        <v/>
      </c>
      <c r="P1260"/>
      <c r="Q1260" s="11"/>
    </row>
    <row r="1261" spans="1:17" x14ac:dyDescent="0.35">
      <c r="B1261"/>
      <c r="C1261"/>
      <c r="D1261"/>
      <c r="E1261"/>
      <c r="F1261"/>
      <c r="G1261"/>
      <c r="H1261"/>
      <c r="I1261"/>
      <c r="J1261"/>
      <c r="K1261"/>
      <c r="L1261"/>
      <c r="M1261"/>
      <c r="N1261"/>
      <c r="O1261" s="11" t="str">
        <f t="shared" si="19"/>
        <v/>
      </c>
      <c r="P1261"/>
      <c r="Q1261" s="11"/>
    </row>
    <row r="1262" spans="1:17" x14ac:dyDescent="0.35">
      <c r="B1262"/>
      <c r="C1262"/>
      <c r="D1262"/>
      <c r="E1262"/>
      <c r="F1262"/>
      <c r="G1262"/>
      <c r="H1262"/>
      <c r="I1262"/>
      <c r="J1262"/>
      <c r="K1262"/>
      <c r="L1262"/>
      <c r="M1262"/>
      <c r="N1262"/>
      <c r="O1262" s="11" t="str">
        <f t="shared" si="19"/>
        <v/>
      </c>
      <c r="P1262"/>
      <c r="Q1262" s="11"/>
    </row>
    <row r="1263" spans="1:17" x14ac:dyDescent="0.35">
      <c r="B1263"/>
      <c r="C1263"/>
      <c r="D1263"/>
      <c r="E1263"/>
      <c r="F1263"/>
      <c r="G1263"/>
      <c r="H1263"/>
      <c r="I1263"/>
      <c r="J1263"/>
      <c r="K1263"/>
      <c r="L1263"/>
      <c r="M1263"/>
      <c r="N1263"/>
      <c r="O1263" s="11" t="str">
        <f t="shared" si="19"/>
        <v/>
      </c>
      <c r="P1263"/>
      <c r="Q1263" s="11"/>
    </row>
    <row r="1264" spans="1:17" x14ac:dyDescent="0.35">
      <c r="B1264"/>
      <c r="C1264"/>
      <c r="D1264"/>
      <c r="E1264"/>
      <c r="F1264"/>
      <c r="G1264"/>
      <c r="H1264"/>
      <c r="I1264"/>
      <c r="J1264"/>
      <c r="K1264"/>
      <c r="L1264"/>
      <c r="M1264"/>
      <c r="N1264"/>
      <c r="O1264" s="11" t="str">
        <f t="shared" si="19"/>
        <v/>
      </c>
      <c r="P1264"/>
      <c r="Q1264" s="11"/>
    </row>
    <row r="1265" spans="2:17" x14ac:dyDescent="0.35">
      <c r="B1265"/>
      <c r="C1265"/>
      <c r="D1265"/>
      <c r="E1265"/>
      <c r="F1265"/>
      <c r="G1265"/>
      <c r="H1265"/>
      <c r="I1265"/>
      <c r="J1265"/>
      <c r="K1265"/>
      <c r="L1265"/>
      <c r="M1265"/>
      <c r="N1265"/>
      <c r="O1265" s="11" t="str">
        <f t="shared" si="19"/>
        <v/>
      </c>
      <c r="P1265"/>
      <c r="Q1265" s="11"/>
    </row>
    <row r="1266" spans="2:17" x14ac:dyDescent="0.35">
      <c r="B1266"/>
      <c r="C1266"/>
      <c r="D1266"/>
      <c r="E1266"/>
      <c r="F1266"/>
      <c r="G1266"/>
      <c r="H1266"/>
      <c r="I1266"/>
      <c r="J1266"/>
      <c r="K1266"/>
      <c r="L1266"/>
      <c r="M1266"/>
      <c r="N1266"/>
      <c r="O1266" s="11" t="str">
        <f t="shared" si="19"/>
        <v/>
      </c>
      <c r="P1266"/>
      <c r="Q1266" s="11"/>
    </row>
    <row r="1267" spans="2:17" x14ac:dyDescent="0.35">
      <c r="B1267"/>
      <c r="C1267"/>
      <c r="D1267"/>
      <c r="E1267"/>
      <c r="F1267"/>
      <c r="G1267"/>
      <c r="H1267"/>
      <c r="I1267"/>
      <c r="J1267"/>
      <c r="K1267"/>
      <c r="L1267"/>
      <c r="M1267"/>
      <c r="N1267"/>
      <c r="O1267" s="11" t="str">
        <f t="shared" si="19"/>
        <v/>
      </c>
      <c r="P1267"/>
      <c r="Q1267" s="11"/>
    </row>
    <row r="1268" spans="2:17" x14ac:dyDescent="0.35">
      <c r="B1268"/>
      <c r="C1268"/>
      <c r="D1268"/>
      <c r="E1268"/>
      <c r="F1268"/>
      <c r="G1268"/>
      <c r="H1268"/>
      <c r="I1268"/>
      <c r="J1268"/>
      <c r="K1268"/>
      <c r="L1268"/>
      <c r="M1268"/>
      <c r="N1268"/>
      <c r="O1268" s="11" t="str">
        <f t="shared" si="19"/>
        <v/>
      </c>
      <c r="P1268"/>
      <c r="Q1268" s="11"/>
    </row>
    <row r="1269" spans="2:17" x14ac:dyDescent="0.35">
      <c r="B1269"/>
      <c r="C1269"/>
      <c r="D1269"/>
      <c r="E1269"/>
      <c r="F1269"/>
      <c r="G1269"/>
      <c r="H1269"/>
      <c r="I1269"/>
      <c r="J1269"/>
      <c r="K1269"/>
      <c r="L1269"/>
      <c r="M1269"/>
      <c r="N1269"/>
      <c r="O1269" s="11" t="str">
        <f t="shared" si="19"/>
        <v/>
      </c>
      <c r="P1269"/>
      <c r="Q1269" s="11"/>
    </row>
    <row r="1270" spans="2:17" x14ac:dyDescent="0.35">
      <c r="B1270"/>
      <c r="C1270"/>
      <c r="D1270"/>
      <c r="E1270"/>
      <c r="F1270"/>
      <c r="G1270"/>
      <c r="H1270"/>
      <c r="I1270"/>
      <c r="J1270"/>
      <c r="K1270"/>
      <c r="L1270"/>
      <c r="M1270"/>
      <c r="N1270"/>
      <c r="O1270" s="11" t="str">
        <f t="shared" si="19"/>
        <v/>
      </c>
      <c r="P1270"/>
      <c r="Q1270" s="11"/>
    </row>
    <row r="1271" spans="2:17" x14ac:dyDescent="0.35">
      <c r="B1271"/>
      <c r="C1271"/>
      <c r="D1271"/>
      <c r="E1271"/>
      <c r="F1271"/>
      <c r="G1271"/>
      <c r="H1271"/>
      <c r="I1271"/>
      <c r="J1271"/>
      <c r="K1271"/>
      <c r="L1271"/>
      <c r="M1271"/>
      <c r="N1271"/>
      <c r="O1271" s="11" t="str">
        <f t="shared" si="19"/>
        <v/>
      </c>
      <c r="P1271"/>
      <c r="Q1271" s="11"/>
    </row>
    <row r="1272" spans="2:17" x14ac:dyDescent="0.35">
      <c r="B1272"/>
      <c r="C1272"/>
      <c r="D1272"/>
      <c r="E1272"/>
      <c r="F1272"/>
      <c r="G1272"/>
      <c r="H1272"/>
      <c r="I1272"/>
      <c r="J1272"/>
      <c r="K1272"/>
      <c r="L1272"/>
      <c r="M1272"/>
      <c r="N1272"/>
      <c r="O1272" s="11" t="str">
        <f t="shared" si="19"/>
        <v/>
      </c>
      <c r="P1272"/>
      <c r="Q1272" s="11"/>
    </row>
    <row r="1273" spans="2:17" x14ac:dyDescent="0.35">
      <c r="B1273"/>
      <c r="C1273"/>
      <c r="D1273"/>
      <c r="E1273"/>
      <c r="F1273"/>
      <c r="G1273"/>
      <c r="H1273"/>
      <c r="I1273"/>
      <c r="J1273"/>
      <c r="K1273"/>
      <c r="L1273"/>
      <c r="M1273"/>
      <c r="N1273"/>
      <c r="O1273" s="11" t="str">
        <f t="shared" si="19"/>
        <v/>
      </c>
      <c r="P1273"/>
      <c r="Q1273" s="11"/>
    </row>
    <row r="1274" spans="2:17" x14ac:dyDescent="0.35">
      <c r="B1274"/>
      <c r="C1274"/>
      <c r="D1274"/>
      <c r="E1274"/>
      <c r="F1274"/>
      <c r="G1274"/>
      <c r="H1274"/>
      <c r="I1274"/>
      <c r="J1274"/>
      <c r="K1274"/>
      <c r="L1274"/>
      <c r="M1274"/>
      <c r="N1274"/>
      <c r="O1274" s="11" t="str">
        <f t="shared" si="19"/>
        <v/>
      </c>
      <c r="P1274"/>
      <c r="Q1274" s="11"/>
    </row>
    <row r="1275" spans="2:17" x14ac:dyDescent="0.35">
      <c r="B1275"/>
      <c r="C1275"/>
      <c r="D1275"/>
      <c r="E1275"/>
      <c r="F1275"/>
      <c r="G1275"/>
      <c r="H1275"/>
      <c r="I1275"/>
      <c r="J1275"/>
      <c r="K1275"/>
      <c r="L1275"/>
      <c r="M1275"/>
      <c r="N1275"/>
      <c r="O1275" s="11" t="str">
        <f t="shared" si="19"/>
        <v/>
      </c>
      <c r="P1275"/>
      <c r="Q1275" s="11"/>
    </row>
    <row r="1276" spans="2:17" x14ac:dyDescent="0.35">
      <c r="B1276"/>
      <c r="C1276"/>
      <c r="D1276"/>
      <c r="E1276"/>
      <c r="F1276"/>
      <c r="G1276"/>
      <c r="H1276"/>
      <c r="I1276"/>
      <c r="J1276"/>
      <c r="K1276"/>
      <c r="L1276"/>
      <c r="M1276"/>
      <c r="N1276"/>
      <c r="O1276" s="11" t="str">
        <f t="shared" si="19"/>
        <v/>
      </c>
      <c r="P1276"/>
      <c r="Q1276" s="11"/>
    </row>
    <row r="1277" spans="2:17" x14ac:dyDescent="0.35">
      <c r="B1277"/>
      <c r="C1277"/>
      <c r="D1277"/>
      <c r="E1277"/>
      <c r="F1277"/>
      <c r="G1277"/>
      <c r="H1277"/>
      <c r="I1277"/>
      <c r="J1277"/>
      <c r="K1277"/>
      <c r="L1277"/>
      <c r="M1277"/>
      <c r="N1277"/>
      <c r="O1277" s="11" t="str">
        <f t="shared" si="19"/>
        <v/>
      </c>
      <c r="P1277"/>
      <c r="Q1277" s="11"/>
    </row>
    <row r="1278" spans="2:17" x14ac:dyDescent="0.35">
      <c r="B1278"/>
      <c r="C1278"/>
      <c r="D1278"/>
      <c r="E1278"/>
      <c r="F1278"/>
      <c r="G1278"/>
      <c r="H1278"/>
      <c r="I1278"/>
      <c r="J1278"/>
      <c r="K1278"/>
      <c r="L1278"/>
      <c r="M1278"/>
      <c r="N1278"/>
      <c r="O1278" s="11" t="str">
        <f t="shared" si="19"/>
        <v/>
      </c>
      <c r="P1278"/>
      <c r="Q1278" s="11"/>
    </row>
    <row r="1279" spans="2:17" x14ac:dyDescent="0.35">
      <c r="B1279"/>
      <c r="C1279"/>
      <c r="D1279"/>
      <c r="E1279"/>
      <c r="F1279"/>
      <c r="G1279"/>
      <c r="H1279"/>
      <c r="I1279"/>
      <c r="J1279"/>
      <c r="K1279"/>
      <c r="L1279"/>
      <c r="M1279"/>
      <c r="N1279"/>
      <c r="O1279" s="11" t="str">
        <f t="shared" si="19"/>
        <v/>
      </c>
      <c r="P1279"/>
      <c r="Q1279" s="11"/>
    </row>
    <row r="1280" spans="2:17" x14ac:dyDescent="0.35">
      <c r="B1280"/>
      <c r="C1280"/>
      <c r="D1280"/>
      <c r="E1280"/>
      <c r="F1280"/>
      <c r="G1280"/>
      <c r="H1280"/>
      <c r="I1280"/>
      <c r="J1280"/>
      <c r="K1280"/>
      <c r="L1280"/>
      <c r="M1280"/>
      <c r="N1280"/>
      <c r="O1280" s="11" t="str">
        <f t="shared" si="19"/>
        <v/>
      </c>
      <c r="P1280"/>
      <c r="Q1280" s="11"/>
    </row>
    <row r="1281" spans="2:17" x14ac:dyDescent="0.35">
      <c r="B1281"/>
      <c r="C1281"/>
      <c r="D1281"/>
      <c r="E1281"/>
      <c r="F1281"/>
      <c r="G1281"/>
      <c r="H1281"/>
      <c r="I1281"/>
      <c r="J1281"/>
      <c r="K1281"/>
      <c r="L1281"/>
      <c r="M1281"/>
      <c r="N1281"/>
      <c r="O1281" s="11" t="str">
        <f t="shared" si="19"/>
        <v/>
      </c>
      <c r="P1281"/>
      <c r="Q1281" s="11"/>
    </row>
    <row r="1282" spans="2:17" x14ac:dyDescent="0.35">
      <c r="B1282"/>
      <c r="C1282"/>
      <c r="D1282"/>
      <c r="E1282"/>
      <c r="F1282"/>
      <c r="G1282"/>
      <c r="H1282"/>
      <c r="I1282"/>
      <c r="J1282"/>
      <c r="K1282"/>
      <c r="L1282"/>
      <c r="M1282"/>
      <c r="N1282"/>
      <c r="O1282" s="11" t="str">
        <f t="shared" si="19"/>
        <v/>
      </c>
      <c r="P1282"/>
      <c r="Q1282" s="11"/>
    </row>
    <row r="1283" spans="2:17" x14ac:dyDescent="0.35">
      <c r="B1283"/>
      <c r="C1283"/>
      <c r="D1283"/>
      <c r="E1283"/>
      <c r="F1283"/>
      <c r="G1283"/>
      <c r="H1283"/>
      <c r="I1283"/>
      <c r="J1283"/>
      <c r="K1283"/>
      <c r="L1283"/>
      <c r="M1283"/>
      <c r="N1283"/>
      <c r="O1283" s="11" t="str">
        <f t="shared" si="19"/>
        <v/>
      </c>
      <c r="P1283"/>
      <c r="Q1283" s="11"/>
    </row>
    <row r="1284" spans="2:17" x14ac:dyDescent="0.35">
      <c r="B1284"/>
      <c r="C1284"/>
      <c r="D1284"/>
      <c r="E1284"/>
      <c r="F1284"/>
      <c r="G1284"/>
      <c r="H1284"/>
      <c r="I1284"/>
      <c r="J1284"/>
      <c r="K1284"/>
      <c r="L1284"/>
      <c r="M1284"/>
      <c r="N1284"/>
      <c r="O1284" s="11" t="str">
        <f t="shared" si="19"/>
        <v/>
      </c>
      <c r="P1284"/>
      <c r="Q1284" s="11"/>
    </row>
    <row r="1285" spans="2:17" x14ac:dyDescent="0.35">
      <c r="B1285"/>
      <c r="C1285"/>
      <c r="D1285"/>
      <c r="E1285"/>
      <c r="F1285"/>
      <c r="G1285"/>
      <c r="H1285"/>
      <c r="I1285"/>
      <c r="J1285"/>
      <c r="K1285"/>
      <c r="L1285"/>
      <c r="M1285"/>
      <c r="N1285"/>
      <c r="O1285" s="11" t="str">
        <f t="shared" si="19"/>
        <v/>
      </c>
      <c r="P1285"/>
      <c r="Q1285" s="11"/>
    </row>
    <row r="1286" spans="2:17" x14ac:dyDescent="0.35">
      <c r="B1286"/>
      <c r="C1286"/>
      <c r="D1286"/>
      <c r="E1286"/>
      <c r="F1286"/>
      <c r="G1286"/>
      <c r="H1286"/>
      <c r="I1286"/>
      <c r="J1286"/>
      <c r="K1286"/>
      <c r="L1286"/>
      <c r="M1286"/>
      <c r="N1286"/>
      <c r="O1286" s="11" t="str">
        <f t="shared" si="19"/>
        <v/>
      </c>
      <c r="P1286"/>
      <c r="Q1286" s="11"/>
    </row>
    <row r="1287" spans="2:17" x14ac:dyDescent="0.35">
      <c r="B1287"/>
      <c r="C1287"/>
      <c r="D1287"/>
      <c r="E1287"/>
      <c r="F1287"/>
      <c r="G1287"/>
      <c r="H1287"/>
      <c r="I1287"/>
      <c r="J1287"/>
      <c r="K1287"/>
      <c r="L1287"/>
      <c r="M1287"/>
      <c r="N1287"/>
      <c r="O1287" s="11" t="str">
        <f t="shared" si="19"/>
        <v/>
      </c>
      <c r="P1287"/>
      <c r="Q1287" s="11"/>
    </row>
    <row r="1288" spans="2:17" x14ac:dyDescent="0.35">
      <c r="B1288"/>
      <c r="C1288"/>
      <c r="D1288"/>
      <c r="E1288"/>
      <c r="F1288"/>
      <c r="G1288"/>
      <c r="H1288"/>
      <c r="I1288"/>
      <c r="J1288"/>
      <c r="K1288"/>
      <c r="L1288"/>
      <c r="M1288"/>
      <c r="N1288"/>
      <c r="O1288" s="11" t="str">
        <f t="shared" si="19"/>
        <v/>
      </c>
      <c r="P1288"/>
      <c r="Q1288" s="11"/>
    </row>
    <row r="1289" spans="2:17" x14ac:dyDescent="0.35">
      <c r="B1289"/>
      <c r="C1289"/>
      <c r="D1289"/>
      <c r="E1289"/>
      <c r="F1289"/>
      <c r="G1289"/>
      <c r="H1289"/>
      <c r="I1289"/>
      <c r="J1289"/>
      <c r="K1289"/>
      <c r="L1289"/>
      <c r="M1289"/>
      <c r="N1289"/>
      <c r="O1289" s="11" t="str">
        <f t="shared" si="19"/>
        <v/>
      </c>
      <c r="P1289"/>
      <c r="Q1289" s="11"/>
    </row>
    <row r="1290" spans="2:17" x14ac:dyDescent="0.35">
      <c r="B1290"/>
      <c r="C1290"/>
      <c r="D1290"/>
      <c r="E1290"/>
      <c r="F1290"/>
      <c r="G1290"/>
      <c r="H1290"/>
      <c r="I1290"/>
      <c r="J1290"/>
      <c r="K1290"/>
      <c r="L1290"/>
      <c r="M1290"/>
      <c r="N1290"/>
      <c r="O1290" s="11" t="str">
        <f t="shared" si="19"/>
        <v/>
      </c>
      <c r="P1290"/>
      <c r="Q1290" s="11"/>
    </row>
    <row r="1291" spans="2:17" x14ac:dyDescent="0.35">
      <c r="B1291"/>
      <c r="C1291"/>
      <c r="D1291"/>
      <c r="E1291"/>
      <c r="F1291"/>
      <c r="G1291"/>
      <c r="H1291"/>
      <c r="I1291"/>
      <c r="J1291"/>
      <c r="K1291"/>
      <c r="L1291"/>
      <c r="M1291"/>
      <c r="N1291"/>
      <c r="O1291" s="11" t="str">
        <f t="shared" si="19"/>
        <v/>
      </c>
      <c r="P1291"/>
      <c r="Q1291" s="11"/>
    </row>
    <row r="1292" spans="2:17" x14ac:dyDescent="0.35">
      <c r="B1292"/>
      <c r="C1292"/>
      <c r="D1292"/>
      <c r="E1292"/>
      <c r="F1292"/>
      <c r="G1292"/>
      <c r="H1292"/>
      <c r="I1292"/>
      <c r="J1292"/>
      <c r="K1292"/>
      <c r="L1292"/>
      <c r="M1292"/>
      <c r="N1292"/>
      <c r="O1292" s="11" t="str">
        <f t="shared" si="19"/>
        <v/>
      </c>
      <c r="P1292"/>
      <c r="Q1292" s="11"/>
    </row>
    <row r="1293" spans="2:17" x14ac:dyDescent="0.35">
      <c r="B1293"/>
      <c r="C1293"/>
      <c r="D1293"/>
      <c r="E1293"/>
      <c r="F1293"/>
      <c r="G1293"/>
      <c r="H1293"/>
      <c r="I1293"/>
      <c r="J1293"/>
      <c r="K1293"/>
      <c r="L1293"/>
      <c r="M1293"/>
      <c r="N1293"/>
      <c r="O1293" s="11" t="str">
        <f t="shared" si="19"/>
        <v/>
      </c>
      <c r="P1293"/>
      <c r="Q1293" s="11"/>
    </row>
    <row r="1294" spans="2:17" x14ac:dyDescent="0.35">
      <c r="B1294"/>
      <c r="C1294"/>
      <c r="D1294"/>
      <c r="E1294"/>
      <c r="F1294"/>
      <c r="G1294"/>
      <c r="H1294"/>
      <c r="I1294"/>
      <c r="J1294"/>
      <c r="K1294"/>
      <c r="L1294"/>
      <c r="M1294"/>
      <c r="N1294"/>
      <c r="O1294" s="11" t="str">
        <f t="shared" si="19"/>
        <v/>
      </c>
      <c r="P1294"/>
      <c r="Q1294" s="11"/>
    </row>
    <row r="1295" spans="2:17" x14ac:dyDescent="0.35">
      <c r="B1295"/>
      <c r="C1295"/>
      <c r="D1295"/>
      <c r="E1295"/>
      <c r="F1295"/>
      <c r="G1295"/>
      <c r="H1295"/>
      <c r="I1295"/>
      <c r="J1295"/>
      <c r="K1295"/>
      <c r="L1295"/>
      <c r="M1295"/>
      <c r="N1295"/>
      <c r="O1295" s="11" t="str">
        <f t="shared" si="19"/>
        <v/>
      </c>
      <c r="P1295"/>
      <c r="Q1295" s="11"/>
    </row>
    <row r="1296" spans="2:17" x14ac:dyDescent="0.35">
      <c r="B1296"/>
      <c r="C1296"/>
      <c r="D1296"/>
      <c r="E1296"/>
      <c r="F1296"/>
      <c r="G1296"/>
      <c r="H1296"/>
      <c r="I1296"/>
      <c r="J1296"/>
      <c r="K1296"/>
      <c r="L1296"/>
      <c r="M1296"/>
      <c r="N1296"/>
      <c r="O1296" s="11" t="str">
        <f t="shared" si="19"/>
        <v/>
      </c>
      <c r="P1296"/>
      <c r="Q1296" s="11"/>
    </row>
    <row r="1297" spans="2:17" x14ac:dyDescent="0.35">
      <c r="B1297"/>
      <c r="C1297"/>
      <c r="D1297"/>
      <c r="E1297"/>
      <c r="F1297"/>
      <c r="G1297"/>
      <c r="H1297"/>
      <c r="I1297"/>
      <c r="J1297"/>
      <c r="K1297"/>
      <c r="L1297"/>
      <c r="M1297"/>
      <c r="N1297"/>
      <c r="O1297" s="11" t="str">
        <f t="shared" si="19"/>
        <v/>
      </c>
      <c r="P1297"/>
      <c r="Q1297" s="11"/>
    </row>
    <row r="1298" spans="2:17" x14ac:dyDescent="0.35">
      <c r="B1298"/>
      <c r="C1298"/>
      <c r="D1298"/>
      <c r="E1298"/>
      <c r="F1298"/>
      <c r="G1298"/>
      <c r="H1298"/>
      <c r="I1298"/>
      <c r="J1298"/>
      <c r="K1298"/>
      <c r="L1298"/>
      <c r="M1298"/>
      <c r="N1298"/>
      <c r="O1298" s="11" t="str">
        <f t="shared" si="19"/>
        <v/>
      </c>
      <c r="P1298"/>
      <c r="Q1298" s="11"/>
    </row>
    <row r="1299" spans="2:17" x14ac:dyDescent="0.35">
      <c r="B1299"/>
      <c r="C1299"/>
      <c r="D1299"/>
      <c r="E1299"/>
      <c r="F1299"/>
      <c r="G1299"/>
      <c r="H1299"/>
      <c r="I1299"/>
      <c r="J1299"/>
      <c r="K1299"/>
      <c r="L1299"/>
      <c r="M1299"/>
      <c r="N1299"/>
      <c r="O1299" s="11" t="str">
        <f t="shared" si="19"/>
        <v/>
      </c>
      <c r="P1299"/>
      <c r="Q1299" s="11"/>
    </row>
    <row r="1300" spans="2:17" x14ac:dyDescent="0.35">
      <c r="B1300"/>
      <c r="C1300"/>
      <c r="D1300"/>
      <c r="E1300"/>
      <c r="F1300"/>
      <c r="G1300"/>
      <c r="H1300"/>
      <c r="I1300"/>
      <c r="J1300"/>
      <c r="K1300"/>
      <c r="L1300"/>
      <c r="M1300"/>
      <c r="N1300"/>
      <c r="O1300" s="11" t="str">
        <f t="shared" si="19"/>
        <v/>
      </c>
      <c r="P1300"/>
      <c r="Q1300" s="11"/>
    </row>
    <row r="1301" spans="2:17" x14ac:dyDescent="0.35">
      <c r="B1301"/>
      <c r="C1301"/>
      <c r="D1301"/>
      <c r="E1301"/>
      <c r="F1301"/>
      <c r="G1301"/>
      <c r="H1301"/>
      <c r="I1301"/>
      <c r="J1301"/>
      <c r="K1301"/>
      <c r="L1301"/>
      <c r="M1301"/>
      <c r="N1301"/>
      <c r="O1301" s="11" t="str">
        <f t="shared" ref="O1301:O1364" si="20">IFERROR(RATE(2033-2026,,-G1301,N1301),"")</f>
        <v/>
      </c>
      <c r="P1301"/>
      <c r="Q1301" s="11"/>
    </row>
    <row r="1302" spans="2:17" x14ac:dyDescent="0.35">
      <c r="B1302"/>
      <c r="C1302"/>
      <c r="D1302"/>
      <c r="E1302"/>
      <c r="F1302"/>
      <c r="G1302"/>
      <c r="H1302"/>
      <c r="I1302"/>
      <c r="J1302"/>
      <c r="K1302"/>
      <c r="L1302"/>
      <c r="M1302"/>
      <c r="N1302"/>
      <c r="O1302" s="11" t="str">
        <f t="shared" si="20"/>
        <v/>
      </c>
      <c r="P1302"/>
      <c r="Q1302" s="11"/>
    </row>
    <row r="1303" spans="2:17" x14ac:dyDescent="0.35">
      <c r="B1303"/>
      <c r="C1303"/>
      <c r="D1303"/>
      <c r="E1303"/>
      <c r="F1303"/>
      <c r="G1303"/>
      <c r="H1303"/>
      <c r="I1303"/>
      <c r="J1303"/>
      <c r="K1303"/>
      <c r="L1303"/>
      <c r="M1303"/>
      <c r="N1303"/>
      <c r="O1303" s="11" t="str">
        <f t="shared" si="20"/>
        <v/>
      </c>
      <c r="P1303"/>
      <c r="Q1303" s="11"/>
    </row>
    <row r="1304" spans="2:17" x14ac:dyDescent="0.35">
      <c r="B1304"/>
      <c r="C1304"/>
      <c r="D1304"/>
      <c r="E1304"/>
      <c r="F1304"/>
      <c r="G1304"/>
      <c r="H1304"/>
      <c r="I1304"/>
      <c r="J1304"/>
      <c r="K1304"/>
      <c r="L1304"/>
      <c r="M1304"/>
      <c r="N1304"/>
      <c r="O1304" s="11" t="str">
        <f t="shared" si="20"/>
        <v/>
      </c>
      <c r="P1304"/>
      <c r="Q1304" s="11"/>
    </row>
    <row r="1305" spans="2:17" x14ac:dyDescent="0.35">
      <c r="B1305"/>
      <c r="C1305"/>
      <c r="D1305"/>
      <c r="E1305"/>
      <c r="F1305"/>
      <c r="G1305"/>
      <c r="H1305"/>
      <c r="I1305"/>
      <c r="J1305"/>
      <c r="K1305"/>
      <c r="L1305"/>
      <c r="M1305"/>
      <c r="N1305"/>
      <c r="O1305" s="11" t="str">
        <f t="shared" si="20"/>
        <v/>
      </c>
      <c r="P1305"/>
      <c r="Q1305" s="11"/>
    </row>
    <row r="1306" spans="2:17" x14ac:dyDescent="0.35">
      <c r="B1306"/>
      <c r="C1306"/>
      <c r="D1306"/>
      <c r="E1306"/>
      <c r="F1306"/>
      <c r="G1306"/>
      <c r="H1306"/>
      <c r="I1306"/>
      <c r="J1306"/>
      <c r="K1306"/>
      <c r="L1306"/>
      <c r="M1306"/>
      <c r="N1306"/>
      <c r="O1306" s="11" t="str">
        <f t="shared" si="20"/>
        <v/>
      </c>
      <c r="P1306"/>
      <c r="Q1306" s="11"/>
    </row>
    <row r="1307" spans="2:17" x14ac:dyDescent="0.35">
      <c r="B1307"/>
      <c r="C1307"/>
      <c r="D1307"/>
      <c r="E1307"/>
      <c r="F1307"/>
      <c r="G1307"/>
      <c r="H1307"/>
      <c r="I1307"/>
      <c r="J1307"/>
      <c r="K1307"/>
      <c r="L1307"/>
      <c r="M1307"/>
      <c r="N1307"/>
      <c r="O1307" s="11" t="str">
        <f t="shared" si="20"/>
        <v/>
      </c>
      <c r="P1307"/>
      <c r="Q1307" s="11"/>
    </row>
    <row r="1308" spans="2:17" x14ac:dyDescent="0.35">
      <c r="B1308"/>
      <c r="C1308"/>
      <c r="D1308"/>
      <c r="E1308"/>
      <c r="F1308"/>
      <c r="G1308"/>
      <c r="H1308"/>
      <c r="I1308"/>
      <c r="J1308"/>
      <c r="K1308"/>
      <c r="L1308"/>
      <c r="M1308"/>
      <c r="N1308"/>
      <c r="O1308" s="11" t="str">
        <f t="shared" si="20"/>
        <v/>
      </c>
      <c r="P1308"/>
      <c r="Q1308" s="11"/>
    </row>
    <row r="1309" spans="2:17" x14ac:dyDescent="0.35">
      <c r="B1309"/>
      <c r="C1309"/>
      <c r="D1309"/>
      <c r="E1309"/>
      <c r="F1309"/>
      <c r="G1309"/>
      <c r="H1309"/>
      <c r="I1309"/>
      <c r="J1309"/>
      <c r="K1309"/>
      <c r="L1309"/>
      <c r="M1309"/>
      <c r="N1309"/>
      <c r="O1309" s="11" t="str">
        <f t="shared" si="20"/>
        <v/>
      </c>
      <c r="P1309"/>
      <c r="Q1309" s="11"/>
    </row>
    <row r="1310" spans="2:17" x14ac:dyDescent="0.35">
      <c r="B1310"/>
      <c r="C1310"/>
      <c r="D1310"/>
      <c r="E1310"/>
      <c r="F1310"/>
      <c r="G1310"/>
      <c r="H1310"/>
      <c r="I1310"/>
      <c r="J1310"/>
      <c r="K1310"/>
      <c r="L1310"/>
      <c r="M1310"/>
      <c r="N1310"/>
      <c r="O1310" s="11" t="str">
        <f t="shared" si="20"/>
        <v/>
      </c>
      <c r="P1310"/>
      <c r="Q1310" s="11"/>
    </row>
    <row r="1311" spans="2:17" x14ac:dyDescent="0.35">
      <c r="B1311"/>
      <c r="C1311"/>
      <c r="D1311"/>
      <c r="E1311"/>
      <c r="F1311"/>
      <c r="G1311"/>
      <c r="H1311"/>
      <c r="I1311"/>
      <c r="J1311"/>
      <c r="K1311"/>
      <c r="L1311"/>
      <c r="M1311"/>
      <c r="N1311"/>
      <c r="O1311" s="11" t="str">
        <f t="shared" si="20"/>
        <v/>
      </c>
      <c r="P1311"/>
      <c r="Q1311" s="11"/>
    </row>
    <row r="1312" spans="2:17" x14ac:dyDescent="0.35">
      <c r="B1312"/>
      <c r="C1312"/>
      <c r="D1312"/>
      <c r="E1312"/>
      <c r="F1312"/>
      <c r="G1312"/>
      <c r="H1312"/>
      <c r="I1312"/>
      <c r="J1312"/>
      <c r="K1312"/>
      <c r="L1312"/>
      <c r="M1312"/>
      <c r="N1312"/>
      <c r="O1312" s="11" t="str">
        <f t="shared" si="20"/>
        <v/>
      </c>
      <c r="P1312"/>
      <c r="Q1312" s="11"/>
    </row>
    <row r="1313" spans="2:17" x14ac:dyDescent="0.35">
      <c r="B1313"/>
      <c r="C1313"/>
      <c r="D1313"/>
      <c r="E1313"/>
      <c r="F1313"/>
      <c r="G1313"/>
      <c r="H1313"/>
      <c r="I1313"/>
      <c r="J1313"/>
      <c r="K1313"/>
      <c r="L1313"/>
      <c r="M1313"/>
      <c r="N1313"/>
      <c r="O1313" s="11" t="str">
        <f t="shared" si="20"/>
        <v/>
      </c>
      <c r="P1313"/>
      <c r="Q1313" s="11"/>
    </row>
    <row r="1314" spans="2:17" x14ac:dyDescent="0.35">
      <c r="B1314"/>
      <c r="C1314"/>
      <c r="D1314"/>
      <c r="E1314"/>
      <c r="F1314"/>
      <c r="G1314"/>
      <c r="H1314"/>
      <c r="I1314"/>
      <c r="J1314"/>
      <c r="K1314"/>
      <c r="L1314"/>
      <c r="M1314"/>
      <c r="N1314"/>
      <c r="O1314" s="11" t="str">
        <f t="shared" si="20"/>
        <v/>
      </c>
      <c r="P1314"/>
      <c r="Q1314" s="11"/>
    </row>
    <row r="1315" spans="2:17" x14ac:dyDescent="0.35">
      <c r="B1315"/>
      <c r="C1315"/>
      <c r="D1315"/>
      <c r="E1315"/>
      <c r="F1315"/>
      <c r="G1315"/>
      <c r="H1315"/>
      <c r="I1315"/>
      <c r="J1315"/>
      <c r="K1315"/>
      <c r="L1315"/>
      <c r="M1315"/>
      <c r="N1315"/>
      <c r="O1315" s="11" t="str">
        <f t="shared" si="20"/>
        <v/>
      </c>
      <c r="P1315"/>
      <c r="Q1315" s="11"/>
    </row>
    <row r="1316" spans="2:17" x14ac:dyDescent="0.35">
      <c r="B1316"/>
      <c r="C1316"/>
      <c r="D1316"/>
      <c r="E1316"/>
      <c r="F1316"/>
      <c r="G1316"/>
      <c r="H1316"/>
      <c r="I1316"/>
      <c r="J1316"/>
      <c r="K1316"/>
      <c r="L1316"/>
      <c r="M1316"/>
      <c r="N1316"/>
      <c r="O1316" s="11" t="str">
        <f t="shared" si="20"/>
        <v/>
      </c>
      <c r="P1316"/>
      <c r="Q1316" s="11"/>
    </row>
    <row r="1317" spans="2:17" x14ac:dyDescent="0.35">
      <c r="B1317"/>
      <c r="C1317"/>
      <c r="D1317"/>
      <c r="E1317"/>
      <c r="F1317"/>
      <c r="G1317"/>
      <c r="H1317"/>
      <c r="I1317"/>
      <c r="J1317"/>
      <c r="K1317"/>
      <c r="L1317"/>
      <c r="M1317"/>
      <c r="N1317"/>
      <c r="O1317" s="11" t="str">
        <f t="shared" si="20"/>
        <v/>
      </c>
      <c r="P1317"/>
      <c r="Q1317" s="11"/>
    </row>
    <row r="1318" spans="2:17" x14ac:dyDescent="0.35">
      <c r="B1318"/>
      <c r="C1318"/>
      <c r="D1318"/>
      <c r="E1318"/>
      <c r="F1318"/>
      <c r="G1318"/>
      <c r="H1318"/>
      <c r="I1318"/>
      <c r="J1318"/>
      <c r="K1318"/>
      <c r="L1318"/>
      <c r="M1318"/>
      <c r="N1318"/>
      <c r="O1318" s="11" t="str">
        <f t="shared" si="20"/>
        <v/>
      </c>
      <c r="P1318"/>
      <c r="Q1318" s="11"/>
    </row>
    <row r="1319" spans="2:17" x14ac:dyDescent="0.35">
      <c r="B1319"/>
      <c r="C1319"/>
      <c r="D1319"/>
      <c r="E1319"/>
      <c r="F1319"/>
      <c r="G1319"/>
      <c r="H1319"/>
      <c r="I1319"/>
      <c r="J1319"/>
      <c r="K1319"/>
      <c r="L1319"/>
      <c r="M1319"/>
      <c r="N1319"/>
      <c r="O1319" s="11" t="str">
        <f t="shared" si="20"/>
        <v/>
      </c>
      <c r="P1319"/>
      <c r="Q1319" s="11"/>
    </row>
    <row r="1320" spans="2:17" x14ac:dyDescent="0.35">
      <c r="B1320"/>
      <c r="C1320"/>
      <c r="D1320"/>
      <c r="E1320"/>
      <c r="F1320"/>
      <c r="G1320"/>
      <c r="H1320"/>
      <c r="I1320"/>
      <c r="J1320"/>
      <c r="K1320"/>
      <c r="L1320"/>
      <c r="M1320"/>
      <c r="N1320"/>
      <c r="O1320" s="11" t="str">
        <f t="shared" si="20"/>
        <v/>
      </c>
      <c r="P1320"/>
      <c r="Q1320" s="11"/>
    </row>
    <row r="1321" spans="2:17" x14ac:dyDescent="0.35">
      <c r="B1321"/>
      <c r="C1321"/>
      <c r="D1321"/>
      <c r="E1321"/>
      <c r="F1321"/>
      <c r="G1321"/>
      <c r="H1321"/>
      <c r="I1321"/>
      <c r="J1321"/>
      <c r="K1321"/>
      <c r="L1321"/>
      <c r="M1321"/>
      <c r="N1321"/>
      <c r="O1321" s="11" t="str">
        <f t="shared" si="20"/>
        <v/>
      </c>
      <c r="P1321"/>
      <c r="Q1321" s="11"/>
    </row>
    <row r="1322" spans="2:17" x14ac:dyDescent="0.35">
      <c r="B1322"/>
      <c r="C1322"/>
      <c r="D1322"/>
      <c r="E1322"/>
      <c r="F1322"/>
      <c r="G1322"/>
      <c r="H1322"/>
      <c r="I1322"/>
      <c r="J1322"/>
      <c r="K1322"/>
      <c r="L1322"/>
      <c r="M1322"/>
      <c r="N1322"/>
      <c r="O1322" s="11" t="str">
        <f t="shared" si="20"/>
        <v/>
      </c>
      <c r="P1322"/>
      <c r="Q1322" s="11"/>
    </row>
    <row r="1323" spans="2:17" x14ac:dyDescent="0.35">
      <c r="B1323"/>
      <c r="C1323"/>
      <c r="D1323"/>
      <c r="E1323"/>
      <c r="F1323"/>
      <c r="G1323"/>
      <c r="H1323"/>
      <c r="I1323"/>
      <c r="J1323"/>
      <c r="K1323"/>
      <c r="L1323"/>
      <c r="M1323"/>
      <c r="N1323"/>
      <c r="O1323" s="11" t="str">
        <f t="shared" si="20"/>
        <v/>
      </c>
      <c r="P1323"/>
      <c r="Q1323" s="11"/>
    </row>
    <row r="1324" spans="2:17" x14ac:dyDescent="0.35">
      <c r="B1324"/>
      <c r="C1324"/>
      <c r="D1324"/>
      <c r="E1324"/>
      <c r="F1324"/>
      <c r="G1324"/>
      <c r="H1324"/>
      <c r="I1324"/>
      <c r="J1324"/>
      <c r="K1324"/>
      <c r="L1324"/>
      <c r="M1324"/>
      <c r="N1324"/>
      <c r="O1324" s="11" t="str">
        <f t="shared" si="20"/>
        <v/>
      </c>
      <c r="P1324"/>
      <c r="Q1324" s="11"/>
    </row>
    <row r="1325" spans="2:17" x14ac:dyDescent="0.35">
      <c r="B1325"/>
      <c r="C1325"/>
      <c r="D1325"/>
      <c r="E1325"/>
      <c r="F1325"/>
      <c r="G1325"/>
      <c r="H1325"/>
      <c r="I1325"/>
      <c r="J1325"/>
      <c r="K1325"/>
      <c r="L1325"/>
      <c r="M1325"/>
      <c r="N1325"/>
      <c r="O1325" s="11" t="str">
        <f t="shared" si="20"/>
        <v/>
      </c>
      <c r="P1325"/>
      <c r="Q1325" s="11"/>
    </row>
    <row r="1326" spans="2:17" x14ac:dyDescent="0.35">
      <c r="B1326"/>
      <c r="C1326"/>
      <c r="D1326"/>
      <c r="E1326"/>
      <c r="F1326"/>
      <c r="G1326"/>
      <c r="H1326"/>
      <c r="I1326"/>
      <c r="J1326"/>
      <c r="K1326"/>
      <c r="L1326"/>
      <c r="M1326"/>
      <c r="N1326"/>
      <c r="O1326" s="11" t="str">
        <f t="shared" si="20"/>
        <v/>
      </c>
      <c r="P1326"/>
      <c r="Q1326" s="11"/>
    </row>
    <row r="1327" spans="2:17" x14ac:dyDescent="0.35">
      <c r="B1327"/>
      <c r="C1327"/>
      <c r="D1327"/>
      <c r="E1327"/>
      <c r="F1327"/>
      <c r="G1327"/>
      <c r="H1327"/>
      <c r="I1327"/>
      <c r="J1327"/>
      <c r="K1327"/>
      <c r="L1327"/>
      <c r="M1327"/>
      <c r="N1327"/>
      <c r="O1327" s="11" t="str">
        <f t="shared" si="20"/>
        <v/>
      </c>
      <c r="P1327"/>
      <c r="Q1327" s="11"/>
    </row>
    <row r="1328" spans="2:17" x14ac:dyDescent="0.35">
      <c r="B1328"/>
      <c r="C1328"/>
      <c r="D1328"/>
      <c r="E1328"/>
      <c r="F1328"/>
      <c r="G1328"/>
      <c r="H1328"/>
      <c r="I1328"/>
      <c r="J1328"/>
      <c r="K1328"/>
      <c r="L1328"/>
      <c r="M1328"/>
      <c r="N1328"/>
      <c r="O1328" s="11" t="str">
        <f t="shared" si="20"/>
        <v/>
      </c>
      <c r="P1328"/>
      <c r="Q1328" s="11"/>
    </row>
    <row r="1329" spans="2:17" x14ac:dyDescent="0.35">
      <c r="B1329"/>
      <c r="C1329"/>
      <c r="D1329"/>
      <c r="E1329"/>
      <c r="F1329"/>
      <c r="G1329"/>
      <c r="H1329"/>
      <c r="I1329"/>
      <c r="J1329"/>
      <c r="K1329"/>
      <c r="L1329"/>
      <c r="M1329"/>
      <c r="N1329"/>
      <c r="O1329" s="11" t="str">
        <f t="shared" si="20"/>
        <v/>
      </c>
      <c r="P1329"/>
      <c r="Q1329" s="11"/>
    </row>
    <row r="1330" spans="2:17" x14ac:dyDescent="0.35">
      <c r="B1330"/>
      <c r="C1330"/>
      <c r="D1330"/>
      <c r="E1330"/>
      <c r="F1330"/>
      <c r="G1330"/>
      <c r="H1330"/>
      <c r="I1330"/>
      <c r="J1330"/>
      <c r="K1330"/>
      <c r="L1330"/>
      <c r="M1330"/>
      <c r="N1330"/>
      <c r="O1330" s="11" t="str">
        <f t="shared" si="20"/>
        <v/>
      </c>
      <c r="P1330"/>
      <c r="Q1330" s="11"/>
    </row>
    <row r="1331" spans="2:17" x14ac:dyDescent="0.35">
      <c r="B1331"/>
      <c r="C1331"/>
      <c r="D1331"/>
      <c r="E1331"/>
      <c r="F1331"/>
      <c r="G1331"/>
      <c r="H1331"/>
      <c r="I1331"/>
      <c r="J1331"/>
      <c r="K1331"/>
      <c r="L1331"/>
      <c r="M1331"/>
      <c r="N1331"/>
      <c r="O1331" s="11" t="str">
        <f t="shared" si="20"/>
        <v/>
      </c>
      <c r="P1331"/>
      <c r="Q1331" s="11"/>
    </row>
    <row r="1332" spans="2:17" x14ac:dyDescent="0.35">
      <c r="B1332"/>
      <c r="C1332"/>
      <c r="D1332"/>
      <c r="E1332"/>
      <c r="F1332"/>
      <c r="G1332"/>
      <c r="H1332"/>
      <c r="I1332"/>
      <c r="J1332"/>
      <c r="K1332"/>
      <c r="L1332"/>
      <c r="M1332"/>
      <c r="N1332"/>
      <c r="O1332" s="11" t="str">
        <f t="shared" si="20"/>
        <v/>
      </c>
      <c r="P1332"/>
      <c r="Q1332" s="11"/>
    </row>
    <row r="1333" spans="2:17" x14ac:dyDescent="0.35">
      <c r="B1333"/>
      <c r="C1333"/>
      <c r="D1333"/>
      <c r="E1333"/>
      <c r="F1333"/>
      <c r="G1333"/>
      <c r="H1333"/>
      <c r="I1333"/>
      <c r="J1333"/>
      <c r="K1333"/>
      <c r="L1333"/>
      <c r="M1333"/>
      <c r="N1333"/>
      <c r="O1333" s="11" t="str">
        <f t="shared" si="20"/>
        <v/>
      </c>
      <c r="P1333"/>
      <c r="Q1333" s="11"/>
    </row>
    <row r="1334" spans="2:17" x14ac:dyDescent="0.35">
      <c r="B1334"/>
      <c r="C1334"/>
      <c r="D1334"/>
      <c r="E1334"/>
      <c r="F1334"/>
      <c r="G1334"/>
      <c r="H1334"/>
      <c r="I1334"/>
      <c r="J1334"/>
      <c r="K1334"/>
      <c r="L1334"/>
      <c r="M1334"/>
      <c r="N1334"/>
      <c r="O1334" s="11" t="str">
        <f t="shared" si="20"/>
        <v/>
      </c>
      <c r="P1334"/>
      <c r="Q1334" s="11"/>
    </row>
    <row r="1335" spans="2:17" x14ac:dyDescent="0.35">
      <c r="B1335"/>
      <c r="C1335"/>
      <c r="D1335"/>
      <c r="E1335"/>
      <c r="F1335"/>
      <c r="G1335"/>
      <c r="H1335"/>
      <c r="I1335"/>
      <c r="J1335"/>
      <c r="K1335"/>
      <c r="L1335"/>
      <c r="M1335"/>
      <c r="N1335"/>
      <c r="O1335" s="11" t="str">
        <f t="shared" si="20"/>
        <v/>
      </c>
      <c r="P1335"/>
      <c r="Q1335" s="11"/>
    </row>
    <row r="1336" spans="2:17" x14ac:dyDescent="0.35">
      <c r="B1336"/>
      <c r="C1336"/>
      <c r="D1336"/>
      <c r="E1336"/>
      <c r="F1336"/>
      <c r="G1336"/>
      <c r="H1336"/>
      <c r="I1336"/>
      <c r="J1336"/>
      <c r="K1336"/>
      <c r="L1336"/>
      <c r="M1336"/>
      <c r="N1336"/>
      <c r="O1336" s="11" t="str">
        <f t="shared" si="20"/>
        <v/>
      </c>
      <c r="P1336"/>
      <c r="Q1336" s="11"/>
    </row>
    <row r="1337" spans="2:17" x14ac:dyDescent="0.35">
      <c r="B1337"/>
      <c r="C1337"/>
      <c r="D1337"/>
      <c r="E1337"/>
      <c r="F1337"/>
      <c r="G1337"/>
      <c r="H1337"/>
      <c r="I1337"/>
      <c r="J1337"/>
      <c r="K1337"/>
      <c r="L1337"/>
      <c r="M1337"/>
      <c r="N1337"/>
      <c r="O1337" s="11" t="str">
        <f t="shared" si="20"/>
        <v/>
      </c>
      <c r="P1337"/>
      <c r="Q1337" s="11"/>
    </row>
    <row r="1338" spans="2:17" x14ac:dyDescent="0.35">
      <c r="B1338"/>
      <c r="C1338"/>
      <c r="D1338"/>
      <c r="E1338"/>
      <c r="F1338"/>
      <c r="G1338"/>
      <c r="H1338"/>
      <c r="I1338"/>
      <c r="J1338"/>
      <c r="K1338"/>
      <c r="L1338"/>
      <c r="M1338"/>
      <c r="N1338"/>
      <c r="O1338" s="11" t="str">
        <f t="shared" si="20"/>
        <v/>
      </c>
      <c r="P1338"/>
      <c r="Q1338" s="11"/>
    </row>
    <row r="1339" spans="2:17" x14ac:dyDescent="0.35">
      <c r="B1339"/>
      <c r="C1339"/>
      <c r="D1339"/>
      <c r="E1339"/>
      <c r="F1339"/>
      <c r="G1339"/>
      <c r="H1339"/>
      <c r="I1339"/>
      <c r="J1339"/>
      <c r="K1339"/>
      <c r="L1339"/>
      <c r="M1339"/>
      <c r="N1339"/>
      <c r="O1339" s="11" t="str">
        <f t="shared" si="20"/>
        <v/>
      </c>
      <c r="P1339"/>
      <c r="Q1339" s="11"/>
    </row>
    <row r="1340" spans="2:17" x14ac:dyDescent="0.35">
      <c r="B1340"/>
      <c r="C1340"/>
      <c r="D1340"/>
      <c r="E1340"/>
      <c r="F1340"/>
      <c r="G1340"/>
      <c r="H1340"/>
      <c r="I1340"/>
      <c r="J1340"/>
      <c r="K1340"/>
      <c r="L1340"/>
      <c r="M1340"/>
      <c r="N1340"/>
      <c r="O1340" s="11" t="str">
        <f t="shared" si="20"/>
        <v/>
      </c>
      <c r="P1340"/>
      <c r="Q1340" s="11"/>
    </row>
    <row r="1341" spans="2:17" x14ac:dyDescent="0.35">
      <c r="B1341"/>
      <c r="C1341"/>
      <c r="D1341"/>
      <c r="E1341"/>
      <c r="F1341"/>
      <c r="G1341"/>
      <c r="H1341"/>
      <c r="I1341"/>
      <c r="J1341"/>
      <c r="K1341"/>
      <c r="L1341"/>
      <c r="M1341"/>
      <c r="N1341"/>
      <c r="O1341" s="11" t="str">
        <f t="shared" si="20"/>
        <v/>
      </c>
      <c r="P1341"/>
      <c r="Q1341" s="11"/>
    </row>
    <row r="1342" spans="2:17" x14ac:dyDescent="0.35">
      <c r="B1342"/>
      <c r="C1342"/>
      <c r="D1342"/>
      <c r="E1342"/>
      <c r="F1342"/>
      <c r="G1342"/>
      <c r="H1342"/>
      <c r="I1342"/>
      <c r="J1342"/>
      <c r="K1342"/>
      <c r="L1342"/>
      <c r="M1342"/>
      <c r="N1342"/>
      <c r="O1342" s="11" t="str">
        <f t="shared" si="20"/>
        <v/>
      </c>
      <c r="P1342"/>
      <c r="Q1342" s="11"/>
    </row>
    <row r="1343" spans="2:17" x14ac:dyDescent="0.35">
      <c r="B1343"/>
      <c r="C1343"/>
      <c r="D1343"/>
      <c r="E1343"/>
      <c r="F1343"/>
      <c r="G1343"/>
      <c r="H1343"/>
      <c r="I1343"/>
      <c r="J1343"/>
      <c r="K1343"/>
      <c r="L1343"/>
      <c r="M1343"/>
      <c r="N1343"/>
      <c r="O1343" s="11" t="str">
        <f t="shared" si="20"/>
        <v/>
      </c>
      <c r="P1343"/>
      <c r="Q1343" s="11"/>
    </row>
    <row r="1344" spans="2:17" x14ac:dyDescent="0.35">
      <c r="B1344"/>
      <c r="C1344"/>
      <c r="D1344"/>
      <c r="E1344"/>
      <c r="F1344"/>
      <c r="G1344"/>
      <c r="H1344"/>
      <c r="I1344"/>
      <c r="J1344"/>
      <c r="K1344"/>
      <c r="L1344"/>
      <c r="M1344"/>
      <c r="N1344"/>
      <c r="O1344" s="11" t="str">
        <f t="shared" si="20"/>
        <v/>
      </c>
      <c r="P1344"/>
      <c r="Q1344" s="11"/>
    </row>
    <row r="1345" spans="2:17" x14ac:dyDescent="0.35">
      <c r="B1345"/>
      <c r="C1345"/>
      <c r="D1345"/>
      <c r="E1345"/>
      <c r="F1345"/>
      <c r="G1345"/>
      <c r="H1345"/>
      <c r="I1345"/>
      <c r="J1345"/>
      <c r="K1345"/>
      <c r="L1345"/>
      <c r="M1345"/>
      <c r="N1345"/>
      <c r="O1345" s="11" t="str">
        <f t="shared" si="20"/>
        <v/>
      </c>
      <c r="P1345"/>
      <c r="Q1345" s="11"/>
    </row>
    <row r="1346" spans="2:17" x14ac:dyDescent="0.35">
      <c r="B1346"/>
      <c r="C1346"/>
      <c r="D1346"/>
      <c r="E1346"/>
      <c r="F1346"/>
      <c r="G1346"/>
      <c r="H1346"/>
      <c r="I1346"/>
      <c r="J1346"/>
      <c r="K1346"/>
      <c r="L1346"/>
      <c r="M1346"/>
      <c r="N1346"/>
      <c r="O1346" s="11" t="str">
        <f t="shared" si="20"/>
        <v/>
      </c>
      <c r="P1346"/>
      <c r="Q1346" s="11"/>
    </row>
    <row r="1347" spans="2:17" x14ac:dyDescent="0.35">
      <c r="B1347"/>
      <c r="C1347"/>
      <c r="D1347"/>
      <c r="E1347"/>
      <c r="F1347"/>
      <c r="G1347"/>
      <c r="H1347"/>
      <c r="I1347"/>
      <c r="J1347"/>
      <c r="K1347"/>
      <c r="L1347"/>
      <c r="M1347"/>
      <c r="N1347"/>
      <c r="O1347" s="11" t="str">
        <f t="shared" si="20"/>
        <v/>
      </c>
      <c r="P1347"/>
      <c r="Q1347" s="11"/>
    </row>
    <row r="1348" spans="2:17" x14ac:dyDescent="0.35">
      <c r="B1348"/>
      <c r="C1348"/>
      <c r="D1348"/>
      <c r="E1348"/>
      <c r="F1348"/>
      <c r="G1348"/>
      <c r="H1348"/>
      <c r="I1348"/>
      <c r="J1348"/>
      <c r="K1348"/>
      <c r="L1348"/>
      <c r="M1348"/>
      <c r="N1348"/>
      <c r="O1348" s="11" t="str">
        <f t="shared" si="20"/>
        <v/>
      </c>
      <c r="P1348"/>
      <c r="Q1348" s="11"/>
    </row>
    <row r="1349" spans="2:17" x14ac:dyDescent="0.35">
      <c r="B1349"/>
      <c r="C1349"/>
      <c r="D1349"/>
      <c r="E1349"/>
      <c r="F1349"/>
      <c r="G1349"/>
      <c r="H1349"/>
      <c r="I1349"/>
      <c r="J1349"/>
      <c r="K1349"/>
      <c r="L1349"/>
      <c r="M1349"/>
      <c r="N1349"/>
      <c r="O1349" s="11" t="str">
        <f t="shared" si="20"/>
        <v/>
      </c>
      <c r="P1349"/>
      <c r="Q1349" s="11"/>
    </row>
    <row r="1350" spans="2:17" x14ac:dyDescent="0.35">
      <c r="B1350"/>
      <c r="C1350"/>
      <c r="D1350"/>
      <c r="E1350"/>
      <c r="F1350"/>
      <c r="G1350"/>
      <c r="H1350"/>
      <c r="I1350"/>
      <c r="J1350"/>
      <c r="K1350"/>
      <c r="L1350"/>
      <c r="M1350"/>
      <c r="N1350"/>
      <c r="O1350" s="11" t="str">
        <f t="shared" si="20"/>
        <v/>
      </c>
      <c r="P1350"/>
      <c r="Q1350" s="11"/>
    </row>
    <row r="1351" spans="2:17" x14ac:dyDescent="0.35">
      <c r="B1351"/>
      <c r="C1351"/>
      <c r="D1351"/>
      <c r="E1351"/>
      <c r="F1351"/>
      <c r="G1351"/>
      <c r="H1351"/>
      <c r="I1351"/>
      <c r="J1351"/>
      <c r="K1351"/>
      <c r="L1351"/>
      <c r="M1351"/>
      <c r="N1351"/>
      <c r="O1351" s="11" t="str">
        <f t="shared" si="20"/>
        <v/>
      </c>
      <c r="P1351"/>
      <c r="Q1351" s="11"/>
    </row>
    <row r="1352" spans="2:17" x14ac:dyDescent="0.35">
      <c r="B1352"/>
      <c r="C1352"/>
      <c r="D1352"/>
      <c r="E1352"/>
      <c r="F1352"/>
      <c r="G1352"/>
      <c r="H1352"/>
      <c r="I1352"/>
      <c r="J1352"/>
      <c r="K1352"/>
      <c r="L1352"/>
      <c r="M1352"/>
      <c r="N1352"/>
      <c r="O1352" s="11" t="str">
        <f t="shared" si="20"/>
        <v/>
      </c>
      <c r="P1352"/>
      <c r="Q1352" s="11"/>
    </row>
    <row r="1353" spans="2:17" x14ac:dyDescent="0.35">
      <c r="B1353"/>
      <c r="C1353"/>
      <c r="D1353"/>
      <c r="E1353"/>
      <c r="F1353"/>
      <c r="G1353"/>
      <c r="H1353"/>
      <c r="I1353"/>
      <c r="J1353"/>
      <c r="K1353"/>
      <c r="L1353"/>
      <c r="M1353"/>
      <c r="N1353"/>
      <c r="O1353" s="11" t="str">
        <f t="shared" si="20"/>
        <v/>
      </c>
      <c r="P1353"/>
      <c r="Q1353" s="11"/>
    </row>
    <row r="1354" spans="2:17" x14ac:dyDescent="0.35">
      <c r="B1354"/>
      <c r="C1354"/>
      <c r="D1354"/>
      <c r="E1354"/>
      <c r="F1354"/>
      <c r="G1354"/>
      <c r="H1354"/>
      <c r="I1354"/>
      <c r="J1354"/>
      <c r="K1354"/>
      <c r="L1354"/>
      <c r="M1354"/>
      <c r="N1354"/>
      <c r="O1354" s="11" t="str">
        <f t="shared" si="20"/>
        <v/>
      </c>
      <c r="P1354"/>
      <c r="Q1354" s="11"/>
    </row>
    <row r="1355" spans="2:17" x14ac:dyDescent="0.35">
      <c r="B1355"/>
      <c r="C1355"/>
      <c r="D1355"/>
      <c r="E1355"/>
      <c r="F1355"/>
      <c r="G1355"/>
      <c r="H1355"/>
      <c r="I1355"/>
      <c r="J1355"/>
      <c r="K1355"/>
      <c r="L1355"/>
      <c r="M1355"/>
      <c r="N1355"/>
      <c r="O1355" s="11" t="str">
        <f t="shared" si="20"/>
        <v/>
      </c>
      <c r="P1355"/>
      <c r="Q1355" s="11"/>
    </row>
    <row r="1356" spans="2:17" x14ac:dyDescent="0.35">
      <c r="B1356"/>
      <c r="C1356"/>
      <c r="D1356"/>
      <c r="E1356"/>
      <c r="F1356"/>
      <c r="G1356"/>
      <c r="H1356"/>
      <c r="I1356"/>
      <c r="J1356"/>
      <c r="K1356"/>
      <c r="L1356"/>
      <c r="M1356"/>
      <c r="N1356"/>
      <c r="O1356" s="11" t="str">
        <f t="shared" si="20"/>
        <v/>
      </c>
      <c r="P1356"/>
      <c r="Q1356" s="11"/>
    </row>
    <row r="1357" spans="2:17" x14ac:dyDescent="0.35">
      <c r="B1357"/>
      <c r="C1357"/>
      <c r="D1357"/>
      <c r="E1357"/>
      <c r="F1357"/>
      <c r="G1357"/>
      <c r="H1357"/>
      <c r="I1357"/>
      <c r="J1357"/>
      <c r="K1357"/>
      <c r="L1357"/>
      <c r="M1357"/>
      <c r="N1357"/>
      <c r="O1357" s="11" t="str">
        <f t="shared" si="20"/>
        <v/>
      </c>
      <c r="P1357"/>
      <c r="Q1357" s="11"/>
    </row>
    <row r="1358" spans="2:17" x14ac:dyDescent="0.35">
      <c r="B1358"/>
      <c r="C1358"/>
      <c r="D1358"/>
      <c r="E1358"/>
      <c r="F1358"/>
      <c r="G1358"/>
      <c r="H1358"/>
      <c r="I1358"/>
      <c r="J1358"/>
      <c r="K1358"/>
      <c r="L1358"/>
      <c r="M1358"/>
      <c r="N1358"/>
      <c r="O1358" s="11" t="str">
        <f t="shared" si="20"/>
        <v/>
      </c>
      <c r="P1358"/>
      <c r="Q1358" s="11"/>
    </row>
    <row r="1359" spans="2:17" x14ac:dyDescent="0.35">
      <c r="B1359"/>
      <c r="C1359"/>
      <c r="D1359"/>
      <c r="E1359"/>
      <c r="F1359"/>
      <c r="G1359"/>
      <c r="H1359"/>
      <c r="I1359"/>
      <c r="J1359"/>
      <c r="K1359"/>
      <c r="L1359"/>
      <c r="M1359"/>
      <c r="N1359"/>
      <c r="O1359" s="11" t="str">
        <f t="shared" si="20"/>
        <v/>
      </c>
      <c r="P1359"/>
      <c r="Q1359" s="11"/>
    </row>
    <row r="1360" spans="2:17" x14ac:dyDescent="0.35">
      <c r="B1360"/>
      <c r="C1360"/>
      <c r="D1360"/>
      <c r="E1360"/>
      <c r="F1360"/>
      <c r="G1360"/>
      <c r="H1360"/>
      <c r="I1360"/>
      <c r="J1360"/>
      <c r="K1360"/>
      <c r="L1360"/>
      <c r="M1360"/>
      <c r="N1360"/>
      <c r="O1360" s="11" t="str">
        <f t="shared" si="20"/>
        <v/>
      </c>
      <c r="P1360"/>
      <c r="Q1360" s="11"/>
    </row>
    <row r="1361" spans="2:17" x14ac:dyDescent="0.35">
      <c r="B1361"/>
      <c r="C1361"/>
      <c r="D1361"/>
      <c r="E1361"/>
      <c r="F1361"/>
      <c r="G1361"/>
      <c r="H1361"/>
      <c r="I1361"/>
      <c r="J1361"/>
      <c r="K1361"/>
      <c r="L1361"/>
      <c r="M1361"/>
      <c r="N1361"/>
      <c r="O1361" s="11" t="str">
        <f t="shared" si="20"/>
        <v/>
      </c>
      <c r="P1361"/>
      <c r="Q1361" s="11"/>
    </row>
    <row r="1362" spans="2:17" x14ac:dyDescent="0.35">
      <c r="B1362"/>
      <c r="C1362"/>
      <c r="D1362"/>
      <c r="E1362"/>
      <c r="F1362"/>
      <c r="G1362"/>
      <c r="H1362"/>
      <c r="I1362"/>
      <c r="J1362"/>
      <c r="K1362"/>
      <c r="L1362"/>
      <c r="M1362"/>
      <c r="N1362"/>
      <c r="O1362" s="11" t="str">
        <f t="shared" si="20"/>
        <v/>
      </c>
      <c r="P1362"/>
      <c r="Q1362" s="11"/>
    </row>
    <row r="1363" spans="2:17" x14ac:dyDescent="0.35">
      <c r="B1363"/>
      <c r="C1363"/>
      <c r="D1363"/>
      <c r="E1363"/>
      <c r="F1363"/>
      <c r="G1363"/>
      <c r="H1363"/>
      <c r="I1363"/>
      <c r="J1363"/>
      <c r="K1363"/>
      <c r="L1363"/>
      <c r="M1363"/>
      <c r="N1363"/>
      <c r="O1363" s="11" t="str">
        <f t="shared" si="20"/>
        <v/>
      </c>
      <c r="P1363"/>
      <c r="Q1363" s="11"/>
    </row>
    <row r="1364" spans="2:17" x14ac:dyDescent="0.35">
      <c r="B1364"/>
      <c r="C1364"/>
      <c r="D1364"/>
      <c r="E1364"/>
      <c r="F1364"/>
      <c r="G1364"/>
      <c r="H1364"/>
      <c r="I1364"/>
      <c r="J1364"/>
      <c r="K1364"/>
      <c r="L1364"/>
      <c r="M1364"/>
      <c r="N1364"/>
      <c r="O1364" s="11" t="str">
        <f t="shared" si="20"/>
        <v/>
      </c>
      <c r="P1364"/>
      <c r="Q1364" s="11"/>
    </row>
    <row r="1365" spans="2:17" x14ac:dyDescent="0.35">
      <c r="B1365"/>
      <c r="C1365"/>
      <c r="D1365"/>
      <c r="E1365"/>
      <c r="F1365"/>
      <c r="G1365"/>
      <c r="H1365"/>
      <c r="I1365"/>
      <c r="J1365"/>
      <c r="K1365"/>
      <c r="L1365"/>
      <c r="M1365"/>
      <c r="N1365"/>
      <c r="O1365" s="11" t="str">
        <f t="shared" ref="O1365:O1428" si="21">IFERROR(RATE(2033-2026,,-G1365,N1365),"")</f>
        <v/>
      </c>
      <c r="P1365"/>
      <c r="Q1365" s="11"/>
    </row>
    <row r="1366" spans="2:17" x14ac:dyDescent="0.35">
      <c r="B1366"/>
      <c r="C1366"/>
      <c r="D1366"/>
      <c r="E1366"/>
      <c r="F1366"/>
      <c r="G1366"/>
      <c r="H1366"/>
      <c r="I1366"/>
      <c r="J1366"/>
      <c r="K1366"/>
      <c r="L1366"/>
      <c r="M1366"/>
      <c r="N1366"/>
      <c r="O1366" s="11" t="str">
        <f t="shared" si="21"/>
        <v/>
      </c>
      <c r="P1366"/>
      <c r="Q1366" s="11"/>
    </row>
    <row r="1367" spans="2:17" x14ac:dyDescent="0.35">
      <c r="B1367"/>
      <c r="C1367"/>
      <c r="D1367"/>
      <c r="E1367"/>
      <c r="F1367"/>
      <c r="G1367"/>
      <c r="H1367"/>
      <c r="I1367"/>
      <c r="J1367"/>
      <c r="K1367"/>
      <c r="L1367"/>
      <c r="M1367"/>
      <c r="N1367"/>
      <c r="O1367" s="11" t="str">
        <f t="shared" si="21"/>
        <v/>
      </c>
      <c r="P1367"/>
      <c r="Q1367" s="11"/>
    </row>
    <row r="1368" spans="2:17" x14ac:dyDescent="0.35">
      <c r="B1368"/>
      <c r="C1368"/>
      <c r="D1368"/>
      <c r="E1368"/>
      <c r="F1368"/>
      <c r="G1368"/>
      <c r="H1368"/>
      <c r="I1368"/>
      <c r="J1368"/>
      <c r="K1368"/>
      <c r="L1368"/>
      <c r="M1368"/>
      <c r="N1368"/>
      <c r="O1368" s="11" t="str">
        <f t="shared" si="21"/>
        <v/>
      </c>
      <c r="P1368"/>
      <c r="Q1368" s="11"/>
    </row>
    <row r="1369" spans="2:17" x14ac:dyDescent="0.35">
      <c r="B1369"/>
      <c r="C1369"/>
      <c r="D1369"/>
      <c r="E1369"/>
      <c r="F1369"/>
      <c r="G1369"/>
      <c r="H1369"/>
      <c r="I1369"/>
      <c r="J1369"/>
      <c r="K1369"/>
      <c r="L1369"/>
      <c r="M1369"/>
      <c r="N1369"/>
      <c r="O1369" s="11" t="str">
        <f t="shared" si="21"/>
        <v/>
      </c>
      <c r="P1369"/>
      <c r="Q1369" s="11"/>
    </row>
    <row r="1370" spans="2:17" x14ac:dyDescent="0.35">
      <c r="B1370"/>
      <c r="C1370"/>
      <c r="D1370"/>
      <c r="E1370"/>
      <c r="F1370"/>
      <c r="G1370"/>
      <c r="H1370"/>
      <c r="I1370"/>
      <c r="J1370"/>
      <c r="K1370"/>
      <c r="L1370"/>
      <c r="M1370"/>
      <c r="N1370"/>
      <c r="O1370" s="11" t="str">
        <f t="shared" si="21"/>
        <v/>
      </c>
      <c r="P1370"/>
      <c r="Q1370" s="11"/>
    </row>
    <row r="1371" spans="2:17" x14ac:dyDescent="0.35">
      <c r="B1371"/>
      <c r="C1371"/>
      <c r="D1371"/>
      <c r="E1371"/>
      <c r="F1371"/>
      <c r="G1371"/>
      <c r="H1371"/>
      <c r="I1371"/>
      <c r="J1371"/>
      <c r="K1371"/>
      <c r="L1371"/>
      <c r="M1371"/>
      <c r="N1371"/>
      <c r="O1371" s="11" t="str">
        <f t="shared" si="21"/>
        <v/>
      </c>
      <c r="P1371"/>
      <c r="Q1371" s="11"/>
    </row>
    <row r="1372" spans="2:17" x14ac:dyDescent="0.35">
      <c r="B1372"/>
      <c r="C1372"/>
      <c r="D1372"/>
      <c r="E1372"/>
      <c r="F1372"/>
      <c r="G1372"/>
      <c r="H1372"/>
      <c r="I1372"/>
      <c r="J1372"/>
      <c r="K1372"/>
      <c r="L1372"/>
      <c r="M1372"/>
      <c r="N1372"/>
      <c r="O1372" s="11" t="str">
        <f t="shared" si="21"/>
        <v/>
      </c>
      <c r="P1372"/>
      <c r="Q1372" s="11"/>
    </row>
    <row r="1373" spans="2:17" x14ac:dyDescent="0.35">
      <c r="B1373"/>
      <c r="C1373"/>
      <c r="D1373"/>
      <c r="E1373"/>
      <c r="F1373"/>
      <c r="G1373"/>
      <c r="H1373"/>
      <c r="I1373"/>
      <c r="J1373"/>
      <c r="K1373"/>
      <c r="L1373"/>
      <c r="M1373"/>
      <c r="N1373"/>
      <c r="O1373" s="11" t="str">
        <f t="shared" si="21"/>
        <v/>
      </c>
      <c r="P1373"/>
      <c r="Q1373" s="11"/>
    </row>
    <row r="1374" spans="2:17" x14ac:dyDescent="0.35">
      <c r="B1374"/>
      <c r="C1374"/>
      <c r="D1374"/>
      <c r="E1374"/>
      <c r="F1374"/>
      <c r="G1374"/>
      <c r="H1374"/>
      <c r="I1374"/>
      <c r="J1374"/>
      <c r="K1374"/>
      <c r="L1374"/>
      <c r="M1374"/>
      <c r="N1374"/>
      <c r="O1374" s="11" t="str">
        <f t="shared" si="21"/>
        <v/>
      </c>
      <c r="P1374"/>
      <c r="Q1374" s="11"/>
    </row>
    <row r="1375" spans="2:17" x14ac:dyDescent="0.35">
      <c r="B1375"/>
      <c r="C1375"/>
      <c r="D1375"/>
      <c r="E1375"/>
      <c r="F1375"/>
      <c r="G1375"/>
      <c r="H1375"/>
      <c r="I1375"/>
      <c r="J1375"/>
      <c r="K1375"/>
      <c r="L1375"/>
      <c r="M1375"/>
      <c r="N1375"/>
      <c r="O1375" s="11" t="str">
        <f t="shared" si="21"/>
        <v/>
      </c>
      <c r="P1375"/>
      <c r="Q1375" s="11"/>
    </row>
    <row r="1376" spans="2:17" x14ac:dyDescent="0.35">
      <c r="B1376"/>
      <c r="C1376"/>
      <c r="D1376"/>
      <c r="E1376"/>
      <c r="F1376"/>
      <c r="G1376"/>
      <c r="H1376"/>
      <c r="I1376"/>
      <c r="J1376"/>
      <c r="K1376"/>
      <c r="L1376"/>
      <c r="M1376"/>
      <c r="N1376"/>
      <c r="O1376" s="11" t="str">
        <f t="shared" si="21"/>
        <v/>
      </c>
      <c r="P1376"/>
      <c r="Q1376" s="11"/>
    </row>
    <row r="1377" spans="2:17" x14ac:dyDescent="0.35">
      <c r="B1377"/>
      <c r="C1377"/>
      <c r="D1377"/>
      <c r="E1377"/>
      <c r="F1377"/>
      <c r="G1377"/>
      <c r="H1377"/>
      <c r="I1377"/>
      <c r="J1377"/>
      <c r="K1377"/>
      <c r="L1377"/>
      <c r="M1377"/>
      <c r="N1377"/>
      <c r="O1377" s="11" t="str">
        <f t="shared" si="21"/>
        <v/>
      </c>
      <c r="P1377"/>
      <c r="Q1377" s="11"/>
    </row>
    <row r="1378" spans="2:17" x14ac:dyDescent="0.35">
      <c r="B1378"/>
      <c r="C1378"/>
      <c r="D1378"/>
      <c r="E1378"/>
      <c r="F1378"/>
      <c r="G1378"/>
      <c r="H1378"/>
      <c r="I1378"/>
      <c r="J1378"/>
      <c r="K1378"/>
      <c r="L1378"/>
      <c r="M1378"/>
      <c r="N1378"/>
      <c r="O1378" s="11" t="str">
        <f t="shared" si="21"/>
        <v/>
      </c>
      <c r="P1378"/>
      <c r="Q1378" s="11"/>
    </row>
    <row r="1379" spans="2:17" x14ac:dyDescent="0.35">
      <c r="B1379"/>
      <c r="C1379"/>
      <c r="D1379"/>
      <c r="E1379"/>
      <c r="F1379"/>
      <c r="G1379"/>
      <c r="H1379"/>
      <c r="I1379"/>
      <c r="J1379"/>
      <c r="K1379"/>
      <c r="L1379"/>
      <c r="M1379"/>
      <c r="N1379"/>
      <c r="O1379" s="11" t="str">
        <f t="shared" si="21"/>
        <v/>
      </c>
      <c r="P1379"/>
      <c r="Q1379" s="11"/>
    </row>
    <row r="1380" spans="2:17" x14ac:dyDescent="0.35">
      <c r="B1380"/>
      <c r="C1380"/>
      <c r="D1380"/>
      <c r="E1380"/>
      <c r="F1380"/>
      <c r="G1380"/>
      <c r="H1380"/>
      <c r="I1380"/>
      <c r="J1380"/>
      <c r="K1380"/>
      <c r="L1380"/>
      <c r="M1380"/>
      <c r="N1380"/>
      <c r="O1380" s="11" t="str">
        <f t="shared" si="21"/>
        <v/>
      </c>
      <c r="P1380"/>
      <c r="Q1380" s="11"/>
    </row>
    <row r="1381" spans="2:17" x14ac:dyDescent="0.35">
      <c r="B1381"/>
      <c r="C1381"/>
      <c r="D1381"/>
      <c r="E1381"/>
      <c r="F1381"/>
      <c r="G1381"/>
      <c r="H1381"/>
      <c r="I1381"/>
      <c r="J1381"/>
      <c r="K1381"/>
      <c r="L1381"/>
      <c r="M1381"/>
      <c r="N1381"/>
      <c r="O1381" s="11" t="str">
        <f t="shared" si="21"/>
        <v/>
      </c>
      <c r="P1381"/>
      <c r="Q1381" s="11"/>
    </row>
    <row r="1382" spans="2:17" x14ac:dyDescent="0.35">
      <c r="B1382"/>
      <c r="C1382"/>
      <c r="D1382"/>
      <c r="E1382"/>
      <c r="F1382"/>
      <c r="G1382"/>
      <c r="H1382"/>
      <c r="I1382"/>
      <c r="J1382"/>
      <c r="K1382"/>
      <c r="L1382"/>
      <c r="M1382"/>
      <c r="N1382"/>
      <c r="O1382" s="11" t="str">
        <f t="shared" si="21"/>
        <v/>
      </c>
      <c r="P1382"/>
      <c r="Q1382" s="11"/>
    </row>
    <row r="1383" spans="2:17" x14ac:dyDescent="0.35">
      <c r="B1383"/>
      <c r="C1383"/>
      <c r="D1383"/>
      <c r="E1383"/>
      <c r="F1383"/>
      <c r="G1383"/>
      <c r="H1383"/>
      <c r="I1383"/>
      <c r="J1383"/>
      <c r="K1383"/>
      <c r="L1383"/>
      <c r="M1383"/>
      <c r="N1383"/>
      <c r="O1383" s="11" t="str">
        <f t="shared" si="21"/>
        <v/>
      </c>
      <c r="P1383"/>
      <c r="Q1383" s="11"/>
    </row>
    <row r="1384" spans="2:17" x14ac:dyDescent="0.35">
      <c r="B1384"/>
      <c r="C1384"/>
      <c r="D1384"/>
      <c r="E1384"/>
      <c r="F1384"/>
      <c r="G1384"/>
      <c r="H1384"/>
      <c r="I1384"/>
      <c r="J1384"/>
      <c r="K1384"/>
      <c r="L1384"/>
      <c r="M1384"/>
      <c r="N1384"/>
      <c r="O1384" s="11" t="str">
        <f t="shared" si="21"/>
        <v/>
      </c>
      <c r="P1384"/>
      <c r="Q1384" s="11"/>
    </row>
    <row r="1385" spans="2:17" x14ac:dyDescent="0.35">
      <c r="B1385"/>
      <c r="C1385"/>
      <c r="D1385"/>
      <c r="E1385"/>
      <c r="F1385"/>
      <c r="G1385"/>
      <c r="H1385"/>
      <c r="I1385"/>
      <c r="J1385"/>
      <c r="K1385"/>
      <c r="L1385"/>
      <c r="M1385"/>
      <c r="N1385"/>
      <c r="O1385" s="11" t="str">
        <f t="shared" si="21"/>
        <v/>
      </c>
      <c r="P1385"/>
      <c r="Q1385" s="11"/>
    </row>
    <row r="1386" spans="2:17" x14ac:dyDescent="0.35">
      <c r="B1386"/>
      <c r="C1386"/>
      <c r="D1386"/>
      <c r="E1386"/>
      <c r="F1386"/>
      <c r="G1386"/>
      <c r="H1386"/>
      <c r="I1386"/>
      <c r="J1386"/>
      <c r="K1386"/>
      <c r="L1386"/>
      <c r="M1386"/>
      <c r="N1386"/>
      <c r="O1386" s="11" t="str">
        <f t="shared" si="21"/>
        <v/>
      </c>
      <c r="P1386"/>
      <c r="Q1386" s="11"/>
    </row>
    <row r="1387" spans="2:17" x14ac:dyDescent="0.35">
      <c r="B1387"/>
      <c r="C1387"/>
      <c r="D1387"/>
      <c r="E1387"/>
      <c r="F1387"/>
      <c r="G1387"/>
      <c r="H1387"/>
      <c r="I1387"/>
      <c r="J1387"/>
      <c r="K1387"/>
      <c r="L1387"/>
      <c r="M1387"/>
      <c r="N1387"/>
      <c r="O1387" s="11" t="str">
        <f t="shared" si="21"/>
        <v/>
      </c>
      <c r="P1387"/>
      <c r="Q1387" s="11"/>
    </row>
    <row r="1388" spans="2:17" x14ac:dyDescent="0.35">
      <c r="B1388"/>
      <c r="C1388"/>
      <c r="D1388"/>
      <c r="E1388"/>
      <c r="F1388"/>
      <c r="G1388"/>
      <c r="H1388"/>
      <c r="I1388"/>
      <c r="J1388"/>
      <c r="K1388"/>
      <c r="L1388"/>
      <c r="M1388"/>
      <c r="N1388"/>
      <c r="O1388" s="11" t="str">
        <f t="shared" si="21"/>
        <v/>
      </c>
      <c r="P1388"/>
      <c r="Q1388" s="11"/>
    </row>
    <row r="1389" spans="2:17" x14ac:dyDescent="0.35">
      <c r="B1389"/>
      <c r="C1389"/>
      <c r="D1389"/>
      <c r="E1389"/>
      <c r="F1389"/>
      <c r="G1389"/>
      <c r="H1389"/>
      <c r="I1389"/>
      <c r="J1389"/>
      <c r="K1389"/>
      <c r="L1389"/>
      <c r="M1389"/>
      <c r="N1389"/>
      <c r="O1389" s="11" t="str">
        <f t="shared" si="21"/>
        <v/>
      </c>
      <c r="P1389"/>
      <c r="Q1389" s="11"/>
    </row>
    <row r="1390" spans="2:17" x14ac:dyDescent="0.35">
      <c r="B1390"/>
      <c r="C1390"/>
      <c r="D1390"/>
      <c r="E1390"/>
      <c r="F1390"/>
      <c r="G1390"/>
      <c r="H1390"/>
      <c r="I1390"/>
      <c r="J1390"/>
      <c r="K1390"/>
      <c r="L1390"/>
      <c r="M1390"/>
      <c r="N1390"/>
      <c r="O1390" s="11" t="str">
        <f t="shared" si="21"/>
        <v/>
      </c>
      <c r="P1390"/>
      <c r="Q1390" s="11"/>
    </row>
    <row r="1391" spans="2:17" x14ac:dyDescent="0.35">
      <c r="B1391"/>
      <c r="C1391"/>
      <c r="D1391"/>
      <c r="E1391"/>
      <c r="F1391"/>
      <c r="G1391"/>
      <c r="H1391"/>
      <c r="I1391"/>
      <c r="J1391"/>
      <c r="K1391"/>
      <c r="L1391"/>
      <c r="M1391"/>
      <c r="N1391"/>
      <c r="O1391" s="11" t="str">
        <f t="shared" si="21"/>
        <v/>
      </c>
      <c r="P1391"/>
      <c r="Q1391" s="11"/>
    </row>
    <row r="1392" spans="2:17" x14ac:dyDescent="0.35">
      <c r="B1392"/>
      <c r="C1392"/>
      <c r="D1392"/>
      <c r="E1392"/>
      <c r="F1392"/>
      <c r="G1392"/>
      <c r="H1392"/>
      <c r="I1392"/>
      <c r="J1392"/>
      <c r="K1392"/>
      <c r="L1392"/>
      <c r="M1392"/>
      <c r="N1392"/>
      <c r="O1392" s="11" t="str">
        <f t="shared" si="21"/>
        <v/>
      </c>
      <c r="P1392"/>
      <c r="Q1392" s="11"/>
    </row>
    <row r="1393" spans="2:17" x14ac:dyDescent="0.35">
      <c r="B1393"/>
      <c r="C1393"/>
      <c r="D1393"/>
      <c r="E1393"/>
      <c r="F1393"/>
      <c r="G1393"/>
      <c r="H1393"/>
      <c r="I1393"/>
      <c r="J1393"/>
      <c r="K1393"/>
      <c r="L1393"/>
      <c r="M1393"/>
      <c r="N1393"/>
      <c r="O1393" s="11" t="str">
        <f t="shared" si="21"/>
        <v/>
      </c>
      <c r="P1393"/>
      <c r="Q1393" s="11"/>
    </row>
    <row r="1394" spans="2:17" x14ac:dyDescent="0.35">
      <c r="B1394"/>
      <c r="C1394"/>
      <c r="D1394"/>
      <c r="E1394"/>
      <c r="F1394"/>
      <c r="G1394"/>
      <c r="H1394"/>
      <c r="I1394"/>
      <c r="J1394"/>
      <c r="K1394"/>
      <c r="L1394"/>
      <c r="M1394"/>
      <c r="N1394"/>
      <c r="O1394" s="11" t="str">
        <f t="shared" si="21"/>
        <v/>
      </c>
      <c r="P1394"/>
      <c r="Q1394" s="11"/>
    </row>
    <row r="1395" spans="2:17" x14ac:dyDescent="0.35">
      <c r="B1395"/>
      <c r="C1395"/>
      <c r="D1395"/>
      <c r="E1395"/>
      <c r="F1395"/>
      <c r="G1395"/>
      <c r="H1395"/>
      <c r="I1395"/>
      <c r="J1395"/>
      <c r="K1395"/>
      <c r="L1395"/>
      <c r="M1395"/>
      <c r="N1395"/>
      <c r="O1395" s="11" t="str">
        <f t="shared" si="21"/>
        <v/>
      </c>
      <c r="P1395"/>
      <c r="Q1395" s="11"/>
    </row>
    <row r="1396" spans="2:17" x14ac:dyDescent="0.35">
      <c r="B1396"/>
      <c r="C1396"/>
      <c r="D1396"/>
      <c r="E1396"/>
      <c r="F1396"/>
      <c r="G1396"/>
      <c r="H1396"/>
      <c r="I1396"/>
      <c r="J1396"/>
      <c r="K1396"/>
      <c r="L1396"/>
      <c r="M1396"/>
      <c r="N1396"/>
      <c r="O1396" s="11" t="str">
        <f t="shared" si="21"/>
        <v/>
      </c>
      <c r="P1396"/>
      <c r="Q1396" s="11"/>
    </row>
    <row r="1397" spans="2:17" x14ac:dyDescent="0.35">
      <c r="B1397"/>
      <c r="C1397"/>
      <c r="D1397"/>
      <c r="E1397"/>
      <c r="F1397"/>
      <c r="G1397"/>
      <c r="H1397"/>
      <c r="I1397"/>
      <c r="J1397"/>
      <c r="K1397"/>
      <c r="L1397"/>
      <c r="M1397"/>
      <c r="N1397"/>
      <c r="O1397" s="11" t="str">
        <f t="shared" si="21"/>
        <v/>
      </c>
      <c r="P1397"/>
      <c r="Q1397" s="11"/>
    </row>
    <row r="1398" spans="2:17" x14ac:dyDescent="0.35">
      <c r="B1398"/>
      <c r="C1398"/>
      <c r="D1398"/>
      <c r="E1398"/>
      <c r="F1398"/>
      <c r="G1398"/>
      <c r="H1398"/>
      <c r="I1398"/>
      <c r="J1398"/>
      <c r="K1398"/>
      <c r="L1398"/>
      <c r="M1398"/>
      <c r="N1398"/>
      <c r="O1398" s="11" t="str">
        <f t="shared" si="21"/>
        <v/>
      </c>
      <c r="P1398"/>
      <c r="Q1398" s="11"/>
    </row>
    <row r="1399" spans="2:17" x14ac:dyDescent="0.35">
      <c r="B1399"/>
      <c r="C1399"/>
      <c r="D1399"/>
      <c r="E1399"/>
      <c r="F1399"/>
      <c r="G1399"/>
      <c r="H1399"/>
      <c r="I1399"/>
      <c r="J1399"/>
      <c r="K1399"/>
      <c r="L1399"/>
      <c r="M1399"/>
      <c r="N1399"/>
      <c r="O1399" s="11" t="str">
        <f t="shared" si="21"/>
        <v/>
      </c>
      <c r="P1399"/>
      <c r="Q1399" s="11"/>
    </row>
    <row r="1400" spans="2:17" x14ac:dyDescent="0.35">
      <c r="B1400"/>
      <c r="C1400"/>
      <c r="D1400"/>
      <c r="E1400"/>
      <c r="F1400"/>
      <c r="G1400"/>
      <c r="H1400"/>
      <c r="I1400"/>
      <c r="J1400"/>
      <c r="K1400"/>
      <c r="L1400"/>
      <c r="M1400"/>
      <c r="N1400"/>
      <c r="O1400" s="11" t="str">
        <f t="shared" si="21"/>
        <v/>
      </c>
      <c r="P1400"/>
      <c r="Q1400" s="11"/>
    </row>
    <row r="1401" spans="2:17" x14ac:dyDescent="0.35">
      <c r="B1401"/>
      <c r="C1401"/>
      <c r="D1401"/>
      <c r="E1401"/>
      <c r="F1401"/>
      <c r="G1401"/>
      <c r="H1401"/>
      <c r="I1401"/>
      <c r="J1401"/>
      <c r="K1401"/>
      <c r="L1401"/>
      <c r="M1401"/>
      <c r="N1401"/>
      <c r="O1401" s="11" t="str">
        <f t="shared" si="21"/>
        <v/>
      </c>
      <c r="P1401"/>
      <c r="Q1401" s="11"/>
    </row>
    <row r="1402" spans="2:17" x14ac:dyDescent="0.35">
      <c r="B1402"/>
      <c r="C1402"/>
      <c r="D1402"/>
      <c r="E1402"/>
      <c r="F1402"/>
      <c r="G1402"/>
      <c r="H1402"/>
      <c r="I1402"/>
      <c r="J1402"/>
      <c r="K1402"/>
      <c r="L1402"/>
      <c r="M1402"/>
      <c r="N1402"/>
      <c r="O1402" s="11" t="str">
        <f t="shared" si="21"/>
        <v/>
      </c>
      <c r="P1402"/>
      <c r="Q1402" s="11"/>
    </row>
    <row r="1403" spans="2:17" x14ac:dyDescent="0.35">
      <c r="B1403"/>
      <c r="C1403"/>
      <c r="D1403"/>
      <c r="E1403"/>
      <c r="F1403"/>
      <c r="G1403"/>
      <c r="H1403"/>
      <c r="I1403"/>
      <c r="J1403"/>
      <c r="K1403"/>
      <c r="L1403"/>
      <c r="M1403"/>
      <c r="N1403"/>
      <c r="O1403" s="11" t="str">
        <f t="shared" si="21"/>
        <v/>
      </c>
      <c r="P1403"/>
      <c r="Q1403" s="11"/>
    </row>
    <row r="1404" spans="2:17" x14ac:dyDescent="0.35">
      <c r="B1404"/>
      <c r="C1404"/>
      <c r="D1404"/>
      <c r="E1404"/>
      <c r="F1404"/>
      <c r="G1404"/>
      <c r="H1404"/>
      <c r="I1404"/>
      <c r="J1404"/>
      <c r="K1404"/>
      <c r="L1404"/>
      <c r="M1404"/>
      <c r="N1404"/>
      <c r="O1404" s="11" t="str">
        <f t="shared" si="21"/>
        <v/>
      </c>
      <c r="P1404"/>
      <c r="Q1404" s="11"/>
    </row>
    <row r="1405" spans="2:17" x14ac:dyDescent="0.35">
      <c r="B1405"/>
      <c r="C1405"/>
      <c r="D1405"/>
      <c r="E1405"/>
      <c r="F1405"/>
      <c r="G1405"/>
      <c r="H1405"/>
      <c r="I1405"/>
      <c r="J1405"/>
      <c r="K1405"/>
      <c r="L1405"/>
      <c r="M1405"/>
      <c r="N1405"/>
      <c r="O1405" s="11" t="str">
        <f t="shared" si="21"/>
        <v/>
      </c>
      <c r="P1405"/>
      <c r="Q1405" s="11"/>
    </row>
    <row r="1406" spans="2:17" x14ac:dyDescent="0.35">
      <c r="B1406"/>
      <c r="C1406"/>
      <c r="D1406"/>
      <c r="E1406"/>
      <c r="F1406"/>
      <c r="G1406"/>
      <c r="H1406"/>
      <c r="I1406"/>
      <c r="J1406"/>
      <c r="K1406"/>
      <c r="L1406"/>
      <c r="M1406"/>
      <c r="N1406"/>
      <c r="O1406" s="11" t="str">
        <f t="shared" si="21"/>
        <v/>
      </c>
      <c r="P1406"/>
      <c r="Q1406" s="11"/>
    </row>
    <row r="1407" spans="2:17" x14ac:dyDescent="0.35">
      <c r="B1407"/>
      <c r="C1407"/>
      <c r="D1407"/>
      <c r="E1407"/>
      <c r="F1407"/>
      <c r="G1407"/>
      <c r="H1407"/>
      <c r="I1407"/>
      <c r="J1407"/>
      <c r="K1407"/>
      <c r="L1407"/>
      <c r="M1407"/>
      <c r="N1407"/>
      <c r="O1407" s="11" t="str">
        <f t="shared" si="21"/>
        <v/>
      </c>
      <c r="P1407"/>
      <c r="Q1407" s="11"/>
    </row>
    <row r="1408" spans="2:17" x14ac:dyDescent="0.35">
      <c r="B1408"/>
      <c r="C1408"/>
      <c r="D1408"/>
      <c r="E1408"/>
      <c r="F1408"/>
      <c r="G1408"/>
      <c r="H1408"/>
      <c r="I1408"/>
      <c r="J1408"/>
      <c r="K1408"/>
      <c r="L1408"/>
      <c r="M1408"/>
      <c r="N1408"/>
      <c r="O1408" s="11" t="str">
        <f t="shared" si="21"/>
        <v/>
      </c>
      <c r="P1408"/>
      <c r="Q1408" s="11"/>
    </row>
    <row r="1409" spans="2:17" x14ac:dyDescent="0.35">
      <c r="B1409"/>
      <c r="C1409"/>
      <c r="D1409"/>
      <c r="E1409"/>
      <c r="F1409"/>
      <c r="G1409"/>
      <c r="H1409"/>
      <c r="I1409"/>
      <c r="J1409"/>
      <c r="K1409"/>
      <c r="L1409"/>
      <c r="M1409"/>
      <c r="N1409"/>
      <c r="O1409" s="11" t="str">
        <f t="shared" si="21"/>
        <v/>
      </c>
      <c r="P1409"/>
      <c r="Q1409" s="11"/>
    </row>
    <row r="1410" spans="2:17" x14ac:dyDescent="0.35">
      <c r="B1410"/>
      <c r="C1410"/>
      <c r="D1410"/>
      <c r="E1410"/>
      <c r="F1410"/>
      <c r="G1410"/>
      <c r="H1410"/>
      <c r="I1410"/>
      <c r="J1410"/>
      <c r="K1410"/>
      <c r="L1410"/>
      <c r="M1410"/>
      <c r="N1410"/>
      <c r="O1410" s="11" t="str">
        <f t="shared" si="21"/>
        <v/>
      </c>
      <c r="P1410"/>
      <c r="Q1410" s="11"/>
    </row>
    <row r="1411" spans="2:17" x14ac:dyDescent="0.35">
      <c r="B1411"/>
      <c r="C1411"/>
      <c r="D1411"/>
      <c r="E1411"/>
      <c r="F1411"/>
      <c r="G1411"/>
      <c r="H1411"/>
      <c r="I1411"/>
      <c r="J1411"/>
      <c r="K1411"/>
      <c r="L1411"/>
      <c r="M1411"/>
      <c r="N1411"/>
      <c r="O1411" s="11" t="str">
        <f t="shared" si="21"/>
        <v/>
      </c>
      <c r="P1411"/>
      <c r="Q1411" s="11"/>
    </row>
    <row r="1412" spans="2:17" x14ac:dyDescent="0.35">
      <c r="B1412"/>
      <c r="C1412"/>
      <c r="D1412"/>
      <c r="E1412"/>
      <c r="F1412"/>
      <c r="G1412"/>
      <c r="H1412"/>
      <c r="I1412"/>
      <c r="J1412"/>
      <c r="K1412"/>
      <c r="L1412"/>
      <c r="M1412"/>
      <c r="N1412"/>
      <c r="O1412" s="11" t="str">
        <f t="shared" si="21"/>
        <v/>
      </c>
      <c r="P1412"/>
      <c r="Q1412" s="11"/>
    </row>
    <row r="1413" spans="2:17" x14ac:dyDescent="0.35">
      <c r="B1413"/>
      <c r="C1413"/>
      <c r="D1413"/>
      <c r="E1413"/>
      <c r="F1413"/>
      <c r="G1413"/>
      <c r="H1413"/>
      <c r="I1413"/>
      <c r="J1413"/>
      <c r="K1413"/>
      <c r="L1413"/>
      <c r="M1413"/>
      <c r="N1413"/>
      <c r="O1413" s="11" t="str">
        <f t="shared" si="21"/>
        <v/>
      </c>
      <c r="P1413"/>
      <c r="Q1413" s="11"/>
    </row>
    <row r="1414" spans="2:17" x14ac:dyDescent="0.35">
      <c r="B1414"/>
      <c r="C1414"/>
      <c r="D1414"/>
      <c r="E1414"/>
      <c r="F1414"/>
      <c r="G1414"/>
      <c r="H1414"/>
      <c r="I1414"/>
      <c r="J1414"/>
      <c r="K1414"/>
      <c r="L1414"/>
      <c r="M1414"/>
      <c r="N1414"/>
      <c r="O1414" s="11" t="str">
        <f t="shared" si="21"/>
        <v/>
      </c>
      <c r="P1414"/>
      <c r="Q1414" s="11"/>
    </row>
    <row r="1415" spans="2:17" x14ac:dyDescent="0.35">
      <c r="B1415"/>
      <c r="C1415"/>
      <c r="D1415"/>
      <c r="E1415"/>
      <c r="F1415"/>
      <c r="G1415"/>
      <c r="H1415"/>
      <c r="I1415"/>
      <c r="J1415"/>
      <c r="K1415"/>
      <c r="L1415"/>
      <c r="M1415"/>
      <c r="N1415"/>
      <c r="O1415" s="11" t="str">
        <f t="shared" si="21"/>
        <v/>
      </c>
      <c r="P1415"/>
      <c r="Q1415" s="11"/>
    </row>
    <row r="1416" spans="2:17" x14ac:dyDescent="0.35">
      <c r="B1416"/>
      <c r="C1416"/>
      <c r="D1416"/>
      <c r="E1416"/>
      <c r="F1416"/>
      <c r="G1416"/>
      <c r="H1416"/>
      <c r="I1416"/>
      <c r="J1416"/>
      <c r="K1416"/>
      <c r="L1416"/>
      <c r="M1416"/>
      <c r="N1416"/>
      <c r="O1416" s="11" t="str">
        <f t="shared" si="21"/>
        <v/>
      </c>
      <c r="P1416"/>
      <c r="Q1416" s="11"/>
    </row>
    <row r="1417" spans="2:17" x14ac:dyDescent="0.35">
      <c r="B1417"/>
      <c r="C1417"/>
      <c r="D1417"/>
      <c r="E1417"/>
      <c r="F1417"/>
      <c r="G1417"/>
      <c r="H1417"/>
      <c r="I1417"/>
      <c r="J1417"/>
      <c r="K1417"/>
      <c r="L1417"/>
      <c r="M1417"/>
      <c r="N1417"/>
      <c r="O1417" s="11" t="str">
        <f t="shared" si="21"/>
        <v/>
      </c>
      <c r="P1417"/>
      <c r="Q1417" s="11"/>
    </row>
    <row r="1418" spans="2:17" x14ac:dyDescent="0.35">
      <c r="B1418"/>
      <c r="C1418"/>
      <c r="D1418"/>
      <c r="E1418"/>
      <c r="F1418"/>
      <c r="G1418"/>
      <c r="H1418"/>
      <c r="I1418"/>
      <c r="J1418"/>
      <c r="K1418"/>
      <c r="L1418"/>
      <c r="M1418"/>
      <c r="N1418"/>
      <c r="O1418" s="11" t="str">
        <f t="shared" si="21"/>
        <v/>
      </c>
      <c r="P1418"/>
      <c r="Q1418" s="11"/>
    </row>
    <row r="1419" spans="2:17" x14ac:dyDescent="0.35">
      <c r="B1419"/>
      <c r="C1419"/>
      <c r="D1419"/>
      <c r="E1419"/>
      <c r="F1419"/>
      <c r="G1419"/>
      <c r="H1419"/>
      <c r="I1419"/>
      <c r="J1419"/>
      <c r="K1419"/>
      <c r="L1419"/>
      <c r="M1419"/>
      <c r="N1419"/>
      <c r="O1419" s="11" t="str">
        <f t="shared" si="21"/>
        <v/>
      </c>
      <c r="P1419"/>
      <c r="Q1419" s="11"/>
    </row>
    <row r="1420" spans="2:17" x14ac:dyDescent="0.35">
      <c r="B1420"/>
      <c r="C1420"/>
      <c r="D1420"/>
      <c r="E1420"/>
      <c r="F1420"/>
      <c r="G1420"/>
      <c r="H1420"/>
      <c r="I1420"/>
      <c r="J1420"/>
      <c r="K1420"/>
      <c r="L1420"/>
      <c r="M1420"/>
      <c r="N1420"/>
      <c r="O1420" s="11" t="str">
        <f t="shared" si="21"/>
        <v/>
      </c>
      <c r="P1420"/>
      <c r="Q1420" s="11"/>
    </row>
    <row r="1421" spans="2:17" x14ac:dyDescent="0.35">
      <c r="B1421"/>
      <c r="C1421"/>
      <c r="D1421"/>
      <c r="E1421"/>
      <c r="F1421"/>
      <c r="G1421"/>
      <c r="H1421"/>
      <c r="I1421"/>
      <c r="J1421"/>
      <c r="K1421"/>
      <c r="L1421"/>
      <c r="M1421"/>
      <c r="N1421"/>
      <c r="O1421" s="11" t="str">
        <f t="shared" si="21"/>
        <v/>
      </c>
      <c r="P1421"/>
      <c r="Q1421" s="11"/>
    </row>
    <row r="1422" spans="2:17" x14ac:dyDescent="0.35">
      <c r="B1422"/>
      <c r="C1422"/>
      <c r="D1422"/>
      <c r="E1422"/>
      <c r="F1422"/>
      <c r="G1422"/>
      <c r="H1422"/>
      <c r="I1422"/>
      <c r="J1422"/>
      <c r="K1422"/>
      <c r="L1422"/>
      <c r="M1422"/>
      <c r="N1422"/>
      <c r="O1422" s="11" t="str">
        <f t="shared" si="21"/>
        <v/>
      </c>
      <c r="P1422"/>
      <c r="Q1422" s="11"/>
    </row>
    <row r="1423" spans="2:17" x14ac:dyDescent="0.35">
      <c r="B1423"/>
      <c r="C1423"/>
      <c r="D1423"/>
      <c r="E1423"/>
      <c r="F1423"/>
      <c r="G1423"/>
      <c r="H1423"/>
      <c r="I1423"/>
      <c r="J1423"/>
      <c r="K1423"/>
      <c r="L1423"/>
      <c r="M1423"/>
      <c r="N1423"/>
      <c r="O1423" s="11" t="str">
        <f t="shared" si="21"/>
        <v/>
      </c>
      <c r="P1423"/>
      <c r="Q1423" s="11"/>
    </row>
    <row r="1424" spans="2:17" x14ac:dyDescent="0.35">
      <c r="B1424"/>
      <c r="C1424"/>
      <c r="D1424"/>
      <c r="E1424"/>
      <c r="F1424"/>
      <c r="G1424"/>
      <c r="H1424"/>
      <c r="I1424"/>
      <c r="J1424"/>
      <c r="K1424"/>
      <c r="L1424"/>
      <c r="M1424"/>
      <c r="N1424"/>
      <c r="O1424" s="11" t="str">
        <f t="shared" si="21"/>
        <v/>
      </c>
      <c r="P1424"/>
      <c r="Q1424" s="11"/>
    </row>
    <row r="1425" spans="2:17" x14ac:dyDescent="0.35">
      <c r="B1425"/>
      <c r="C1425"/>
      <c r="D1425"/>
      <c r="E1425"/>
      <c r="F1425"/>
      <c r="G1425"/>
      <c r="H1425"/>
      <c r="I1425"/>
      <c r="J1425"/>
      <c r="K1425"/>
      <c r="L1425"/>
      <c r="M1425"/>
      <c r="N1425"/>
      <c r="O1425" s="11" t="str">
        <f t="shared" si="21"/>
        <v/>
      </c>
      <c r="P1425"/>
      <c r="Q1425" s="11"/>
    </row>
    <row r="1426" spans="2:17" x14ac:dyDescent="0.35">
      <c r="B1426"/>
      <c r="C1426"/>
      <c r="D1426"/>
      <c r="E1426"/>
      <c r="F1426"/>
      <c r="G1426"/>
      <c r="H1426"/>
      <c r="I1426"/>
      <c r="J1426"/>
      <c r="K1426"/>
      <c r="L1426"/>
      <c r="M1426"/>
      <c r="N1426"/>
      <c r="O1426" s="11" t="str">
        <f t="shared" si="21"/>
        <v/>
      </c>
      <c r="P1426"/>
      <c r="Q1426" s="11"/>
    </row>
    <row r="1427" spans="2:17" x14ac:dyDescent="0.35">
      <c r="B1427"/>
      <c r="C1427"/>
      <c r="D1427"/>
      <c r="E1427"/>
      <c r="F1427"/>
      <c r="G1427"/>
      <c r="H1427"/>
      <c r="I1427"/>
      <c r="J1427"/>
      <c r="K1427"/>
      <c r="L1427"/>
      <c r="M1427"/>
      <c r="N1427"/>
      <c r="O1427" s="11" t="str">
        <f t="shared" si="21"/>
        <v/>
      </c>
      <c r="P1427"/>
      <c r="Q1427" s="11"/>
    </row>
    <row r="1428" spans="2:17" x14ac:dyDescent="0.35">
      <c r="B1428"/>
      <c r="C1428"/>
      <c r="D1428"/>
      <c r="E1428"/>
      <c r="F1428"/>
      <c r="G1428"/>
      <c r="H1428"/>
      <c r="I1428"/>
      <c r="J1428"/>
      <c r="K1428"/>
      <c r="L1428"/>
      <c r="M1428"/>
      <c r="N1428"/>
      <c r="O1428" s="11" t="str">
        <f t="shared" si="21"/>
        <v/>
      </c>
      <c r="P1428"/>
      <c r="Q1428" s="11"/>
    </row>
    <row r="1429" spans="2:17" x14ac:dyDescent="0.35">
      <c r="B1429"/>
      <c r="C1429"/>
      <c r="D1429"/>
      <c r="E1429"/>
      <c r="F1429"/>
      <c r="G1429"/>
      <c r="H1429"/>
      <c r="I1429"/>
      <c r="J1429"/>
      <c r="K1429"/>
      <c r="L1429"/>
      <c r="M1429"/>
      <c r="N1429"/>
      <c r="O1429" s="11" t="str">
        <f t="shared" ref="O1429:O1492" si="22">IFERROR(RATE(2033-2026,,-G1429,N1429),"")</f>
        <v/>
      </c>
      <c r="P1429"/>
      <c r="Q1429" s="11"/>
    </row>
    <row r="1430" spans="2:17" x14ac:dyDescent="0.35">
      <c r="B1430"/>
      <c r="C1430"/>
      <c r="D1430"/>
      <c r="E1430"/>
      <c r="F1430"/>
      <c r="G1430"/>
      <c r="H1430"/>
      <c r="I1430"/>
      <c r="J1430"/>
      <c r="K1430"/>
      <c r="L1430"/>
      <c r="M1430"/>
      <c r="N1430"/>
      <c r="O1430" s="11" t="str">
        <f t="shared" si="22"/>
        <v/>
      </c>
      <c r="P1430"/>
      <c r="Q1430" s="11"/>
    </row>
    <row r="1431" spans="2:17" x14ac:dyDescent="0.35">
      <c r="B1431"/>
      <c r="C1431"/>
      <c r="D1431"/>
      <c r="E1431"/>
      <c r="F1431"/>
      <c r="G1431"/>
      <c r="H1431"/>
      <c r="I1431"/>
      <c r="J1431"/>
      <c r="K1431"/>
      <c r="L1431"/>
      <c r="M1431"/>
      <c r="N1431"/>
      <c r="O1431" s="11" t="str">
        <f t="shared" si="22"/>
        <v/>
      </c>
      <c r="P1431"/>
      <c r="Q1431" s="11"/>
    </row>
    <row r="1432" spans="2:17" x14ac:dyDescent="0.35">
      <c r="B1432"/>
      <c r="C1432"/>
      <c r="D1432"/>
      <c r="E1432"/>
      <c r="F1432"/>
      <c r="G1432"/>
      <c r="H1432"/>
      <c r="I1432"/>
      <c r="J1432"/>
      <c r="K1432"/>
      <c r="L1432"/>
      <c r="M1432"/>
      <c r="N1432"/>
      <c r="O1432" s="11" t="str">
        <f t="shared" si="22"/>
        <v/>
      </c>
      <c r="P1432"/>
      <c r="Q1432" s="11"/>
    </row>
    <row r="1433" spans="2:17" x14ac:dyDescent="0.35">
      <c r="B1433"/>
      <c r="C1433"/>
      <c r="D1433"/>
      <c r="E1433"/>
      <c r="F1433"/>
      <c r="G1433"/>
      <c r="H1433"/>
      <c r="I1433"/>
      <c r="J1433"/>
      <c r="K1433"/>
      <c r="L1433"/>
      <c r="M1433"/>
      <c r="N1433"/>
      <c r="O1433" s="11" t="str">
        <f t="shared" si="22"/>
        <v/>
      </c>
      <c r="P1433"/>
      <c r="Q1433" s="11"/>
    </row>
    <row r="1434" spans="2:17" x14ac:dyDescent="0.35">
      <c r="B1434"/>
      <c r="C1434"/>
      <c r="D1434"/>
      <c r="E1434"/>
      <c r="F1434"/>
      <c r="G1434"/>
      <c r="H1434"/>
      <c r="I1434"/>
      <c r="J1434"/>
      <c r="K1434"/>
      <c r="L1434"/>
      <c r="M1434"/>
      <c r="N1434"/>
      <c r="O1434" s="11" t="str">
        <f t="shared" si="22"/>
        <v/>
      </c>
      <c r="P1434"/>
      <c r="Q1434" s="11"/>
    </row>
    <row r="1435" spans="2:17" x14ac:dyDescent="0.35">
      <c r="B1435"/>
      <c r="C1435"/>
      <c r="D1435"/>
      <c r="E1435"/>
      <c r="F1435"/>
      <c r="G1435"/>
      <c r="H1435"/>
      <c r="I1435"/>
      <c r="J1435"/>
      <c r="K1435"/>
      <c r="L1435"/>
      <c r="M1435"/>
      <c r="N1435"/>
      <c r="O1435" s="11" t="str">
        <f t="shared" si="22"/>
        <v/>
      </c>
      <c r="P1435"/>
      <c r="Q1435" s="11"/>
    </row>
    <row r="1436" spans="2:17" x14ac:dyDescent="0.35">
      <c r="B1436"/>
      <c r="C1436"/>
      <c r="D1436"/>
      <c r="E1436"/>
      <c r="F1436"/>
      <c r="G1436"/>
      <c r="H1436"/>
      <c r="I1436"/>
      <c r="J1436"/>
      <c r="K1436"/>
      <c r="L1436"/>
      <c r="M1436"/>
      <c r="N1436"/>
      <c r="O1436" s="11" t="str">
        <f t="shared" si="22"/>
        <v/>
      </c>
      <c r="P1436"/>
      <c r="Q1436" s="11"/>
    </row>
    <row r="1437" spans="2:17" x14ac:dyDescent="0.35">
      <c r="B1437"/>
      <c r="C1437"/>
      <c r="D1437"/>
      <c r="E1437"/>
      <c r="F1437"/>
      <c r="G1437"/>
      <c r="H1437"/>
      <c r="I1437"/>
      <c r="J1437"/>
      <c r="K1437"/>
      <c r="L1437"/>
      <c r="M1437"/>
      <c r="N1437"/>
      <c r="O1437" s="11" t="str">
        <f t="shared" si="22"/>
        <v/>
      </c>
      <c r="P1437"/>
      <c r="Q1437" s="11"/>
    </row>
    <row r="1438" spans="2:17" x14ac:dyDescent="0.35">
      <c r="B1438"/>
      <c r="C1438"/>
      <c r="D1438"/>
      <c r="E1438"/>
      <c r="F1438"/>
      <c r="G1438"/>
      <c r="H1438"/>
      <c r="I1438"/>
      <c r="J1438"/>
      <c r="K1438"/>
      <c r="L1438"/>
      <c r="M1438"/>
      <c r="N1438"/>
      <c r="O1438" s="11" t="str">
        <f t="shared" si="22"/>
        <v/>
      </c>
      <c r="P1438"/>
      <c r="Q1438" s="11"/>
    </row>
    <row r="1439" spans="2:17" x14ac:dyDescent="0.35">
      <c r="B1439"/>
      <c r="C1439"/>
      <c r="D1439"/>
      <c r="E1439"/>
      <c r="F1439"/>
      <c r="G1439"/>
      <c r="H1439"/>
      <c r="I1439"/>
      <c r="J1439"/>
      <c r="K1439"/>
      <c r="L1439"/>
      <c r="M1439"/>
      <c r="N1439"/>
      <c r="O1439" s="11" t="str">
        <f t="shared" si="22"/>
        <v/>
      </c>
      <c r="P1439"/>
      <c r="Q1439" s="11"/>
    </row>
    <row r="1440" spans="2:17" x14ac:dyDescent="0.35">
      <c r="B1440"/>
      <c r="C1440"/>
      <c r="D1440"/>
      <c r="E1440"/>
      <c r="F1440"/>
      <c r="G1440"/>
      <c r="H1440"/>
      <c r="I1440"/>
      <c r="J1440"/>
      <c r="K1440"/>
      <c r="L1440"/>
      <c r="M1440"/>
      <c r="N1440"/>
      <c r="O1440" s="11" t="str">
        <f t="shared" si="22"/>
        <v/>
      </c>
      <c r="P1440"/>
      <c r="Q1440" s="11"/>
    </row>
    <row r="1441" spans="2:17" x14ac:dyDescent="0.35">
      <c r="B1441"/>
      <c r="C1441"/>
      <c r="D1441"/>
      <c r="E1441"/>
      <c r="F1441"/>
      <c r="G1441"/>
      <c r="H1441"/>
      <c r="I1441"/>
      <c r="J1441"/>
      <c r="K1441"/>
      <c r="L1441"/>
      <c r="M1441"/>
      <c r="N1441"/>
      <c r="O1441" s="11" t="str">
        <f t="shared" si="22"/>
        <v/>
      </c>
      <c r="P1441"/>
      <c r="Q1441" s="11"/>
    </row>
    <row r="1442" spans="2:17" x14ac:dyDescent="0.35">
      <c r="B1442"/>
      <c r="C1442"/>
      <c r="D1442"/>
      <c r="E1442"/>
      <c r="F1442"/>
      <c r="G1442"/>
      <c r="H1442"/>
      <c r="I1442"/>
      <c r="J1442"/>
      <c r="K1442"/>
      <c r="L1442"/>
      <c r="M1442"/>
      <c r="N1442"/>
      <c r="O1442" s="11" t="str">
        <f t="shared" si="22"/>
        <v/>
      </c>
      <c r="P1442"/>
      <c r="Q1442" s="11"/>
    </row>
    <row r="1443" spans="2:17" x14ac:dyDescent="0.35">
      <c r="B1443"/>
      <c r="C1443"/>
      <c r="D1443"/>
      <c r="E1443"/>
      <c r="F1443"/>
      <c r="G1443"/>
      <c r="H1443"/>
      <c r="I1443"/>
      <c r="J1443"/>
      <c r="K1443"/>
      <c r="L1443"/>
      <c r="M1443"/>
      <c r="N1443"/>
      <c r="O1443" s="11" t="str">
        <f t="shared" si="22"/>
        <v/>
      </c>
      <c r="P1443"/>
      <c r="Q1443" s="11"/>
    </row>
    <row r="1444" spans="2:17" x14ac:dyDescent="0.35">
      <c r="B1444"/>
      <c r="C1444"/>
      <c r="D1444"/>
      <c r="E1444"/>
      <c r="F1444"/>
      <c r="G1444"/>
      <c r="H1444"/>
      <c r="I1444"/>
      <c r="J1444"/>
      <c r="K1444"/>
      <c r="L1444"/>
      <c r="M1444"/>
      <c r="N1444"/>
      <c r="O1444" s="11" t="str">
        <f t="shared" si="22"/>
        <v/>
      </c>
      <c r="P1444"/>
      <c r="Q1444" s="11"/>
    </row>
    <row r="1445" spans="2:17" x14ac:dyDescent="0.35">
      <c r="B1445"/>
      <c r="C1445"/>
      <c r="D1445"/>
      <c r="E1445"/>
      <c r="F1445"/>
      <c r="G1445"/>
      <c r="H1445"/>
      <c r="I1445"/>
      <c r="J1445"/>
      <c r="K1445"/>
      <c r="L1445"/>
      <c r="M1445"/>
      <c r="N1445"/>
      <c r="O1445" s="11" t="str">
        <f t="shared" si="22"/>
        <v/>
      </c>
      <c r="P1445"/>
      <c r="Q1445" s="11"/>
    </row>
    <row r="1446" spans="2:17" x14ac:dyDescent="0.35">
      <c r="B1446"/>
      <c r="C1446"/>
      <c r="D1446"/>
      <c r="E1446"/>
      <c r="F1446"/>
      <c r="G1446"/>
      <c r="H1446"/>
      <c r="I1446"/>
      <c r="J1446"/>
      <c r="K1446"/>
      <c r="L1446"/>
      <c r="M1446"/>
      <c r="N1446"/>
      <c r="O1446" s="11" t="str">
        <f t="shared" si="22"/>
        <v/>
      </c>
      <c r="P1446"/>
      <c r="Q1446" s="11"/>
    </row>
    <row r="1447" spans="2:17" x14ac:dyDescent="0.35">
      <c r="B1447"/>
      <c r="C1447"/>
      <c r="D1447"/>
      <c r="E1447"/>
      <c r="F1447"/>
      <c r="G1447"/>
      <c r="H1447"/>
      <c r="I1447"/>
      <c r="J1447"/>
      <c r="K1447"/>
      <c r="L1447"/>
      <c r="M1447"/>
      <c r="N1447"/>
      <c r="O1447" s="11" t="str">
        <f t="shared" si="22"/>
        <v/>
      </c>
      <c r="P1447"/>
      <c r="Q1447" s="11"/>
    </row>
    <row r="1448" spans="2:17" x14ac:dyDescent="0.35">
      <c r="B1448"/>
      <c r="C1448"/>
      <c r="D1448"/>
      <c r="E1448"/>
      <c r="F1448"/>
      <c r="G1448"/>
      <c r="H1448"/>
      <c r="I1448"/>
      <c r="J1448"/>
      <c r="K1448"/>
      <c r="L1448"/>
      <c r="M1448"/>
      <c r="N1448"/>
      <c r="O1448" s="11" t="str">
        <f t="shared" si="22"/>
        <v/>
      </c>
      <c r="P1448"/>
      <c r="Q1448" s="11"/>
    </row>
    <row r="1449" spans="2:17" x14ac:dyDescent="0.35">
      <c r="B1449"/>
      <c r="C1449"/>
      <c r="D1449"/>
      <c r="E1449"/>
      <c r="F1449"/>
      <c r="G1449"/>
      <c r="H1449"/>
      <c r="I1449"/>
      <c r="J1449"/>
      <c r="K1449"/>
      <c r="L1449"/>
      <c r="M1449"/>
      <c r="N1449"/>
      <c r="O1449" s="11" t="str">
        <f t="shared" si="22"/>
        <v/>
      </c>
      <c r="P1449"/>
      <c r="Q1449" s="11"/>
    </row>
    <row r="1450" spans="2:17" x14ac:dyDescent="0.35">
      <c r="B1450"/>
      <c r="C1450"/>
      <c r="D1450"/>
      <c r="E1450"/>
      <c r="F1450"/>
      <c r="G1450"/>
      <c r="H1450"/>
      <c r="I1450"/>
      <c r="J1450"/>
      <c r="K1450"/>
      <c r="L1450"/>
      <c r="M1450"/>
      <c r="N1450"/>
      <c r="O1450" s="11" t="str">
        <f t="shared" si="22"/>
        <v/>
      </c>
      <c r="P1450"/>
      <c r="Q1450" s="11"/>
    </row>
    <row r="1451" spans="2:17" x14ac:dyDescent="0.35">
      <c r="B1451"/>
      <c r="C1451"/>
      <c r="D1451"/>
      <c r="E1451"/>
      <c r="F1451"/>
      <c r="G1451"/>
      <c r="H1451"/>
      <c r="I1451"/>
      <c r="J1451"/>
      <c r="K1451"/>
      <c r="L1451"/>
      <c r="M1451"/>
      <c r="N1451"/>
      <c r="O1451" s="11" t="str">
        <f t="shared" si="22"/>
        <v/>
      </c>
      <c r="P1451"/>
      <c r="Q1451" s="11"/>
    </row>
    <row r="1452" spans="2:17" x14ac:dyDescent="0.35">
      <c r="B1452"/>
      <c r="C1452"/>
      <c r="D1452"/>
      <c r="E1452"/>
      <c r="F1452"/>
      <c r="G1452"/>
      <c r="H1452"/>
      <c r="I1452"/>
      <c r="J1452"/>
      <c r="K1452"/>
      <c r="L1452"/>
      <c r="M1452"/>
      <c r="N1452"/>
      <c r="O1452" s="11" t="str">
        <f t="shared" si="22"/>
        <v/>
      </c>
      <c r="P1452"/>
      <c r="Q1452" s="11"/>
    </row>
    <row r="1453" spans="2:17" x14ac:dyDescent="0.35">
      <c r="B1453"/>
      <c r="C1453"/>
      <c r="D1453"/>
      <c r="E1453"/>
      <c r="F1453"/>
      <c r="G1453"/>
      <c r="H1453"/>
      <c r="I1453"/>
      <c r="J1453"/>
      <c r="K1453"/>
      <c r="L1453"/>
      <c r="M1453"/>
      <c r="N1453"/>
      <c r="O1453" s="11" t="str">
        <f t="shared" si="22"/>
        <v/>
      </c>
      <c r="P1453"/>
      <c r="Q1453" s="11"/>
    </row>
    <row r="1454" spans="2:17" x14ac:dyDescent="0.35">
      <c r="B1454"/>
      <c r="C1454"/>
      <c r="D1454"/>
      <c r="E1454"/>
      <c r="F1454"/>
      <c r="G1454"/>
      <c r="H1454"/>
      <c r="I1454"/>
      <c r="J1454"/>
      <c r="K1454"/>
      <c r="L1454"/>
      <c r="M1454"/>
      <c r="N1454"/>
      <c r="O1454" s="11" t="str">
        <f t="shared" si="22"/>
        <v/>
      </c>
      <c r="P1454"/>
      <c r="Q1454" s="11"/>
    </row>
    <row r="1455" spans="2:17" x14ac:dyDescent="0.35">
      <c r="B1455"/>
      <c r="C1455"/>
      <c r="D1455"/>
      <c r="E1455"/>
      <c r="F1455"/>
      <c r="G1455"/>
      <c r="H1455"/>
      <c r="I1455"/>
      <c r="J1455"/>
      <c r="K1455"/>
      <c r="L1455"/>
      <c r="M1455"/>
      <c r="N1455"/>
      <c r="O1455" s="11" t="str">
        <f t="shared" si="22"/>
        <v/>
      </c>
      <c r="P1455"/>
      <c r="Q1455" s="11"/>
    </row>
    <row r="1456" spans="2:17" x14ac:dyDescent="0.35">
      <c r="B1456"/>
      <c r="C1456"/>
      <c r="D1456"/>
      <c r="E1456"/>
      <c r="F1456"/>
      <c r="G1456"/>
      <c r="H1456"/>
      <c r="I1456"/>
      <c r="J1456"/>
      <c r="K1456"/>
      <c r="L1456"/>
      <c r="M1456"/>
      <c r="N1456"/>
      <c r="O1456" s="11" t="str">
        <f t="shared" si="22"/>
        <v/>
      </c>
      <c r="P1456"/>
      <c r="Q1456" s="11"/>
    </row>
    <row r="1457" spans="2:17" x14ac:dyDescent="0.35">
      <c r="B1457"/>
      <c r="C1457"/>
      <c r="D1457"/>
      <c r="E1457"/>
      <c r="F1457"/>
      <c r="G1457"/>
      <c r="H1457"/>
      <c r="I1457"/>
      <c r="J1457"/>
      <c r="K1457"/>
      <c r="L1457"/>
      <c r="M1457"/>
      <c r="N1457"/>
      <c r="O1457" s="11" t="str">
        <f t="shared" si="22"/>
        <v/>
      </c>
      <c r="P1457"/>
      <c r="Q1457" s="11"/>
    </row>
    <row r="1458" spans="2:17" x14ac:dyDescent="0.35">
      <c r="B1458"/>
      <c r="C1458"/>
      <c r="D1458"/>
      <c r="E1458"/>
      <c r="F1458"/>
      <c r="G1458"/>
      <c r="H1458"/>
      <c r="I1458"/>
      <c r="J1458"/>
      <c r="K1458"/>
      <c r="L1458"/>
      <c r="M1458"/>
      <c r="N1458"/>
      <c r="O1458" s="11" t="str">
        <f t="shared" si="22"/>
        <v/>
      </c>
      <c r="P1458"/>
      <c r="Q1458" s="11"/>
    </row>
    <row r="1459" spans="2:17" x14ac:dyDescent="0.35">
      <c r="B1459"/>
      <c r="C1459"/>
      <c r="D1459"/>
      <c r="E1459"/>
      <c r="F1459"/>
      <c r="G1459"/>
      <c r="H1459"/>
      <c r="I1459"/>
      <c r="J1459"/>
      <c r="K1459"/>
      <c r="L1459"/>
      <c r="M1459"/>
      <c r="N1459"/>
      <c r="O1459" s="11" t="str">
        <f t="shared" si="22"/>
        <v/>
      </c>
      <c r="P1459"/>
      <c r="Q1459" s="11"/>
    </row>
    <row r="1460" spans="2:17" x14ac:dyDescent="0.35">
      <c r="B1460"/>
      <c r="C1460"/>
      <c r="D1460"/>
      <c r="E1460"/>
      <c r="F1460"/>
      <c r="G1460"/>
      <c r="H1460"/>
      <c r="I1460"/>
      <c r="J1460"/>
      <c r="K1460"/>
      <c r="L1460"/>
      <c r="M1460"/>
      <c r="N1460"/>
      <c r="O1460" s="11" t="str">
        <f t="shared" si="22"/>
        <v/>
      </c>
      <c r="P1460"/>
      <c r="Q1460" s="11"/>
    </row>
    <row r="1461" spans="2:17" x14ac:dyDescent="0.35">
      <c r="B1461"/>
      <c r="C1461"/>
      <c r="D1461"/>
      <c r="E1461"/>
      <c r="F1461"/>
      <c r="G1461"/>
      <c r="H1461"/>
      <c r="I1461"/>
      <c r="J1461"/>
      <c r="K1461"/>
      <c r="L1461"/>
      <c r="M1461"/>
      <c r="N1461"/>
      <c r="O1461" s="11" t="str">
        <f t="shared" si="22"/>
        <v/>
      </c>
      <c r="P1461"/>
      <c r="Q1461" s="11"/>
    </row>
    <row r="1462" spans="2:17" x14ac:dyDescent="0.35">
      <c r="B1462"/>
      <c r="C1462"/>
      <c r="D1462"/>
      <c r="E1462"/>
      <c r="F1462"/>
      <c r="G1462"/>
      <c r="H1462"/>
      <c r="I1462"/>
      <c r="J1462"/>
      <c r="K1462"/>
      <c r="L1462"/>
      <c r="M1462"/>
      <c r="N1462"/>
      <c r="O1462" s="11" t="str">
        <f t="shared" si="22"/>
        <v/>
      </c>
      <c r="P1462"/>
      <c r="Q1462" s="11"/>
    </row>
    <row r="1463" spans="2:17" x14ac:dyDescent="0.35">
      <c r="B1463"/>
      <c r="C1463"/>
      <c r="D1463"/>
      <c r="E1463"/>
      <c r="F1463"/>
      <c r="G1463"/>
      <c r="H1463"/>
      <c r="I1463"/>
      <c r="J1463"/>
      <c r="K1463"/>
      <c r="L1463"/>
      <c r="M1463"/>
      <c r="N1463"/>
      <c r="O1463" s="11" t="str">
        <f t="shared" si="22"/>
        <v/>
      </c>
      <c r="P1463"/>
      <c r="Q1463" s="11"/>
    </row>
    <row r="1464" spans="2:17" x14ac:dyDescent="0.35">
      <c r="B1464"/>
      <c r="C1464"/>
      <c r="D1464"/>
      <c r="E1464"/>
      <c r="F1464"/>
      <c r="G1464"/>
      <c r="H1464"/>
      <c r="I1464"/>
      <c r="J1464"/>
      <c r="K1464"/>
      <c r="L1464"/>
      <c r="M1464"/>
      <c r="N1464"/>
      <c r="O1464" s="11" t="str">
        <f t="shared" si="22"/>
        <v/>
      </c>
      <c r="P1464"/>
      <c r="Q1464" s="11"/>
    </row>
    <row r="1465" spans="2:17" x14ac:dyDescent="0.35">
      <c r="B1465"/>
      <c r="C1465"/>
      <c r="D1465"/>
      <c r="E1465"/>
      <c r="F1465"/>
      <c r="G1465"/>
      <c r="H1465"/>
      <c r="I1465"/>
      <c r="J1465"/>
      <c r="K1465"/>
      <c r="L1465"/>
      <c r="M1465"/>
      <c r="N1465"/>
      <c r="O1465" s="11" t="str">
        <f t="shared" si="22"/>
        <v/>
      </c>
      <c r="P1465"/>
      <c r="Q1465" s="11"/>
    </row>
    <row r="1466" spans="2:17" x14ac:dyDescent="0.35">
      <c r="B1466"/>
      <c r="C1466"/>
      <c r="D1466"/>
      <c r="E1466"/>
      <c r="F1466"/>
      <c r="G1466"/>
      <c r="H1466"/>
      <c r="I1466"/>
      <c r="J1466"/>
      <c r="K1466"/>
      <c r="L1466"/>
      <c r="M1466"/>
      <c r="N1466"/>
      <c r="O1466" s="11" t="str">
        <f t="shared" si="22"/>
        <v/>
      </c>
      <c r="P1466"/>
      <c r="Q1466" s="11"/>
    </row>
    <row r="1467" spans="2:17" x14ac:dyDescent="0.35">
      <c r="B1467"/>
      <c r="C1467"/>
      <c r="D1467"/>
      <c r="E1467"/>
      <c r="F1467"/>
      <c r="G1467"/>
      <c r="H1467"/>
      <c r="I1467"/>
      <c r="J1467"/>
      <c r="K1467"/>
      <c r="L1467"/>
      <c r="M1467"/>
      <c r="N1467"/>
      <c r="O1467" s="11" t="str">
        <f t="shared" si="22"/>
        <v/>
      </c>
      <c r="P1467"/>
      <c r="Q1467" s="11"/>
    </row>
    <row r="1468" spans="2:17" x14ac:dyDescent="0.35">
      <c r="B1468"/>
      <c r="C1468"/>
      <c r="D1468"/>
      <c r="E1468"/>
      <c r="F1468"/>
      <c r="G1468"/>
      <c r="H1468"/>
      <c r="I1468"/>
      <c r="J1468"/>
      <c r="K1468"/>
      <c r="L1468"/>
      <c r="M1468"/>
      <c r="N1468"/>
      <c r="O1468" s="11" t="str">
        <f t="shared" si="22"/>
        <v/>
      </c>
      <c r="P1468"/>
      <c r="Q1468" s="11"/>
    </row>
    <row r="1469" spans="2:17" x14ac:dyDescent="0.35">
      <c r="B1469"/>
      <c r="C1469"/>
      <c r="D1469"/>
      <c r="E1469"/>
      <c r="F1469"/>
      <c r="G1469"/>
      <c r="H1469"/>
      <c r="I1469"/>
      <c r="J1469"/>
      <c r="K1469"/>
      <c r="L1469"/>
      <c r="M1469"/>
      <c r="N1469"/>
      <c r="O1469" s="11" t="str">
        <f t="shared" si="22"/>
        <v/>
      </c>
      <c r="P1469"/>
      <c r="Q1469" s="11"/>
    </row>
    <row r="1470" spans="2:17" x14ac:dyDescent="0.35">
      <c r="B1470"/>
      <c r="C1470"/>
      <c r="D1470"/>
      <c r="E1470"/>
      <c r="F1470"/>
      <c r="G1470"/>
      <c r="H1470"/>
      <c r="I1470"/>
      <c r="J1470"/>
      <c r="K1470"/>
      <c r="L1470"/>
      <c r="M1470"/>
      <c r="N1470"/>
      <c r="O1470" s="11" t="str">
        <f t="shared" si="22"/>
        <v/>
      </c>
      <c r="P1470"/>
      <c r="Q1470" s="11"/>
    </row>
    <row r="1471" spans="2:17" x14ac:dyDescent="0.35">
      <c r="B1471"/>
      <c r="C1471"/>
      <c r="D1471"/>
      <c r="E1471"/>
      <c r="F1471"/>
      <c r="G1471"/>
      <c r="H1471"/>
      <c r="I1471"/>
      <c r="J1471"/>
      <c r="K1471"/>
      <c r="L1471"/>
      <c r="M1471"/>
      <c r="N1471"/>
      <c r="O1471" s="11" t="str">
        <f t="shared" si="22"/>
        <v/>
      </c>
      <c r="P1471"/>
      <c r="Q1471" s="11"/>
    </row>
    <row r="1472" spans="2:17" x14ac:dyDescent="0.35">
      <c r="B1472"/>
      <c r="C1472"/>
      <c r="D1472"/>
      <c r="E1472"/>
      <c r="F1472"/>
      <c r="G1472"/>
      <c r="H1472"/>
      <c r="I1472"/>
      <c r="J1472"/>
      <c r="K1472"/>
      <c r="L1472"/>
      <c r="M1472"/>
      <c r="N1472"/>
      <c r="O1472" s="11" t="str">
        <f t="shared" si="22"/>
        <v/>
      </c>
      <c r="P1472"/>
      <c r="Q1472" s="11"/>
    </row>
    <row r="1473" spans="2:17" x14ac:dyDescent="0.35">
      <c r="B1473"/>
      <c r="C1473"/>
      <c r="D1473"/>
      <c r="E1473"/>
      <c r="F1473"/>
      <c r="G1473"/>
      <c r="H1473"/>
      <c r="I1473"/>
      <c r="J1473"/>
      <c r="K1473"/>
      <c r="L1473"/>
      <c r="M1473"/>
      <c r="N1473"/>
      <c r="O1473" s="11" t="str">
        <f t="shared" si="22"/>
        <v/>
      </c>
      <c r="P1473"/>
      <c r="Q1473" s="11"/>
    </row>
    <row r="1474" spans="2:17" x14ac:dyDescent="0.35">
      <c r="B1474"/>
      <c r="C1474"/>
      <c r="D1474"/>
      <c r="E1474"/>
      <c r="F1474"/>
      <c r="G1474"/>
      <c r="H1474"/>
      <c r="I1474"/>
      <c r="J1474"/>
      <c r="K1474"/>
      <c r="L1474"/>
      <c r="M1474"/>
      <c r="N1474"/>
      <c r="O1474" s="11" t="str">
        <f t="shared" si="22"/>
        <v/>
      </c>
      <c r="P1474"/>
      <c r="Q1474" s="11"/>
    </row>
    <row r="1475" spans="2:17" x14ac:dyDescent="0.35">
      <c r="B1475"/>
      <c r="C1475"/>
      <c r="D1475"/>
      <c r="E1475"/>
      <c r="F1475"/>
      <c r="G1475"/>
      <c r="H1475"/>
      <c r="I1475"/>
      <c r="J1475"/>
      <c r="K1475"/>
      <c r="L1475"/>
      <c r="M1475"/>
      <c r="N1475"/>
      <c r="O1475" s="11" t="str">
        <f t="shared" si="22"/>
        <v/>
      </c>
      <c r="P1475"/>
      <c r="Q1475" s="11"/>
    </row>
    <row r="1476" spans="2:17" x14ac:dyDescent="0.35">
      <c r="B1476"/>
      <c r="C1476"/>
      <c r="D1476"/>
      <c r="E1476"/>
      <c r="F1476"/>
      <c r="G1476"/>
      <c r="H1476"/>
      <c r="I1476"/>
      <c r="J1476"/>
      <c r="K1476"/>
      <c r="L1476"/>
      <c r="M1476"/>
      <c r="N1476"/>
      <c r="O1476" s="11" t="str">
        <f t="shared" si="22"/>
        <v/>
      </c>
      <c r="P1476"/>
      <c r="Q1476" s="11"/>
    </row>
    <row r="1477" spans="2:17" x14ac:dyDescent="0.35">
      <c r="B1477"/>
      <c r="C1477"/>
      <c r="D1477"/>
      <c r="E1477"/>
      <c r="F1477"/>
      <c r="G1477"/>
      <c r="H1477"/>
      <c r="I1477"/>
      <c r="J1477"/>
      <c r="K1477"/>
      <c r="L1477"/>
      <c r="M1477"/>
      <c r="N1477"/>
      <c r="O1477" s="11" t="str">
        <f t="shared" si="22"/>
        <v/>
      </c>
      <c r="P1477"/>
      <c r="Q1477" s="11"/>
    </row>
    <row r="1478" spans="2:17" x14ac:dyDescent="0.35">
      <c r="B1478"/>
      <c r="C1478"/>
      <c r="D1478"/>
      <c r="E1478"/>
      <c r="F1478"/>
      <c r="G1478"/>
      <c r="H1478"/>
      <c r="I1478"/>
      <c r="J1478"/>
      <c r="K1478"/>
      <c r="L1478"/>
      <c r="M1478"/>
      <c r="N1478"/>
      <c r="O1478" s="11" t="str">
        <f t="shared" si="22"/>
        <v/>
      </c>
      <c r="P1478"/>
      <c r="Q1478" s="11"/>
    </row>
    <row r="1479" spans="2:17" x14ac:dyDescent="0.35">
      <c r="B1479"/>
      <c r="C1479"/>
      <c r="D1479"/>
      <c r="E1479"/>
      <c r="F1479"/>
      <c r="G1479"/>
      <c r="H1479"/>
      <c r="I1479"/>
      <c r="J1479"/>
      <c r="K1479"/>
      <c r="L1479"/>
      <c r="M1479"/>
      <c r="N1479"/>
      <c r="O1479" s="11" t="str">
        <f t="shared" si="22"/>
        <v/>
      </c>
      <c r="P1479"/>
      <c r="Q1479" s="11"/>
    </row>
    <row r="1480" spans="2:17" x14ac:dyDescent="0.35">
      <c r="B1480"/>
      <c r="C1480"/>
      <c r="D1480"/>
      <c r="E1480"/>
      <c r="F1480"/>
      <c r="G1480"/>
      <c r="H1480"/>
      <c r="I1480"/>
      <c r="J1480"/>
      <c r="K1480"/>
      <c r="L1480"/>
      <c r="M1480"/>
      <c r="N1480"/>
      <c r="O1480" s="11" t="str">
        <f t="shared" si="22"/>
        <v/>
      </c>
      <c r="P1480"/>
      <c r="Q1480" s="11"/>
    </row>
    <row r="1481" spans="2:17" x14ac:dyDescent="0.35">
      <c r="B1481"/>
      <c r="C1481"/>
      <c r="D1481"/>
      <c r="E1481"/>
      <c r="F1481"/>
      <c r="G1481"/>
      <c r="H1481"/>
      <c r="I1481"/>
      <c r="J1481"/>
      <c r="K1481"/>
      <c r="L1481"/>
      <c r="M1481"/>
      <c r="N1481"/>
      <c r="O1481" s="11" t="str">
        <f t="shared" si="22"/>
        <v/>
      </c>
      <c r="P1481"/>
      <c r="Q1481" s="11"/>
    </row>
    <row r="1482" spans="2:17" x14ac:dyDescent="0.35">
      <c r="B1482"/>
      <c r="C1482"/>
      <c r="D1482"/>
      <c r="E1482"/>
      <c r="F1482"/>
      <c r="G1482"/>
      <c r="H1482"/>
      <c r="I1482"/>
      <c r="J1482"/>
      <c r="K1482"/>
      <c r="L1482"/>
      <c r="M1482"/>
      <c r="N1482"/>
      <c r="O1482" s="11" t="str">
        <f t="shared" si="22"/>
        <v/>
      </c>
      <c r="P1482"/>
      <c r="Q1482" s="11"/>
    </row>
    <row r="1483" spans="2:17" x14ac:dyDescent="0.35">
      <c r="B1483"/>
      <c r="C1483"/>
      <c r="D1483"/>
      <c r="E1483"/>
      <c r="F1483"/>
      <c r="G1483"/>
      <c r="H1483"/>
      <c r="I1483"/>
      <c r="J1483"/>
      <c r="K1483"/>
      <c r="L1483"/>
      <c r="M1483"/>
      <c r="N1483"/>
      <c r="O1483" s="11" t="str">
        <f t="shared" si="22"/>
        <v/>
      </c>
      <c r="P1483"/>
      <c r="Q1483" s="11"/>
    </row>
    <row r="1484" spans="2:17" x14ac:dyDescent="0.35">
      <c r="B1484"/>
      <c r="C1484"/>
      <c r="D1484"/>
      <c r="E1484"/>
      <c r="F1484"/>
      <c r="G1484"/>
      <c r="H1484"/>
      <c r="I1484"/>
      <c r="J1484"/>
      <c r="K1484"/>
      <c r="L1484"/>
      <c r="M1484"/>
      <c r="N1484"/>
      <c r="O1484" s="11" t="str">
        <f t="shared" si="22"/>
        <v/>
      </c>
      <c r="P1484"/>
      <c r="Q1484" s="11"/>
    </row>
    <row r="1485" spans="2:17" x14ac:dyDescent="0.35">
      <c r="B1485"/>
      <c r="C1485"/>
      <c r="D1485"/>
      <c r="E1485"/>
      <c r="F1485"/>
      <c r="G1485"/>
      <c r="H1485"/>
      <c r="I1485"/>
      <c r="J1485"/>
      <c r="K1485"/>
      <c r="L1485"/>
      <c r="M1485"/>
      <c r="N1485"/>
      <c r="O1485" s="11" t="str">
        <f t="shared" si="22"/>
        <v/>
      </c>
      <c r="P1485"/>
      <c r="Q1485" s="11"/>
    </row>
    <row r="1486" spans="2:17" x14ac:dyDescent="0.35">
      <c r="B1486"/>
      <c r="C1486"/>
      <c r="D1486"/>
      <c r="E1486"/>
      <c r="F1486"/>
      <c r="G1486"/>
      <c r="H1486"/>
      <c r="I1486"/>
      <c r="J1486"/>
      <c r="K1486"/>
      <c r="L1486"/>
      <c r="M1486"/>
      <c r="N1486"/>
      <c r="O1486" s="11" t="str">
        <f t="shared" si="22"/>
        <v/>
      </c>
      <c r="P1486"/>
      <c r="Q1486" s="11"/>
    </row>
    <row r="1487" spans="2:17" x14ac:dyDescent="0.35">
      <c r="B1487"/>
      <c r="C1487"/>
      <c r="D1487"/>
      <c r="E1487"/>
      <c r="F1487"/>
      <c r="G1487"/>
      <c r="H1487"/>
      <c r="I1487"/>
      <c r="J1487"/>
      <c r="K1487"/>
      <c r="L1487"/>
      <c r="M1487"/>
      <c r="N1487"/>
      <c r="O1487" s="11" t="str">
        <f t="shared" si="22"/>
        <v/>
      </c>
      <c r="P1487"/>
      <c r="Q1487" s="11"/>
    </row>
    <row r="1488" spans="2:17" x14ac:dyDescent="0.35">
      <c r="B1488"/>
      <c r="C1488"/>
      <c r="D1488"/>
      <c r="E1488"/>
      <c r="F1488"/>
      <c r="G1488"/>
      <c r="H1488"/>
      <c r="I1488"/>
      <c r="J1488"/>
      <c r="K1488"/>
      <c r="L1488"/>
      <c r="M1488"/>
      <c r="N1488"/>
      <c r="O1488" s="11" t="str">
        <f t="shared" si="22"/>
        <v/>
      </c>
      <c r="P1488"/>
      <c r="Q1488" s="11"/>
    </row>
    <row r="1489" spans="2:17" x14ac:dyDescent="0.35">
      <c r="B1489"/>
      <c r="C1489"/>
      <c r="D1489"/>
      <c r="E1489"/>
      <c r="F1489"/>
      <c r="G1489"/>
      <c r="H1489"/>
      <c r="I1489"/>
      <c r="J1489"/>
      <c r="K1489"/>
      <c r="L1489"/>
      <c r="M1489"/>
      <c r="N1489"/>
      <c r="O1489" s="11" t="str">
        <f t="shared" si="22"/>
        <v/>
      </c>
      <c r="P1489"/>
      <c r="Q1489" s="11"/>
    </row>
    <row r="1490" spans="2:17" x14ac:dyDescent="0.35">
      <c r="B1490"/>
      <c r="C1490"/>
      <c r="D1490"/>
      <c r="E1490"/>
      <c r="F1490"/>
      <c r="G1490"/>
      <c r="H1490"/>
      <c r="I1490"/>
      <c r="J1490"/>
      <c r="K1490"/>
      <c r="L1490"/>
      <c r="M1490"/>
      <c r="N1490"/>
      <c r="O1490" s="11" t="str">
        <f t="shared" si="22"/>
        <v/>
      </c>
      <c r="P1490"/>
      <c r="Q1490" s="11"/>
    </row>
    <row r="1491" spans="2:17" x14ac:dyDescent="0.35">
      <c r="B1491"/>
      <c r="C1491"/>
      <c r="D1491"/>
      <c r="E1491"/>
      <c r="F1491"/>
      <c r="G1491"/>
      <c r="H1491"/>
      <c r="I1491"/>
      <c r="J1491"/>
      <c r="K1491"/>
      <c r="L1491"/>
      <c r="M1491"/>
      <c r="N1491"/>
      <c r="O1491" s="11" t="str">
        <f t="shared" si="22"/>
        <v/>
      </c>
      <c r="P1491"/>
      <c r="Q1491" s="11"/>
    </row>
    <row r="1492" spans="2:17" x14ac:dyDescent="0.35">
      <c r="B1492"/>
      <c r="C1492"/>
      <c r="D1492"/>
      <c r="E1492"/>
      <c r="F1492"/>
      <c r="G1492"/>
      <c r="H1492"/>
      <c r="I1492"/>
      <c r="J1492"/>
      <c r="K1492"/>
      <c r="L1492"/>
      <c r="M1492"/>
      <c r="N1492"/>
      <c r="O1492" s="11" t="str">
        <f t="shared" si="22"/>
        <v/>
      </c>
      <c r="P1492"/>
      <c r="Q1492" s="11"/>
    </row>
    <row r="1493" spans="2:17" x14ac:dyDescent="0.35">
      <c r="B1493"/>
      <c r="C1493"/>
      <c r="D1493"/>
      <c r="E1493"/>
      <c r="F1493"/>
      <c r="G1493"/>
      <c r="H1493"/>
      <c r="I1493"/>
      <c r="J1493"/>
      <c r="K1493"/>
      <c r="L1493"/>
      <c r="M1493"/>
      <c r="N1493"/>
      <c r="O1493" s="11" t="str">
        <f t="shared" ref="O1493:O1556" si="23">IFERROR(RATE(2033-2026,,-G1493,N1493),"")</f>
        <v/>
      </c>
      <c r="P1493"/>
      <c r="Q1493" s="11"/>
    </row>
    <row r="1494" spans="2:17" x14ac:dyDescent="0.35">
      <c r="B1494"/>
      <c r="C1494"/>
      <c r="D1494"/>
      <c r="E1494"/>
      <c r="F1494"/>
      <c r="G1494"/>
      <c r="H1494"/>
      <c r="I1494"/>
      <c r="J1494"/>
      <c r="K1494"/>
      <c r="L1494"/>
      <c r="M1494"/>
      <c r="N1494"/>
      <c r="O1494" s="11" t="str">
        <f t="shared" si="23"/>
        <v/>
      </c>
      <c r="P1494"/>
      <c r="Q1494" s="11"/>
    </row>
    <row r="1495" spans="2:17" x14ac:dyDescent="0.35">
      <c r="B1495"/>
      <c r="C1495"/>
      <c r="D1495"/>
      <c r="E1495"/>
      <c r="F1495"/>
      <c r="G1495"/>
      <c r="H1495"/>
      <c r="I1495"/>
      <c r="J1495"/>
      <c r="K1495"/>
      <c r="L1495"/>
      <c r="M1495"/>
      <c r="N1495"/>
      <c r="O1495" s="11" t="str">
        <f t="shared" si="23"/>
        <v/>
      </c>
      <c r="P1495"/>
      <c r="Q1495" s="11"/>
    </row>
    <row r="1496" spans="2:17" x14ac:dyDescent="0.35">
      <c r="B1496"/>
      <c r="C1496"/>
      <c r="D1496"/>
      <c r="E1496"/>
      <c r="F1496"/>
      <c r="G1496"/>
      <c r="H1496"/>
      <c r="I1496"/>
      <c r="J1496"/>
      <c r="K1496"/>
      <c r="L1496"/>
      <c r="M1496"/>
      <c r="N1496"/>
      <c r="O1496" s="11" t="str">
        <f t="shared" si="23"/>
        <v/>
      </c>
      <c r="P1496"/>
      <c r="Q1496" s="11"/>
    </row>
    <row r="1497" spans="2:17" x14ac:dyDescent="0.35">
      <c r="B1497"/>
      <c r="C1497"/>
      <c r="D1497"/>
      <c r="E1497"/>
      <c r="F1497"/>
      <c r="G1497"/>
      <c r="H1497"/>
      <c r="I1497"/>
      <c r="J1497"/>
      <c r="K1497"/>
      <c r="L1497"/>
      <c r="M1497"/>
      <c r="N1497"/>
      <c r="O1497" s="11" t="str">
        <f t="shared" si="23"/>
        <v/>
      </c>
      <c r="P1497"/>
      <c r="Q1497" s="11"/>
    </row>
    <row r="1498" spans="2:17" x14ac:dyDescent="0.35">
      <c r="B1498"/>
      <c r="C1498"/>
      <c r="D1498"/>
      <c r="E1498"/>
      <c r="F1498"/>
      <c r="G1498"/>
      <c r="H1498"/>
      <c r="I1498"/>
      <c r="J1498"/>
      <c r="K1498"/>
      <c r="L1498"/>
      <c r="M1498"/>
      <c r="N1498"/>
      <c r="O1498" s="11" t="str">
        <f t="shared" si="23"/>
        <v/>
      </c>
      <c r="P1498"/>
      <c r="Q1498" s="11"/>
    </row>
    <row r="1499" spans="2:17" x14ac:dyDescent="0.35">
      <c r="B1499"/>
      <c r="C1499"/>
      <c r="D1499"/>
      <c r="E1499"/>
      <c r="F1499"/>
      <c r="G1499"/>
      <c r="H1499"/>
      <c r="I1499"/>
      <c r="J1499"/>
      <c r="K1499"/>
      <c r="L1499"/>
      <c r="M1499"/>
      <c r="N1499"/>
      <c r="O1499" s="11" t="str">
        <f t="shared" si="23"/>
        <v/>
      </c>
      <c r="P1499"/>
      <c r="Q1499" s="11"/>
    </row>
    <row r="1500" spans="2:17" x14ac:dyDescent="0.35">
      <c r="B1500"/>
      <c r="C1500"/>
      <c r="D1500"/>
      <c r="E1500"/>
      <c r="F1500"/>
      <c r="G1500"/>
      <c r="H1500"/>
      <c r="I1500"/>
      <c r="J1500"/>
      <c r="K1500"/>
      <c r="L1500"/>
      <c r="M1500"/>
      <c r="N1500"/>
      <c r="O1500" s="11" t="str">
        <f t="shared" si="23"/>
        <v/>
      </c>
      <c r="P1500"/>
      <c r="Q1500" s="11"/>
    </row>
    <row r="1501" spans="2:17" x14ac:dyDescent="0.35">
      <c r="B1501"/>
      <c r="C1501"/>
      <c r="D1501"/>
      <c r="E1501"/>
      <c r="F1501"/>
      <c r="G1501"/>
      <c r="H1501"/>
      <c r="I1501"/>
      <c r="J1501"/>
      <c r="K1501"/>
      <c r="L1501"/>
      <c r="M1501"/>
      <c r="N1501"/>
      <c r="O1501" s="11" t="str">
        <f t="shared" si="23"/>
        <v/>
      </c>
      <c r="P1501"/>
      <c r="Q1501" s="11"/>
    </row>
    <row r="1502" spans="2:17" x14ac:dyDescent="0.35">
      <c r="B1502"/>
      <c r="C1502"/>
      <c r="D1502"/>
      <c r="E1502"/>
      <c r="F1502"/>
      <c r="G1502"/>
      <c r="H1502"/>
      <c r="I1502"/>
      <c r="J1502"/>
      <c r="K1502"/>
      <c r="L1502"/>
      <c r="M1502"/>
      <c r="N1502"/>
      <c r="O1502" s="11" t="str">
        <f t="shared" si="23"/>
        <v/>
      </c>
      <c r="P1502"/>
      <c r="Q1502" s="11"/>
    </row>
    <row r="1503" spans="2:17" x14ac:dyDescent="0.35">
      <c r="B1503"/>
      <c r="C1503"/>
      <c r="D1503"/>
      <c r="E1503"/>
      <c r="F1503"/>
      <c r="G1503"/>
      <c r="H1503"/>
      <c r="I1503"/>
      <c r="J1503"/>
      <c r="K1503"/>
      <c r="L1503"/>
      <c r="M1503"/>
      <c r="N1503"/>
      <c r="O1503" s="11" t="str">
        <f t="shared" si="23"/>
        <v/>
      </c>
      <c r="P1503"/>
      <c r="Q1503" s="11"/>
    </row>
    <row r="1504" spans="2:17" x14ac:dyDescent="0.35">
      <c r="B1504"/>
      <c r="C1504"/>
      <c r="D1504"/>
      <c r="E1504"/>
      <c r="F1504"/>
      <c r="G1504"/>
      <c r="H1504"/>
      <c r="I1504"/>
      <c r="J1504"/>
      <c r="K1504"/>
      <c r="L1504"/>
      <c r="M1504"/>
      <c r="N1504"/>
      <c r="O1504" s="11" t="str">
        <f t="shared" si="23"/>
        <v/>
      </c>
      <c r="P1504"/>
      <c r="Q1504" s="11"/>
    </row>
    <row r="1505" spans="2:17" x14ac:dyDescent="0.35">
      <c r="B1505"/>
      <c r="C1505"/>
      <c r="D1505"/>
      <c r="E1505"/>
      <c r="F1505"/>
      <c r="G1505"/>
      <c r="H1505"/>
      <c r="I1505"/>
      <c r="J1505"/>
      <c r="K1505"/>
      <c r="L1505"/>
      <c r="M1505"/>
      <c r="N1505"/>
      <c r="O1505" s="11" t="str">
        <f t="shared" si="23"/>
        <v/>
      </c>
      <c r="P1505"/>
      <c r="Q1505" s="11"/>
    </row>
    <row r="1506" spans="2:17" x14ac:dyDescent="0.35">
      <c r="B1506"/>
      <c r="C1506"/>
      <c r="D1506"/>
      <c r="E1506"/>
      <c r="F1506"/>
      <c r="G1506"/>
      <c r="H1506"/>
      <c r="I1506"/>
      <c r="J1506"/>
      <c r="K1506"/>
      <c r="L1506"/>
      <c r="M1506"/>
      <c r="N1506"/>
      <c r="O1506" s="11" t="str">
        <f t="shared" si="23"/>
        <v/>
      </c>
      <c r="P1506"/>
      <c r="Q1506" s="11"/>
    </row>
    <row r="1507" spans="2:17" x14ac:dyDescent="0.35">
      <c r="B1507"/>
      <c r="C1507"/>
      <c r="D1507"/>
      <c r="E1507"/>
      <c r="F1507"/>
      <c r="G1507"/>
      <c r="H1507"/>
      <c r="I1507"/>
      <c r="J1507"/>
      <c r="K1507"/>
      <c r="L1507"/>
      <c r="M1507"/>
      <c r="N1507"/>
      <c r="O1507" s="11" t="str">
        <f t="shared" si="23"/>
        <v/>
      </c>
      <c r="P1507"/>
      <c r="Q1507" s="11"/>
    </row>
    <row r="1508" spans="2:17" x14ac:dyDescent="0.35">
      <c r="B1508"/>
      <c r="C1508"/>
      <c r="D1508"/>
      <c r="E1508"/>
      <c r="F1508"/>
      <c r="G1508"/>
      <c r="H1508"/>
      <c r="I1508"/>
      <c r="J1508"/>
      <c r="K1508"/>
      <c r="L1508"/>
      <c r="M1508"/>
      <c r="N1508"/>
      <c r="O1508" s="11" t="str">
        <f t="shared" si="23"/>
        <v/>
      </c>
      <c r="P1508"/>
      <c r="Q1508" s="11"/>
    </row>
    <row r="1509" spans="2:17" x14ac:dyDescent="0.35">
      <c r="B1509"/>
      <c r="C1509"/>
      <c r="D1509"/>
      <c r="E1509"/>
      <c r="F1509"/>
      <c r="G1509"/>
      <c r="H1509"/>
      <c r="I1509"/>
      <c r="J1509"/>
      <c r="K1509"/>
      <c r="L1509"/>
      <c r="M1509"/>
      <c r="N1509"/>
      <c r="O1509" s="11" t="str">
        <f t="shared" si="23"/>
        <v/>
      </c>
      <c r="P1509"/>
      <c r="Q1509" s="11"/>
    </row>
    <row r="1510" spans="2:17" x14ac:dyDescent="0.35">
      <c r="B1510"/>
      <c r="C1510"/>
      <c r="D1510"/>
      <c r="E1510"/>
      <c r="F1510"/>
      <c r="G1510"/>
      <c r="H1510"/>
      <c r="I1510"/>
      <c r="J1510"/>
      <c r="K1510"/>
      <c r="L1510"/>
      <c r="M1510"/>
      <c r="N1510"/>
      <c r="O1510" s="11" t="str">
        <f t="shared" si="23"/>
        <v/>
      </c>
      <c r="P1510"/>
      <c r="Q1510" s="11"/>
    </row>
    <row r="1511" spans="2:17" x14ac:dyDescent="0.35">
      <c r="B1511"/>
      <c r="C1511"/>
      <c r="D1511"/>
      <c r="E1511"/>
      <c r="F1511"/>
      <c r="G1511"/>
      <c r="H1511"/>
      <c r="I1511"/>
      <c r="J1511"/>
      <c r="K1511"/>
      <c r="L1511"/>
      <c r="M1511"/>
      <c r="N1511"/>
      <c r="O1511" s="11" t="str">
        <f t="shared" si="23"/>
        <v/>
      </c>
      <c r="P1511"/>
      <c r="Q1511" s="11"/>
    </row>
    <row r="1512" spans="2:17" x14ac:dyDescent="0.35">
      <c r="B1512"/>
      <c r="C1512"/>
      <c r="D1512"/>
      <c r="E1512"/>
      <c r="F1512"/>
      <c r="G1512"/>
      <c r="H1512"/>
      <c r="I1512"/>
      <c r="J1512"/>
      <c r="K1512"/>
      <c r="L1512"/>
      <c r="M1512"/>
      <c r="N1512"/>
      <c r="O1512" s="11" t="str">
        <f t="shared" si="23"/>
        <v/>
      </c>
      <c r="P1512"/>
      <c r="Q1512" s="11"/>
    </row>
    <row r="1513" spans="2:17" x14ac:dyDescent="0.35">
      <c r="B1513"/>
      <c r="C1513"/>
      <c r="D1513"/>
      <c r="E1513"/>
      <c r="F1513"/>
      <c r="G1513"/>
      <c r="H1513"/>
      <c r="I1513"/>
      <c r="J1513"/>
      <c r="K1513"/>
      <c r="L1513"/>
      <c r="M1513"/>
      <c r="N1513"/>
      <c r="O1513" s="11" t="str">
        <f t="shared" si="23"/>
        <v/>
      </c>
      <c r="P1513"/>
      <c r="Q1513" s="11"/>
    </row>
    <row r="1514" spans="2:17" x14ac:dyDescent="0.35">
      <c r="B1514"/>
      <c r="C1514"/>
      <c r="D1514"/>
      <c r="E1514"/>
      <c r="F1514"/>
      <c r="G1514"/>
      <c r="H1514"/>
      <c r="I1514"/>
      <c r="J1514"/>
      <c r="K1514"/>
      <c r="L1514"/>
      <c r="M1514"/>
      <c r="N1514"/>
      <c r="O1514" s="11" t="str">
        <f t="shared" si="23"/>
        <v/>
      </c>
      <c r="P1514"/>
      <c r="Q1514" s="11"/>
    </row>
    <row r="1515" spans="2:17" x14ac:dyDescent="0.35">
      <c r="B1515"/>
      <c r="C1515"/>
      <c r="D1515"/>
      <c r="E1515"/>
      <c r="F1515"/>
      <c r="G1515"/>
      <c r="H1515"/>
      <c r="I1515"/>
      <c r="J1515"/>
      <c r="K1515"/>
      <c r="L1515"/>
      <c r="M1515"/>
      <c r="N1515"/>
      <c r="O1515" s="11" t="str">
        <f t="shared" si="23"/>
        <v/>
      </c>
      <c r="P1515"/>
      <c r="Q1515" s="11"/>
    </row>
    <row r="1516" spans="2:17" x14ac:dyDescent="0.35">
      <c r="B1516"/>
      <c r="C1516"/>
      <c r="D1516"/>
      <c r="E1516"/>
      <c r="F1516"/>
      <c r="G1516"/>
      <c r="H1516"/>
      <c r="I1516"/>
      <c r="J1516"/>
      <c r="K1516"/>
      <c r="L1516"/>
      <c r="M1516"/>
      <c r="N1516"/>
      <c r="O1516" s="11" t="str">
        <f t="shared" si="23"/>
        <v/>
      </c>
      <c r="P1516"/>
      <c r="Q1516" s="11"/>
    </row>
    <row r="1517" spans="2:17" x14ac:dyDescent="0.35">
      <c r="B1517"/>
      <c r="C1517"/>
      <c r="D1517"/>
      <c r="E1517"/>
      <c r="F1517"/>
      <c r="G1517"/>
      <c r="H1517"/>
      <c r="I1517"/>
      <c r="J1517"/>
      <c r="K1517"/>
      <c r="L1517"/>
      <c r="M1517"/>
      <c r="N1517"/>
      <c r="O1517" s="11" t="str">
        <f t="shared" si="23"/>
        <v/>
      </c>
      <c r="P1517"/>
      <c r="Q1517" s="11"/>
    </row>
    <row r="1518" spans="2:17" x14ac:dyDescent="0.35">
      <c r="B1518"/>
      <c r="C1518"/>
      <c r="D1518"/>
      <c r="E1518"/>
      <c r="F1518"/>
      <c r="G1518"/>
      <c r="H1518"/>
      <c r="I1518"/>
      <c r="J1518"/>
      <c r="K1518"/>
      <c r="L1518"/>
      <c r="M1518"/>
      <c r="N1518"/>
      <c r="O1518" s="11" t="str">
        <f t="shared" si="23"/>
        <v/>
      </c>
      <c r="P1518"/>
      <c r="Q1518" s="11"/>
    </row>
    <row r="1519" spans="2:17" x14ac:dyDescent="0.35">
      <c r="B1519"/>
      <c r="C1519"/>
      <c r="D1519"/>
      <c r="E1519"/>
      <c r="F1519"/>
      <c r="G1519"/>
      <c r="H1519"/>
      <c r="I1519"/>
      <c r="J1519"/>
      <c r="K1519"/>
      <c r="L1519"/>
      <c r="M1519"/>
      <c r="N1519"/>
      <c r="O1519" s="11" t="str">
        <f t="shared" si="23"/>
        <v/>
      </c>
      <c r="P1519"/>
      <c r="Q1519" s="11"/>
    </row>
    <row r="1520" spans="2:17" x14ac:dyDescent="0.35">
      <c r="B1520"/>
      <c r="C1520"/>
      <c r="D1520"/>
      <c r="E1520"/>
      <c r="F1520"/>
      <c r="G1520"/>
      <c r="H1520"/>
      <c r="I1520"/>
      <c r="J1520"/>
      <c r="K1520"/>
      <c r="L1520"/>
      <c r="M1520"/>
      <c r="N1520"/>
      <c r="O1520" s="11" t="str">
        <f t="shared" si="23"/>
        <v/>
      </c>
      <c r="P1520"/>
      <c r="Q1520" s="11"/>
    </row>
    <row r="1521" spans="2:17" x14ac:dyDescent="0.35">
      <c r="B1521"/>
      <c r="C1521"/>
      <c r="D1521"/>
      <c r="E1521"/>
      <c r="F1521"/>
      <c r="G1521"/>
      <c r="H1521"/>
      <c r="I1521"/>
      <c r="J1521"/>
      <c r="K1521"/>
      <c r="L1521"/>
      <c r="M1521"/>
      <c r="N1521"/>
      <c r="O1521" s="11" t="str">
        <f t="shared" si="23"/>
        <v/>
      </c>
      <c r="P1521"/>
      <c r="Q1521" s="11"/>
    </row>
    <row r="1522" spans="2:17" x14ac:dyDescent="0.35">
      <c r="B1522"/>
      <c r="C1522"/>
      <c r="D1522"/>
      <c r="E1522"/>
      <c r="F1522"/>
      <c r="G1522"/>
      <c r="H1522"/>
      <c r="I1522"/>
      <c r="J1522"/>
      <c r="K1522"/>
      <c r="L1522"/>
      <c r="M1522"/>
      <c r="N1522"/>
      <c r="O1522" s="11" t="str">
        <f t="shared" si="23"/>
        <v/>
      </c>
      <c r="P1522"/>
      <c r="Q1522" s="11"/>
    </row>
    <row r="1523" spans="2:17" x14ac:dyDescent="0.35">
      <c r="B1523"/>
      <c r="C1523"/>
      <c r="D1523"/>
      <c r="E1523"/>
      <c r="F1523"/>
      <c r="G1523"/>
      <c r="H1523"/>
      <c r="I1523"/>
      <c r="J1523"/>
      <c r="K1523"/>
      <c r="L1523"/>
      <c r="M1523"/>
      <c r="N1523"/>
      <c r="O1523" s="11" t="str">
        <f t="shared" si="23"/>
        <v/>
      </c>
      <c r="P1523"/>
      <c r="Q1523" s="11"/>
    </row>
    <row r="1524" spans="2:17" x14ac:dyDescent="0.35">
      <c r="B1524"/>
      <c r="C1524"/>
      <c r="D1524"/>
      <c r="E1524"/>
      <c r="F1524"/>
      <c r="G1524"/>
      <c r="H1524"/>
      <c r="I1524"/>
      <c r="J1524"/>
      <c r="K1524"/>
      <c r="L1524"/>
      <c r="M1524"/>
      <c r="N1524"/>
      <c r="O1524" s="11" t="str">
        <f t="shared" si="23"/>
        <v/>
      </c>
      <c r="P1524"/>
      <c r="Q1524" s="11"/>
    </row>
    <row r="1525" spans="2:17" x14ac:dyDescent="0.35">
      <c r="B1525"/>
      <c r="C1525"/>
      <c r="D1525"/>
      <c r="E1525"/>
      <c r="F1525"/>
      <c r="G1525"/>
      <c r="H1525"/>
      <c r="I1525"/>
      <c r="J1525"/>
      <c r="K1525"/>
      <c r="L1525"/>
      <c r="M1525"/>
      <c r="N1525"/>
      <c r="O1525" s="11" t="str">
        <f t="shared" si="23"/>
        <v/>
      </c>
      <c r="P1525"/>
      <c r="Q1525" s="11"/>
    </row>
    <row r="1526" spans="2:17" x14ac:dyDescent="0.35">
      <c r="B1526"/>
      <c r="C1526"/>
      <c r="D1526"/>
      <c r="E1526"/>
      <c r="F1526"/>
      <c r="G1526"/>
      <c r="H1526"/>
      <c r="I1526"/>
      <c r="J1526"/>
      <c r="K1526"/>
      <c r="L1526"/>
      <c r="M1526"/>
      <c r="N1526"/>
      <c r="O1526" s="11" t="str">
        <f t="shared" si="23"/>
        <v/>
      </c>
      <c r="P1526"/>
      <c r="Q1526" s="11"/>
    </row>
    <row r="1527" spans="2:17" x14ac:dyDescent="0.35">
      <c r="B1527"/>
      <c r="C1527"/>
      <c r="D1527"/>
      <c r="E1527"/>
      <c r="F1527"/>
      <c r="G1527"/>
      <c r="H1527"/>
      <c r="I1527"/>
      <c r="J1527"/>
      <c r="K1527"/>
      <c r="L1527"/>
      <c r="M1527"/>
      <c r="N1527"/>
      <c r="O1527" s="11" t="str">
        <f t="shared" si="23"/>
        <v/>
      </c>
      <c r="P1527"/>
      <c r="Q1527" s="11"/>
    </row>
    <row r="1528" spans="2:17" x14ac:dyDescent="0.35">
      <c r="B1528"/>
      <c r="C1528"/>
      <c r="D1528"/>
      <c r="E1528"/>
      <c r="F1528"/>
      <c r="G1528"/>
      <c r="H1528"/>
      <c r="I1528"/>
      <c r="J1528"/>
      <c r="K1528"/>
      <c r="L1528"/>
      <c r="M1528"/>
      <c r="N1528"/>
      <c r="O1528" s="11" t="str">
        <f t="shared" si="23"/>
        <v/>
      </c>
      <c r="P1528"/>
      <c r="Q1528" s="11"/>
    </row>
    <row r="1529" spans="2:17" x14ac:dyDescent="0.35">
      <c r="B1529"/>
      <c r="C1529"/>
      <c r="D1529"/>
      <c r="E1529"/>
      <c r="F1529"/>
      <c r="G1529"/>
      <c r="H1529"/>
      <c r="I1529"/>
      <c r="J1529"/>
      <c r="K1529"/>
      <c r="L1529"/>
      <c r="M1529"/>
      <c r="N1529"/>
      <c r="O1529" s="11" t="str">
        <f t="shared" si="23"/>
        <v/>
      </c>
      <c r="P1529"/>
      <c r="Q1529" s="11"/>
    </row>
    <row r="1530" spans="2:17" x14ac:dyDescent="0.35">
      <c r="B1530"/>
      <c r="C1530"/>
      <c r="D1530"/>
      <c r="E1530"/>
      <c r="F1530"/>
      <c r="G1530"/>
      <c r="H1530"/>
      <c r="I1530"/>
      <c r="J1530"/>
      <c r="K1530"/>
      <c r="L1530"/>
      <c r="M1530"/>
      <c r="N1530"/>
      <c r="O1530" s="11" t="str">
        <f t="shared" si="23"/>
        <v/>
      </c>
      <c r="P1530"/>
      <c r="Q1530" s="11"/>
    </row>
    <row r="1531" spans="2:17" x14ac:dyDescent="0.35">
      <c r="B1531"/>
      <c r="C1531"/>
      <c r="D1531"/>
      <c r="E1531"/>
      <c r="F1531"/>
      <c r="G1531"/>
      <c r="H1531"/>
      <c r="I1531"/>
      <c r="J1531"/>
      <c r="K1531"/>
      <c r="L1531"/>
      <c r="M1531"/>
      <c r="N1531"/>
      <c r="O1531" s="11" t="str">
        <f t="shared" si="23"/>
        <v/>
      </c>
      <c r="P1531"/>
      <c r="Q1531" s="11"/>
    </row>
    <row r="1532" spans="2:17" x14ac:dyDescent="0.35">
      <c r="B1532"/>
      <c r="C1532"/>
      <c r="D1532"/>
      <c r="E1532"/>
      <c r="F1532"/>
      <c r="G1532"/>
      <c r="H1532"/>
      <c r="I1532"/>
      <c r="J1532"/>
      <c r="K1532"/>
      <c r="L1532"/>
      <c r="M1532"/>
      <c r="N1532"/>
      <c r="O1532" s="11" t="str">
        <f t="shared" si="23"/>
        <v/>
      </c>
      <c r="P1532"/>
      <c r="Q1532" s="11"/>
    </row>
    <row r="1533" spans="2:17" x14ac:dyDescent="0.35">
      <c r="B1533"/>
      <c r="C1533"/>
      <c r="D1533"/>
      <c r="E1533"/>
      <c r="F1533"/>
      <c r="G1533"/>
      <c r="H1533"/>
      <c r="I1533"/>
      <c r="J1533"/>
      <c r="K1533"/>
      <c r="L1533"/>
      <c r="M1533"/>
      <c r="N1533"/>
      <c r="O1533" s="11" t="str">
        <f t="shared" si="23"/>
        <v/>
      </c>
      <c r="P1533"/>
      <c r="Q1533" s="11"/>
    </row>
    <row r="1534" spans="2:17" x14ac:dyDescent="0.35">
      <c r="B1534"/>
      <c r="C1534"/>
      <c r="D1534"/>
      <c r="E1534"/>
      <c r="F1534"/>
      <c r="G1534"/>
      <c r="H1534"/>
      <c r="I1534"/>
      <c r="J1534"/>
      <c r="K1534"/>
      <c r="L1534"/>
      <c r="M1534"/>
      <c r="N1534"/>
      <c r="O1534" s="11" t="str">
        <f t="shared" si="23"/>
        <v/>
      </c>
      <c r="P1534"/>
      <c r="Q1534" s="11"/>
    </row>
    <row r="1535" spans="2:17" x14ac:dyDescent="0.35">
      <c r="B1535"/>
      <c r="C1535"/>
      <c r="D1535"/>
      <c r="E1535"/>
      <c r="F1535"/>
      <c r="G1535"/>
      <c r="H1535"/>
      <c r="I1535"/>
      <c r="J1535"/>
      <c r="K1535"/>
      <c r="L1535"/>
      <c r="M1535"/>
      <c r="N1535"/>
      <c r="O1535" s="11" t="str">
        <f t="shared" si="23"/>
        <v/>
      </c>
      <c r="P1535"/>
      <c r="Q1535" s="11"/>
    </row>
    <row r="1536" spans="2:17" x14ac:dyDescent="0.35">
      <c r="B1536"/>
      <c r="C1536"/>
      <c r="D1536"/>
      <c r="E1536"/>
      <c r="F1536"/>
      <c r="G1536"/>
      <c r="H1536"/>
      <c r="I1536"/>
      <c r="J1536"/>
      <c r="K1536"/>
      <c r="L1536"/>
      <c r="M1536"/>
      <c r="N1536"/>
      <c r="O1536" s="11" t="str">
        <f t="shared" si="23"/>
        <v/>
      </c>
      <c r="P1536"/>
      <c r="Q1536" s="11"/>
    </row>
    <row r="1537" spans="2:17" x14ac:dyDescent="0.35">
      <c r="B1537"/>
      <c r="C1537"/>
      <c r="D1537"/>
      <c r="E1537"/>
      <c r="F1537"/>
      <c r="G1537"/>
      <c r="H1537"/>
      <c r="I1537"/>
      <c r="J1537"/>
      <c r="K1537"/>
      <c r="L1537"/>
      <c r="M1537"/>
      <c r="N1537"/>
      <c r="O1537" s="11" t="str">
        <f t="shared" si="23"/>
        <v/>
      </c>
      <c r="P1537"/>
      <c r="Q1537" s="11"/>
    </row>
    <row r="1538" spans="2:17" x14ac:dyDescent="0.35">
      <c r="B1538"/>
      <c r="C1538"/>
      <c r="D1538"/>
      <c r="E1538"/>
      <c r="F1538"/>
      <c r="G1538"/>
      <c r="H1538"/>
      <c r="I1538"/>
      <c r="J1538"/>
      <c r="K1538"/>
      <c r="L1538"/>
      <c r="M1538"/>
      <c r="N1538"/>
      <c r="O1538" s="11" t="str">
        <f t="shared" si="23"/>
        <v/>
      </c>
      <c r="P1538"/>
      <c r="Q1538" s="11"/>
    </row>
    <row r="1539" spans="2:17" x14ac:dyDescent="0.35">
      <c r="B1539"/>
      <c r="C1539"/>
      <c r="D1539"/>
      <c r="E1539"/>
      <c r="F1539"/>
      <c r="G1539"/>
      <c r="H1539"/>
      <c r="I1539"/>
      <c r="J1539"/>
      <c r="K1539"/>
      <c r="L1539"/>
      <c r="M1539"/>
      <c r="N1539"/>
      <c r="O1539" s="11" t="str">
        <f t="shared" si="23"/>
        <v/>
      </c>
      <c r="P1539"/>
      <c r="Q1539" s="11"/>
    </row>
    <row r="1540" spans="2:17" x14ac:dyDescent="0.35">
      <c r="B1540"/>
      <c r="C1540"/>
      <c r="D1540"/>
      <c r="E1540"/>
      <c r="F1540"/>
      <c r="G1540"/>
      <c r="H1540"/>
      <c r="I1540"/>
      <c r="J1540"/>
      <c r="K1540"/>
      <c r="L1540"/>
      <c r="M1540"/>
      <c r="N1540"/>
      <c r="O1540" s="11" t="str">
        <f t="shared" si="23"/>
        <v/>
      </c>
      <c r="P1540"/>
      <c r="Q1540" s="11"/>
    </row>
    <row r="1541" spans="2:17" x14ac:dyDescent="0.35">
      <c r="B1541"/>
      <c r="C1541"/>
      <c r="D1541"/>
      <c r="E1541"/>
      <c r="F1541"/>
      <c r="G1541"/>
      <c r="H1541"/>
      <c r="I1541"/>
      <c r="J1541"/>
      <c r="K1541"/>
      <c r="L1541"/>
      <c r="M1541"/>
      <c r="N1541"/>
      <c r="O1541" s="11" t="str">
        <f t="shared" si="23"/>
        <v/>
      </c>
      <c r="P1541"/>
      <c r="Q1541" s="11"/>
    </row>
    <row r="1542" spans="2:17" x14ac:dyDescent="0.35">
      <c r="B1542"/>
      <c r="C1542"/>
      <c r="D1542"/>
      <c r="E1542"/>
      <c r="F1542"/>
      <c r="G1542"/>
      <c r="H1542"/>
      <c r="I1542"/>
      <c r="J1542"/>
      <c r="K1542"/>
      <c r="L1542"/>
      <c r="M1542"/>
      <c r="N1542"/>
      <c r="O1542" s="11" t="str">
        <f t="shared" si="23"/>
        <v/>
      </c>
      <c r="P1542"/>
      <c r="Q1542" s="11"/>
    </row>
    <row r="1543" spans="2:17" x14ac:dyDescent="0.35">
      <c r="B1543"/>
      <c r="C1543"/>
      <c r="D1543"/>
      <c r="E1543"/>
      <c r="F1543"/>
      <c r="G1543"/>
      <c r="H1543"/>
      <c r="I1543"/>
      <c r="J1543"/>
      <c r="K1543"/>
      <c r="L1543"/>
      <c r="M1543"/>
      <c r="N1543"/>
      <c r="O1543" s="11" t="str">
        <f t="shared" si="23"/>
        <v/>
      </c>
      <c r="P1543"/>
      <c r="Q1543" s="11"/>
    </row>
    <row r="1544" spans="2:17" x14ac:dyDescent="0.35">
      <c r="B1544"/>
      <c r="C1544"/>
      <c r="D1544"/>
      <c r="E1544"/>
      <c r="F1544"/>
      <c r="G1544"/>
      <c r="H1544"/>
      <c r="I1544"/>
      <c r="J1544"/>
      <c r="K1544"/>
      <c r="L1544"/>
      <c r="M1544"/>
      <c r="N1544"/>
      <c r="O1544" s="11" t="str">
        <f t="shared" si="23"/>
        <v/>
      </c>
      <c r="P1544"/>
      <c r="Q1544" s="11"/>
    </row>
    <row r="1545" spans="2:17" x14ac:dyDescent="0.35">
      <c r="B1545"/>
      <c r="C1545"/>
      <c r="D1545"/>
      <c r="E1545"/>
      <c r="F1545"/>
      <c r="G1545"/>
      <c r="H1545"/>
      <c r="I1545"/>
      <c r="J1545"/>
      <c r="K1545"/>
      <c r="L1545"/>
      <c r="M1545"/>
      <c r="N1545"/>
      <c r="O1545" s="11" t="str">
        <f t="shared" si="23"/>
        <v/>
      </c>
      <c r="P1545"/>
      <c r="Q1545" s="11"/>
    </row>
    <row r="1546" spans="2:17" x14ac:dyDescent="0.35">
      <c r="B1546"/>
      <c r="C1546"/>
      <c r="D1546"/>
      <c r="E1546"/>
      <c r="F1546"/>
      <c r="G1546"/>
      <c r="H1546"/>
      <c r="I1546"/>
      <c r="J1546"/>
      <c r="K1546"/>
      <c r="L1546"/>
      <c r="M1546"/>
      <c r="N1546"/>
      <c r="O1546" s="11" t="str">
        <f t="shared" si="23"/>
        <v/>
      </c>
      <c r="P1546"/>
      <c r="Q1546" s="11"/>
    </row>
    <row r="1547" spans="2:17" x14ac:dyDescent="0.35">
      <c r="B1547"/>
      <c r="C1547"/>
      <c r="D1547"/>
      <c r="E1547"/>
      <c r="F1547"/>
      <c r="G1547"/>
      <c r="H1547"/>
      <c r="I1547"/>
      <c r="J1547"/>
      <c r="K1547"/>
      <c r="L1547"/>
      <c r="M1547"/>
      <c r="N1547"/>
      <c r="O1547" s="11" t="str">
        <f t="shared" si="23"/>
        <v/>
      </c>
      <c r="P1547"/>
      <c r="Q1547" s="11"/>
    </row>
    <row r="1548" spans="2:17" x14ac:dyDescent="0.35">
      <c r="B1548"/>
      <c r="C1548"/>
      <c r="D1548"/>
      <c r="E1548"/>
      <c r="F1548"/>
      <c r="G1548"/>
      <c r="H1548"/>
      <c r="I1548"/>
      <c r="J1548"/>
      <c r="K1548"/>
      <c r="L1548"/>
      <c r="M1548"/>
      <c r="N1548"/>
      <c r="O1548" s="11" t="str">
        <f t="shared" si="23"/>
        <v/>
      </c>
      <c r="P1548"/>
      <c r="Q1548" s="11"/>
    </row>
    <row r="1549" spans="2:17" x14ac:dyDescent="0.35">
      <c r="B1549"/>
      <c r="C1549"/>
      <c r="D1549"/>
      <c r="E1549"/>
      <c r="F1549"/>
      <c r="G1549"/>
      <c r="H1549"/>
      <c r="I1549"/>
      <c r="J1549"/>
      <c r="K1549"/>
      <c r="L1549"/>
      <c r="M1549"/>
      <c r="N1549"/>
      <c r="O1549" s="11" t="str">
        <f t="shared" si="23"/>
        <v/>
      </c>
      <c r="P1549"/>
      <c r="Q1549" s="11"/>
    </row>
    <row r="1550" spans="2:17" x14ac:dyDescent="0.35">
      <c r="B1550"/>
      <c r="C1550"/>
      <c r="D1550"/>
      <c r="E1550"/>
      <c r="F1550"/>
      <c r="G1550"/>
      <c r="H1550"/>
      <c r="I1550"/>
      <c r="J1550"/>
      <c r="K1550"/>
      <c r="L1550"/>
      <c r="M1550"/>
      <c r="N1550"/>
      <c r="O1550" s="11" t="str">
        <f t="shared" si="23"/>
        <v/>
      </c>
      <c r="P1550"/>
      <c r="Q1550" s="11"/>
    </row>
    <row r="1551" spans="2:17" x14ac:dyDescent="0.35">
      <c r="B1551"/>
      <c r="C1551"/>
      <c r="D1551"/>
      <c r="E1551"/>
      <c r="F1551"/>
      <c r="G1551"/>
      <c r="H1551"/>
      <c r="I1551"/>
      <c r="J1551"/>
      <c r="K1551"/>
      <c r="L1551"/>
      <c r="M1551"/>
      <c r="N1551"/>
      <c r="O1551" s="11" t="str">
        <f t="shared" si="23"/>
        <v/>
      </c>
      <c r="P1551"/>
      <c r="Q1551" s="11"/>
    </row>
    <row r="1552" spans="2:17" x14ac:dyDescent="0.35">
      <c r="B1552"/>
      <c r="C1552"/>
      <c r="D1552"/>
      <c r="E1552"/>
      <c r="F1552"/>
      <c r="G1552"/>
      <c r="H1552"/>
      <c r="I1552"/>
      <c r="J1552"/>
      <c r="K1552"/>
      <c r="L1552"/>
      <c r="M1552"/>
      <c r="N1552"/>
      <c r="O1552" s="11" t="str">
        <f t="shared" si="23"/>
        <v/>
      </c>
      <c r="P1552"/>
      <c r="Q1552" s="11"/>
    </row>
    <row r="1553" spans="2:17" x14ac:dyDescent="0.35">
      <c r="B1553"/>
      <c r="C1553"/>
      <c r="D1553"/>
      <c r="E1553"/>
      <c r="F1553"/>
      <c r="G1553"/>
      <c r="H1553"/>
      <c r="I1553"/>
      <c r="J1553"/>
      <c r="K1553"/>
      <c r="L1553"/>
      <c r="M1553"/>
      <c r="N1553"/>
      <c r="O1553" s="11" t="str">
        <f t="shared" si="23"/>
        <v/>
      </c>
      <c r="P1553"/>
      <c r="Q1553" s="11"/>
    </row>
    <row r="1554" spans="2:17" x14ac:dyDescent="0.35">
      <c r="B1554"/>
      <c r="C1554"/>
      <c r="D1554"/>
      <c r="E1554"/>
      <c r="F1554"/>
      <c r="G1554"/>
      <c r="H1554"/>
      <c r="I1554"/>
      <c r="J1554"/>
      <c r="K1554"/>
      <c r="L1554"/>
      <c r="M1554"/>
      <c r="N1554"/>
      <c r="O1554" s="11" t="str">
        <f t="shared" si="23"/>
        <v/>
      </c>
      <c r="P1554"/>
      <c r="Q1554" s="11"/>
    </row>
    <row r="1555" spans="2:17" x14ac:dyDescent="0.35">
      <c r="B1555"/>
      <c r="C1555"/>
      <c r="D1555"/>
      <c r="E1555"/>
      <c r="F1555"/>
      <c r="G1555"/>
      <c r="H1555"/>
      <c r="I1555"/>
      <c r="J1555"/>
      <c r="K1555"/>
      <c r="L1555"/>
      <c r="M1555"/>
      <c r="N1555"/>
      <c r="O1555" s="11" t="str">
        <f t="shared" si="23"/>
        <v/>
      </c>
      <c r="P1555"/>
      <c r="Q1555" s="11"/>
    </row>
    <row r="1556" spans="2:17" x14ac:dyDescent="0.35">
      <c r="B1556"/>
      <c r="C1556"/>
      <c r="D1556"/>
      <c r="E1556"/>
      <c r="F1556"/>
      <c r="G1556"/>
      <c r="H1556"/>
      <c r="I1556"/>
      <c r="J1556"/>
      <c r="K1556"/>
      <c r="L1556"/>
      <c r="M1556"/>
      <c r="N1556"/>
      <c r="O1556" s="11" t="str">
        <f t="shared" si="23"/>
        <v/>
      </c>
      <c r="P1556"/>
      <c r="Q1556" s="11"/>
    </row>
    <row r="1557" spans="2:17" x14ac:dyDescent="0.35">
      <c r="B1557"/>
      <c r="C1557"/>
      <c r="D1557"/>
      <c r="E1557"/>
      <c r="F1557"/>
      <c r="G1557"/>
      <c r="H1557"/>
      <c r="I1557"/>
      <c r="J1557"/>
      <c r="K1557"/>
      <c r="L1557"/>
      <c r="M1557"/>
      <c r="N1557"/>
      <c r="O1557" s="11" t="str">
        <f t="shared" ref="O1557:O1620" si="24">IFERROR(RATE(2033-2026,,-G1557,N1557),"")</f>
        <v/>
      </c>
      <c r="P1557"/>
      <c r="Q1557" s="11"/>
    </row>
    <row r="1558" spans="2:17" x14ac:dyDescent="0.35">
      <c r="B1558"/>
      <c r="C1558"/>
      <c r="D1558"/>
      <c r="E1558"/>
      <c r="F1558"/>
      <c r="G1558"/>
      <c r="H1558"/>
      <c r="I1558"/>
      <c r="J1558"/>
      <c r="K1558"/>
      <c r="L1558"/>
      <c r="M1558"/>
      <c r="N1558"/>
      <c r="O1558" s="11" t="str">
        <f t="shared" si="24"/>
        <v/>
      </c>
      <c r="P1558"/>
      <c r="Q1558" s="11"/>
    </row>
    <row r="1559" spans="2:17" x14ac:dyDescent="0.35">
      <c r="B1559"/>
      <c r="C1559"/>
      <c r="D1559"/>
      <c r="E1559"/>
      <c r="F1559"/>
      <c r="G1559"/>
      <c r="H1559"/>
      <c r="I1559"/>
      <c r="J1559"/>
      <c r="K1559"/>
      <c r="L1559"/>
      <c r="M1559"/>
      <c r="N1559"/>
      <c r="O1559" s="11" t="str">
        <f t="shared" si="24"/>
        <v/>
      </c>
      <c r="P1559"/>
      <c r="Q1559" s="11"/>
    </row>
    <row r="1560" spans="2:17" x14ac:dyDescent="0.35">
      <c r="B1560"/>
      <c r="C1560"/>
      <c r="D1560"/>
      <c r="E1560"/>
      <c r="F1560"/>
      <c r="G1560"/>
      <c r="H1560"/>
      <c r="I1560"/>
      <c r="J1560"/>
      <c r="K1560"/>
      <c r="L1560"/>
      <c r="M1560"/>
      <c r="N1560"/>
      <c r="O1560" s="11" t="str">
        <f t="shared" si="24"/>
        <v/>
      </c>
      <c r="P1560"/>
      <c r="Q1560" s="11"/>
    </row>
    <row r="1561" spans="2:17" x14ac:dyDescent="0.35">
      <c r="B1561"/>
      <c r="C1561"/>
      <c r="D1561"/>
      <c r="E1561"/>
      <c r="F1561"/>
      <c r="G1561"/>
      <c r="H1561"/>
      <c r="I1561"/>
      <c r="J1561"/>
      <c r="K1561"/>
      <c r="L1561"/>
      <c r="M1561"/>
      <c r="N1561"/>
      <c r="O1561" s="11" t="str">
        <f t="shared" si="24"/>
        <v/>
      </c>
      <c r="P1561"/>
      <c r="Q1561" s="11"/>
    </row>
    <row r="1562" spans="2:17" x14ac:dyDescent="0.35">
      <c r="B1562"/>
      <c r="C1562"/>
      <c r="D1562"/>
      <c r="E1562"/>
      <c r="F1562"/>
      <c r="G1562"/>
      <c r="H1562"/>
      <c r="I1562"/>
      <c r="J1562"/>
      <c r="K1562"/>
      <c r="L1562"/>
      <c r="M1562"/>
      <c r="N1562"/>
      <c r="O1562" s="11" t="str">
        <f t="shared" si="24"/>
        <v/>
      </c>
      <c r="P1562"/>
      <c r="Q1562" s="11"/>
    </row>
    <row r="1563" spans="2:17" x14ac:dyDescent="0.35">
      <c r="B1563"/>
      <c r="C1563"/>
      <c r="D1563"/>
      <c r="E1563"/>
      <c r="F1563"/>
      <c r="G1563"/>
      <c r="H1563"/>
      <c r="I1563"/>
      <c r="J1563"/>
      <c r="K1563"/>
      <c r="L1563"/>
      <c r="M1563"/>
      <c r="N1563"/>
      <c r="O1563" s="11" t="str">
        <f t="shared" si="24"/>
        <v/>
      </c>
      <c r="P1563"/>
      <c r="Q1563" s="11"/>
    </row>
    <row r="1564" spans="2:17" x14ac:dyDescent="0.35">
      <c r="B1564"/>
      <c r="C1564"/>
      <c r="D1564"/>
      <c r="E1564"/>
      <c r="F1564"/>
      <c r="G1564"/>
      <c r="H1564"/>
      <c r="I1564"/>
      <c r="J1564"/>
      <c r="K1564"/>
      <c r="L1564"/>
      <c r="M1564"/>
      <c r="N1564"/>
      <c r="O1564" s="11" t="str">
        <f t="shared" si="24"/>
        <v/>
      </c>
      <c r="P1564"/>
      <c r="Q1564" s="11"/>
    </row>
    <row r="1565" spans="2:17" x14ac:dyDescent="0.35">
      <c r="B1565"/>
      <c r="C1565"/>
      <c r="D1565"/>
      <c r="E1565"/>
      <c r="F1565"/>
      <c r="G1565"/>
      <c r="H1565"/>
      <c r="I1565"/>
      <c r="J1565"/>
      <c r="K1565"/>
      <c r="L1565"/>
      <c r="M1565"/>
      <c r="N1565"/>
      <c r="O1565" s="11" t="str">
        <f t="shared" si="24"/>
        <v/>
      </c>
      <c r="P1565"/>
      <c r="Q1565" s="11"/>
    </row>
    <row r="1566" spans="2:17" x14ac:dyDescent="0.35">
      <c r="B1566"/>
      <c r="C1566"/>
      <c r="D1566"/>
      <c r="E1566"/>
      <c r="F1566"/>
      <c r="G1566"/>
      <c r="H1566"/>
      <c r="I1566"/>
      <c r="J1566"/>
      <c r="K1566"/>
      <c r="L1566"/>
      <c r="M1566"/>
      <c r="N1566"/>
      <c r="O1566" s="11" t="str">
        <f t="shared" si="24"/>
        <v/>
      </c>
      <c r="P1566"/>
      <c r="Q1566" s="11"/>
    </row>
    <row r="1567" spans="2:17" x14ac:dyDescent="0.35">
      <c r="B1567"/>
      <c r="C1567"/>
      <c r="D1567"/>
      <c r="E1567"/>
      <c r="F1567"/>
      <c r="G1567"/>
      <c r="H1567"/>
      <c r="I1567"/>
      <c r="J1567"/>
      <c r="K1567"/>
      <c r="L1567"/>
      <c r="M1567"/>
      <c r="N1567"/>
      <c r="O1567" s="11" t="str">
        <f t="shared" si="24"/>
        <v/>
      </c>
      <c r="P1567"/>
      <c r="Q1567" s="11"/>
    </row>
    <row r="1568" spans="2:17" x14ac:dyDescent="0.35">
      <c r="B1568"/>
      <c r="C1568"/>
      <c r="D1568"/>
      <c r="E1568"/>
      <c r="F1568"/>
      <c r="G1568"/>
      <c r="H1568"/>
      <c r="I1568"/>
      <c r="J1568"/>
      <c r="K1568"/>
      <c r="L1568"/>
      <c r="M1568"/>
      <c r="N1568"/>
      <c r="O1568" s="11" t="str">
        <f t="shared" si="24"/>
        <v/>
      </c>
      <c r="P1568"/>
      <c r="Q1568" s="11"/>
    </row>
    <row r="1569" spans="2:17" x14ac:dyDescent="0.35">
      <c r="B1569"/>
      <c r="C1569"/>
      <c r="D1569"/>
      <c r="E1569"/>
      <c r="F1569"/>
      <c r="G1569"/>
      <c r="H1569"/>
      <c r="I1569"/>
      <c r="J1569"/>
      <c r="K1569"/>
      <c r="L1569"/>
      <c r="M1569"/>
      <c r="N1569"/>
      <c r="O1569" s="11" t="str">
        <f t="shared" si="24"/>
        <v/>
      </c>
      <c r="P1569"/>
      <c r="Q1569" s="11"/>
    </row>
    <row r="1570" spans="2:17" x14ac:dyDescent="0.35">
      <c r="B1570"/>
      <c r="C1570"/>
      <c r="D1570"/>
      <c r="E1570"/>
      <c r="F1570"/>
      <c r="G1570"/>
      <c r="H1570"/>
      <c r="I1570"/>
      <c r="J1570"/>
      <c r="K1570"/>
      <c r="L1570"/>
      <c r="M1570"/>
      <c r="N1570"/>
      <c r="O1570" s="11" t="str">
        <f t="shared" si="24"/>
        <v/>
      </c>
      <c r="P1570"/>
      <c r="Q1570" s="11"/>
    </row>
    <row r="1571" spans="2:17" x14ac:dyDescent="0.35">
      <c r="B1571"/>
      <c r="C1571"/>
      <c r="D1571"/>
      <c r="E1571"/>
      <c r="F1571"/>
      <c r="G1571"/>
      <c r="H1571"/>
      <c r="I1571"/>
      <c r="J1571"/>
      <c r="K1571"/>
      <c r="L1571"/>
      <c r="M1571"/>
      <c r="N1571"/>
      <c r="O1571" s="11" t="str">
        <f t="shared" si="24"/>
        <v/>
      </c>
      <c r="P1571"/>
      <c r="Q1571" s="11"/>
    </row>
    <row r="1572" spans="2:17" x14ac:dyDescent="0.35">
      <c r="B1572"/>
      <c r="C1572"/>
      <c r="D1572"/>
      <c r="E1572"/>
      <c r="F1572"/>
      <c r="G1572"/>
      <c r="H1572"/>
      <c r="I1572"/>
      <c r="J1572"/>
      <c r="K1572"/>
      <c r="L1572"/>
      <c r="M1572"/>
      <c r="N1572"/>
      <c r="O1572" s="11" t="str">
        <f t="shared" si="24"/>
        <v/>
      </c>
      <c r="P1572"/>
      <c r="Q1572" s="11"/>
    </row>
    <row r="1573" spans="2:17" x14ac:dyDescent="0.35">
      <c r="B1573"/>
      <c r="C1573"/>
      <c r="D1573"/>
      <c r="E1573"/>
      <c r="F1573"/>
      <c r="G1573"/>
      <c r="H1573"/>
      <c r="I1573"/>
      <c r="J1573"/>
      <c r="K1573"/>
      <c r="L1573"/>
      <c r="M1573"/>
      <c r="N1573"/>
      <c r="O1573" s="11" t="str">
        <f t="shared" si="24"/>
        <v/>
      </c>
      <c r="P1573"/>
      <c r="Q1573" s="11"/>
    </row>
    <row r="1574" spans="2:17" x14ac:dyDescent="0.35">
      <c r="B1574"/>
      <c r="C1574"/>
      <c r="D1574"/>
      <c r="E1574"/>
      <c r="F1574"/>
      <c r="G1574"/>
      <c r="H1574"/>
      <c r="I1574"/>
      <c r="J1574"/>
      <c r="K1574"/>
      <c r="L1574"/>
      <c r="M1574"/>
      <c r="N1574"/>
      <c r="O1574" s="11" t="str">
        <f t="shared" si="24"/>
        <v/>
      </c>
      <c r="P1574"/>
      <c r="Q1574" s="11"/>
    </row>
    <row r="1575" spans="2:17" x14ac:dyDescent="0.35">
      <c r="B1575"/>
      <c r="C1575"/>
      <c r="D1575"/>
      <c r="E1575"/>
      <c r="F1575"/>
      <c r="G1575"/>
      <c r="H1575"/>
      <c r="I1575"/>
      <c r="J1575"/>
      <c r="K1575"/>
      <c r="L1575"/>
      <c r="M1575"/>
      <c r="N1575"/>
      <c r="O1575" s="11" t="str">
        <f t="shared" si="24"/>
        <v/>
      </c>
      <c r="P1575"/>
      <c r="Q1575" s="11"/>
    </row>
    <row r="1576" spans="2:17" x14ac:dyDescent="0.35">
      <c r="B1576"/>
      <c r="C1576"/>
      <c r="D1576"/>
      <c r="E1576"/>
      <c r="F1576"/>
      <c r="G1576"/>
      <c r="H1576"/>
      <c r="I1576"/>
      <c r="J1576"/>
      <c r="K1576"/>
      <c r="L1576"/>
      <c r="M1576"/>
      <c r="N1576"/>
      <c r="O1576" s="11" t="str">
        <f t="shared" si="24"/>
        <v/>
      </c>
      <c r="P1576"/>
      <c r="Q1576" s="11"/>
    </row>
    <row r="1577" spans="2:17" x14ac:dyDescent="0.35">
      <c r="B1577"/>
      <c r="C1577"/>
      <c r="D1577"/>
      <c r="E1577"/>
      <c r="F1577"/>
      <c r="G1577"/>
      <c r="H1577"/>
      <c r="I1577"/>
      <c r="J1577"/>
      <c r="K1577"/>
      <c r="L1577"/>
      <c r="M1577"/>
      <c r="N1577"/>
      <c r="O1577" s="11" t="str">
        <f t="shared" si="24"/>
        <v/>
      </c>
      <c r="P1577"/>
      <c r="Q1577" s="11"/>
    </row>
    <row r="1578" spans="2:17" x14ac:dyDescent="0.35">
      <c r="B1578"/>
      <c r="C1578"/>
      <c r="D1578"/>
      <c r="E1578"/>
      <c r="F1578"/>
      <c r="G1578"/>
      <c r="H1578"/>
      <c r="I1578"/>
      <c r="J1578"/>
      <c r="K1578"/>
      <c r="L1578"/>
      <c r="M1578"/>
      <c r="N1578"/>
      <c r="O1578" s="11" t="str">
        <f t="shared" si="24"/>
        <v/>
      </c>
      <c r="P1578"/>
      <c r="Q1578" s="11"/>
    </row>
    <row r="1579" spans="2:17" x14ac:dyDescent="0.35">
      <c r="B1579"/>
      <c r="C1579"/>
      <c r="D1579"/>
      <c r="E1579"/>
      <c r="F1579"/>
      <c r="G1579"/>
      <c r="H1579"/>
      <c r="I1579"/>
      <c r="J1579"/>
      <c r="K1579"/>
      <c r="L1579"/>
      <c r="M1579"/>
      <c r="N1579"/>
      <c r="O1579" s="11" t="str">
        <f t="shared" si="24"/>
        <v/>
      </c>
      <c r="P1579"/>
      <c r="Q1579" s="11"/>
    </row>
    <row r="1580" spans="2:17" x14ac:dyDescent="0.35">
      <c r="B1580"/>
      <c r="C1580"/>
      <c r="D1580"/>
      <c r="E1580"/>
      <c r="F1580"/>
      <c r="G1580"/>
      <c r="H1580"/>
      <c r="I1580"/>
      <c r="J1580"/>
      <c r="K1580"/>
      <c r="L1580"/>
      <c r="M1580"/>
      <c r="N1580"/>
      <c r="O1580" s="11" t="str">
        <f t="shared" si="24"/>
        <v/>
      </c>
      <c r="P1580"/>
      <c r="Q1580" s="11"/>
    </row>
    <row r="1581" spans="2:17" x14ac:dyDescent="0.35">
      <c r="B1581"/>
      <c r="C1581"/>
      <c r="D1581"/>
      <c r="E1581"/>
      <c r="F1581"/>
      <c r="G1581"/>
      <c r="H1581"/>
      <c r="I1581"/>
      <c r="J1581"/>
      <c r="K1581"/>
      <c r="L1581"/>
      <c r="M1581"/>
      <c r="N1581"/>
      <c r="O1581" s="11" t="str">
        <f t="shared" si="24"/>
        <v/>
      </c>
      <c r="P1581"/>
      <c r="Q1581" s="11"/>
    </row>
    <row r="1582" spans="2:17" x14ac:dyDescent="0.35">
      <c r="B1582"/>
      <c r="C1582"/>
      <c r="D1582"/>
      <c r="E1582"/>
      <c r="F1582"/>
      <c r="G1582"/>
      <c r="H1582"/>
      <c r="I1582"/>
      <c r="J1582"/>
      <c r="K1582"/>
      <c r="L1582"/>
      <c r="M1582"/>
      <c r="N1582"/>
      <c r="O1582" s="11" t="str">
        <f t="shared" si="24"/>
        <v/>
      </c>
      <c r="P1582"/>
      <c r="Q1582" s="11"/>
    </row>
    <row r="1583" spans="2:17" x14ac:dyDescent="0.35">
      <c r="B1583"/>
      <c r="C1583"/>
      <c r="D1583"/>
      <c r="E1583"/>
      <c r="F1583"/>
      <c r="G1583"/>
      <c r="H1583"/>
      <c r="I1583"/>
      <c r="J1583"/>
      <c r="K1583"/>
      <c r="L1583"/>
      <c r="M1583"/>
      <c r="N1583"/>
      <c r="O1583" s="11" t="str">
        <f t="shared" si="24"/>
        <v/>
      </c>
      <c r="P1583"/>
      <c r="Q1583" s="11"/>
    </row>
    <row r="1584" spans="2:17" x14ac:dyDescent="0.35">
      <c r="B1584"/>
      <c r="C1584"/>
      <c r="D1584"/>
      <c r="E1584"/>
      <c r="F1584"/>
      <c r="G1584"/>
      <c r="H1584"/>
      <c r="I1584"/>
      <c r="J1584"/>
      <c r="K1584"/>
      <c r="L1584"/>
      <c r="M1584"/>
      <c r="N1584"/>
      <c r="O1584" s="11" t="str">
        <f t="shared" si="24"/>
        <v/>
      </c>
      <c r="P1584"/>
      <c r="Q1584" s="11"/>
    </row>
    <row r="1585" spans="2:17" x14ac:dyDescent="0.35">
      <c r="B1585"/>
      <c r="C1585"/>
      <c r="D1585"/>
      <c r="E1585"/>
      <c r="F1585"/>
      <c r="G1585"/>
      <c r="H1585"/>
      <c r="I1585"/>
      <c r="J1585"/>
      <c r="K1585"/>
      <c r="L1585"/>
      <c r="M1585"/>
      <c r="N1585"/>
      <c r="O1585" s="11" t="str">
        <f t="shared" si="24"/>
        <v/>
      </c>
      <c r="P1585"/>
      <c r="Q1585" s="11"/>
    </row>
    <row r="1586" spans="2:17" x14ac:dyDescent="0.35">
      <c r="B1586"/>
      <c r="C1586"/>
      <c r="D1586"/>
      <c r="E1586"/>
      <c r="F1586"/>
      <c r="G1586"/>
      <c r="H1586"/>
      <c r="I1586"/>
      <c r="J1586"/>
      <c r="K1586"/>
      <c r="L1586"/>
      <c r="M1586"/>
      <c r="N1586"/>
      <c r="O1586" s="11" t="str">
        <f t="shared" si="24"/>
        <v/>
      </c>
      <c r="P1586"/>
      <c r="Q1586" s="11"/>
    </row>
    <row r="1587" spans="2:17" x14ac:dyDescent="0.35">
      <c r="B1587"/>
      <c r="C1587"/>
      <c r="D1587"/>
      <c r="E1587"/>
      <c r="F1587"/>
      <c r="G1587"/>
      <c r="H1587"/>
      <c r="I1587"/>
      <c r="J1587"/>
      <c r="K1587"/>
      <c r="L1587"/>
      <c r="M1587"/>
      <c r="N1587"/>
      <c r="O1587" s="11" t="str">
        <f t="shared" si="24"/>
        <v/>
      </c>
      <c r="P1587"/>
      <c r="Q1587" s="11"/>
    </row>
    <row r="1588" spans="2:17" x14ac:dyDescent="0.35">
      <c r="B1588"/>
      <c r="C1588"/>
      <c r="D1588"/>
      <c r="E1588"/>
      <c r="F1588"/>
      <c r="G1588"/>
      <c r="H1588"/>
      <c r="I1588"/>
      <c r="J1588"/>
      <c r="K1588"/>
      <c r="L1588"/>
      <c r="M1588"/>
      <c r="N1588"/>
      <c r="O1588" s="11" t="str">
        <f t="shared" si="24"/>
        <v/>
      </c>
      <c r="P1588"/>
      <c r="Q1588" s="11"/>
    </row>
    <row r="1589" spans="2:17" x14ac:dyDescent="0.35">
      <c r="B1589"/>
      <c r="C1589"/>
      <c r="D1589"/>
      <c r="E1589"/>
      <c r="F1589"/>
      <c r="G1589"/>
      <c r="H1589"/>
      <c r="I1589"/>
      <c r="J1589"/>
      <c r="K1589"/>
      <c r="L1589"/>
      <c r="M1589"/>
      <c r="N1589"/>
      <c r="O1589" s="11" t="str">
        <f t="shared" si="24"/>
        <v/>
      </c>
      <c r="P1589"/>
      <c r="Q1589" s="11"/>
    </row>
    <row r="1590" spans="2:17" x14ac:dyDescent="0.35">
      <c r="B1590"/>
      <c r="C1590"/>
      <c r="D1590"/>
      <c r="E1590"/>
      <c r="F1590"/>
      <c r="G1590"/>
      <c r="H1590"/>
      <c r="I1590"/>
      <c r="J1590"/>
      <c r="K1590"/>
      <c r="L1590"/>
      <c r="M1590"/>
      <c r="N1590"/>
      <c r="O1590" s="11" t="str">
        <f t="shared" si="24"/>
        <v/>
      </c>
      <c r="P1590"/>
      <c r="Q1590" s="11"/>
    </row>
    <row r="1591" spans="2:17" x14ac:dyDescent="0.35">
      <c r="B1591"/>
      <c r="C1591"/>
      <c r="D1591"/>
      <c r="E1591"/>
      <c r="F1591"/>
      <c r="G1591"/>
      <c r="H1591"/>
      <c r="I1591"/>
      <c r="J1591"/>
      <c r="K1591"/>
      <c r="L1591"/>
      <c r="M1591"/>
      <c r="N1591"/>
      <c r="O1591" s="11" t="str">
        <f t="shared" si="24"/>
        <v/>
      </c>
      <c r="P1591"/>
      <c r="Q1591" s="11"/>
    </row>
    <row r="1592" spans="2:17" x14ac:dyDescent="0.35">
      <c r="B1592"/>
      <c r="C1592"/>
      <c r="D1592"/>
      <c r="E1592"/>
      <c r="F1592"/>
      <c r="G1592"/>
      <c r="H1592"/>
      <c r="I1592"/>
      <c r="J1592"/>
      <c r="K1592"/>
      <c r="L1592"/>
      <c r="M1592"/>
      <c r="N1592"/>
      <c r="O1592" s="11" t="str">
        <f t="shared" si="24"/>
        <v/>
      </c>
      <c r="P1592"/>
      <c r="Q1592" s="11"/>
    </row>
    <row r="1593" spans="2:17" x14ac:dyDescent="0.35">
      <c r="B1593"/>
      <c r="C1593"/>
      <c r="D1593"/>
      <c r="E1593"/>
      <c r="F1593"/>
      <c r="G1593"/>
      <c r="H1593"/>
      <c r="I1593"/>
      <c r="J1593"/>
      <c r="K1593"/>
      <c r="L1593"/>
      <c r="M1593"/>
      <c r="N1593"/>
      <c r="O1593" s="11" t="str">
        <f t="shared" si="24"/>
        <v/>
      </c>
      <c r="P1593"/>
      <c r="Q1593" s="11"/>
    </row>
    <row r="1594" spans="2:17" x14ac:dyDescent="0.35">
      <c r="B1594"/>
      <c r="C1594"/>
      <c r="D1594"/>
      <c r="E1594"/>
      <c r="F1594"/>
      <c r="G1594"/>
      <c r="H1594"/>
      <c r="I1594"/>
      <c r="J1594"/>
      <c r="K1594"/>
      <c r="L1594"/>
      <c r="M1594"/>
      <c r="N1594"/>
      <c r="O1594" s="11" t="str">
        <f t="shared" si="24"/>
        <v/>
      </c>
      <c r="P1594"/>
      <c r="Q1594" s="11"/>
    </row>
    <row r="1595" spans="2:17" x14ac:dyDescent="0.35">
      <c r="B1595"/>
      <c r="C1595"/>
      <c r="D1595"/>
      <c r="E1595"/>
      <c r="F1595"/>
      <c r="G1595"/>
      <c r="H1595"/>
      <c r="I1595"/>
      <c r="J1595"/>
      <c r="K1595"/>
      <c r="L1595"/>
      <c r="M1595"/>
      <c r="N1595"/>
      <c r="O1595" s="11" t="str">
        <f t="shared" si="24"/>
        <v/>
      </c>
      <c r="P1595"/>
      <c r="Q1595" s="11"/>
    </row>
    <row r="1596" spans="2:17" x14ac:dyDescent="0.35">
      <c r="B1596"/>
      <c r="C1596"/>
      <c r="D1596"/>
      <c r="E1596"/>
      <c r="F1596"/>
      <c r="G1596"/>
      <c r="H1596"/>
      <c r="I1596"/>
      <c r="J1596"/>
      <c r="K1596"/>
      <c r="L1596"/>
      <c r="M1596"/>
      <c r="N1596"/>
      <c r="O1596" s="11" t="str">
        <f t="shared" si="24"/>
        <v/>
      </c>
      <c r="P1596"/>
      <c r="Q1596" s="11"/>
    </row>
    <row r="1597" spans="2:17" x14ac:dyDescent="0.35">
      <c r="B1597"/>
      <c r="C1597"/>
      <c r="D1597"/>
      <c r="E1597"/>
      <c r="F1597"/>
      <c r="G1597"/>
      <c r="H1597"/>
      <c r="I1597"/>
      <c r="J1597"/>
      <c r="K1597"/>
      <c r="L1597"/>
      <c r="M1597"/>
      <c r="N1597"/>
      <c r="O1597" s="11" t="str">
        <f t="shared" si="24"/>
        <v/>
      </c>
      <c r="P1597"/>
      <c r="Q1597" s="11"/>
    </row>
    <row r="1598" spans="2:17" x14ac:dyDescent="0.35">
      <c r="B1598"/>
      <c r="C1598"/>
      <c r="D1598"/>
      <c r="E1598"/>
      <c r="F1598"/>
      <c r="G1598"/>
      <c r="H1598"/>
      <c r="I1598"/>
      <c r="J1598"/>
      <c r="K1598"/>
      <c r="L1598"/>
      <c r="M1598"/>
      <c r="N1598"/>
      <c r="O1598" s="11" t="str">
        <f t="shared" si="24"/>
        <v/>
      </c>
      <c r="P1598"/>
      <c r="Q1598" s="11"/>
    </row>
    <row r="1599" spans="2:17" x14ac:dyDescent="0.35">
      <c r="B1599"/>
      <c r="C1599"/>
      <c r="D1599"/>
      <c r="E1599"/>
      <c r="F1599"/>
      <c r="G1599"/>
      <c r="H1599"/>
      <c r="I1599"/>
      <c r="J1599"/>
      <c r="K1599"/>
      <c r="L1599"/>
      <c r="M1599"/>
      <c r="N1599"/>
      <c r="O1599" s="11" t="str">
        <f t="shared" si="24"/>
        <v/>
      </c>
      <c r="P1599"/>
      <c r="Q1599" s="11"/>
    </row>
    <row r="1600" spans="2:17" x14ac:dyDescent="0.35">
      <c r="B1600"/>
      <c r="C1600"/>
      <c r="D1600"/>
      <c r="E1600"/>
      <c r="F1600"/>
      <c r="G1600"/>
      <c r="H1600"/>
      <c r="I1600"/>
      <c r="J1600"/>
      <c r="K1600"/>
      <c r="L1600"/>
      <c r="M1600"/>
      <c r="N1600"/>
      <c r="O1600" s="11" t="str">
        <f t="shared" si="24"/>
        <v/>
      </c>
      <c r="P1600"/>
      <c r="Q1600" s="11"/>
    </row>
    <row r="1601" spans="2:17" x14ac:dyDescent="0.35">
      <c r="B1601"/>
      <c r="C1601"/>
      <c r="D1601"/>
      <c r="E1601"/>
      <c r="F1601"/>
      <c r="G1601"/>
      <c r="H1601"/>
      <c r="I1601"/>
      <c r="J1601"/>
      <c r="K1601"/>
      <c r="L1601"/>
      <c r="M1601"/>
      <c r="N1601"/>
      <c r="O1601" s="11" t="str">
        <f t="shared" si="24"/>
        <v/>
      </c>
      <c r="P1601"/>
      <c r="Q1601" s="11"/>
    </row>
    <row r="1602" spans="2:17" x14ac:dyDescent="0.35">
      <c r="B1602"/>
      <c r="C1602"/>
      <c r="D1602"/>
      <c r="E1602"/>
      <c r="F1602"/>
      <c r="G1602"/>
      <c r="H1602"/>
      <c r="I1602"/>
      <c r="J1602"/>
      <c r="K1602"/>
      <c r="L1602"/>
      <c r="M1602"/>
      <c r="N1602"/>
      <c r="O1602" s="11" t="str">
        <f t="shared" si="24"/>
        <v/>
      </c>
      <c r="P1602"/>
      <c r="Q1602" s="11"/>
    </row>
    <row r="1603" spans="2:17" x14ac:dyDescent="0.35">
      <c r="B1603"/>
      <c r="C1603"/>
      <c r="D1603"/>
      <c r="E1603"/>
      <c r="F1603"/>
      <c r="G1603"/>
      <c r="H1603"/>
      <c r="I1603"/>
      <c r="J1603"/>
      <c r="K1603"/>
      <c r="L1603"/>
      <c r="M1603"/>
      <c r="N1603"/>
      <c r="O1603" s="11" t="str">
        <f t="shared" si="24"/>
        <v/>
      </c>
      <c r="P1603"/>
      <c r="Q1603" s="11"/>
    </row>
    <row r="1604" spans="2:17" x14ac:dyDescent="0.35">
      <c r="B1604"/>
      <c r="C1604"/>
      <c r="D1604"/>
      <c r="E1604"/>
      <c r="F1604"/>
      <c r="G1604"/>
      <c r="H1604"/>
      <c r="I1604"/>
      <c r="J1604"/>
      <c r="K1604"/>
      <c r="L1604"/>
      <c r="M1604"/>
      <c r="N1604"/>
      <c r="O1604" s="11" t="str">
        <f t="shared" si="24"/>
        <v/>
      </c>
      <c r="P1604"/>
      <c r="Q1604" s="11"/>
    </row>
    <row r="1605" spans="2:17" x14ac:dyDescent="0.35">
      <c r="B1605"/>
      <c r="C1605"/>
      <c r="D1605"/>
      <c r="E1605"/>
      <c r="F1605"/>
      <c r="G1605"/>
      <c r="H1605"/>
      <c r="I1605"/>
      <c r="J1605"/>
      <c r="K1605"/>
      <c r="L1605"/>
      <c r="M1605"/>
      <c r="N1605"/>
      <c r="O1605" s="11" t="str">
        <f t="shared" si="24"/>
        <v/>
      </c>
      <c r="P1605"/>
      <c r="Q1605" s="11"/>
    </row>
    <row r="1606" spans="2:17" x14ac:dyDescent="0.35">
      <c r="B1606"/>
      <c r="C1606"/>
      <c r="D1606"/>
      <c r="E1606"/>
      <c r="F1606"/>
      <c r="G1606"/>
      <c r="H1606"/>
      <c r="I1606"/>
      <c r="J1606"/>
      <c r="K1606"/>
      <c r="L1606"/>
      <c r="M1606"/>
      <c r="N1606"/>
      <c r="O1606" s="11" t="str">
        <f t="shared" si="24"/>
        <v/>
      </c>
      <c r="P1606"/>
      <c r="Q1606" s="11"/>
    </row>
    <row r="1607" spans="2:17" x14ac:dyDescent="0.35">
      <c r="B1607"/>
      <c r="C1607"/>
      <c r="D1607"/>
      <c r="E1607"/>
      <c r="F1607"/>
      <c r="G1607"/>
      <c r="H1607"/>
      <c r="I1607"/>
      <c r="J1607"/>
      <c r="K1607"/>
      <c r="L1607"/>
      <c r="M1607"/>
      <c r="N1607"/>
      <c r="O1607" s="11" t="str">
        <f t="shared" si="24"/>
        <v/>
      </c>
      <c r="P1607"/>
      <c r="Q1607" s="11"/>
    </row>
    <row r="1608" spans="2:17" x14ac:dyDescent="0.35">
      <c r="B1608"/>
      <c r="C1608"/>
      <c r="D1608"/>
      <c r="E1608"/>
      <c r="F1608"/>
      <c r="G1608"/>
      <c r="H1608"/>
      <c r="I1608"/>
      <c r="J1608"/>
      <c r="K1608"/>
      <c r="L1608"/>
      <c r="M1608"/>
      <c r="N1608"/>
      <c r="O1608" s="11" t="str">
        <f t="shared" si="24"/>
        <v/>
      </c>
      <c r="P1608"/>
      <c r="Q1608" s="11"/>
    </row>
    <row r="1609" spans="2:17" x14ac:dyDescent="0.35">
      <c r="B1609"/>
      <c r="C1609"/>
      <c r="D1609"/>
      <c r="E1609"/>
      <c r="F1609"/>
      <c r="G1609"/>
      <c r="H1609"/>
      <c r="I1609"/>
      <c r="J1609"/>
      <c r="K1609"/>
      <c r="L1609"/>
      <c r="M1609"/>
      <c r="N1609"/>
      <c r="O1609" s="11" t="str">
        <f t="shared" si="24"/>
        <v/>
      </c>
      <c r="P1609"/>
      <c r="Q1609" s="11"/>
    </row>
    <row r="1610" spans="2:17" x14ac:dyDescent="0.35">
      <c r="B1610"/>
      <c r="C1610"/>
      <c r="D1610"/>
      <c r="E1610"/>
      <c r="F1610"/>
      <c r="G1610"/>
      <c r="H1610"/>
      <c r="I1610"/>
      <c r="J1610"/>
      <c r="K1610"/>
      <c r="L1610"/>
      <c r="M1610"/>
      <c r="N1610"/>
      <c r="O1610" s="11" t="str">
        <f t="shared" si="24"/>
        <v/>
      </c>
      <c r="P1610"/>
      <c r="Q1610" s="11"/>
    </row>
    <row r="1611" spans="2:17" x14ac:dyDescent="0.35">
      <c r="B1611"/>
      <c r="C1611"/>
      <c r="D1611"/>
      <c r="E1611"/>
      <c r="F1611"/>
      <c r="G1611"/>
      <c r="H1611"/>
      <c r="I1611"/>
      <c r="J1611"/>
      <c r="K1611"/>
      <c r="L1611"/>
      <c r="M1611"/>
      <c r="N1611"/>
      <c r="O1611" s="11" t="str">
        <f t="shared" si="24"/>
        <v/>
      </c>
      <c r="P1611"/>
      <c r="Q1611" s="11"/>
    </row>
    <row r="1612" spans="2:17" x14ac:dyDescent="0.35">
      <c r="B1612"/>
      <c r="C1612"/>
      <c r="D1612"/>
      <c r="E1612"/>
      <c r="F1612"/>
      <c r="G1612"/>
      <c r="H1612"/>
      <c r="I1612"/>
      <c r="J1612"/>
      <c r="K1612"/>
      <c r="L1612"/>
      <c r="M1612"/>
      <c r="N1612"/>
      <c r="O1612" s="11" t="str">
        <f t="shared" si="24"/>
        <v/>
      </c>
      <c r="P1612"/>
      <c r="Q1612" s="11"/>
    </row>
    <row r="1613" spans="2:17" x14ac:dyDescent="0.35">
      <c r="B1613"/>
      <c r="C1613"/>
      <c r="D1613"/>
      <c r="E1613"/>
      <c r="F1613"/>
      <c r="G1613"/>
      <c r="H1613"/>
      <c r="I1613"/>
      <c r="J1613"/>
      <c r="K1613"/>
      <c r="L1613"/>
      <c r="M1613"/>
      <c r="N1613"/>
      <c r="O1613" s="11" t="str">
        <f t="shared" si="24"/>
        <v/>
      </c>
      <c r="P1613"/>
      <c r="Q1613" s="11"/>
    </row>
    <row r="1614" spans="2:17" x14ac:dyDescent="0.35">
      <c r="B1614"/>
      <c r="C1614"/>
      <c r="D1614"/>
      <c r="E1614"/>
      <c r="F1614"/>
      <c r="G1614"/>
      <c r="H1614"/>
      <c r="I1614"/>
      <c r="J1614"/>
      <c r="K1614"/>
      <c r="L1614"/>
      <c r="M1614"/>
      <c r="N1614"/>
      <c r="O1614" s="11" t="str">
        <f t="shared" si="24"/>
        <v/>
      </c>
      <c r="P1614"/>
      <c r="Q1614" s="11"/>
    </row>
    <row r="1615" spans="2:17" x14ac:dyDescent="0.35">
      <c r="B1615"/>
      <c r="C1615"/>
      <c r="D1615"/>
      <c r="E1615"/>
      <c r="F1615"/>
      <c r="G1615"/>
      <c r="H1615"/>
      <c r="I1615"/>
      <c r="J1615"/>
      <c r="K1615"/>
      <c r="L1615"/>
      <c r="M1615"/>
      <c r="N1615"/>
      <c r="O1615" s="11" t="str">
        <f t="shared" si="24"/>
        <v/>
      </c>
      <c r="P1615"/>
      <c r="Q1615" s="11"/>
    </row>
    <row r="1616" spans="2:17" x14ac:dyDescent="0.35">
      <c r="B1616"/>
      <c r="C1616"/>
      <c r="D1616"/>
      <c r="E1616"/>
      <c r="F1616"/>
      <c r="G1616"/>
      <c r="H1616"/>
      <c r="I1616"/>
      <c r="J1616"/>
      <c r="K1616"/>
      <c r="L1616"/>
      <c r="M1616"/>
      <c r="N1616"/>
      <c r="O1616" s="11" t="str">
        <f t="shared" si="24"/>
        <v/>
      </c>
      <c r="P1616"/>
      <c r="Q1616" s="11"/>
    </row>
    <row r="1617" spans="2:17" x14ac:dyDescent="0.35">
      <c r="B1617"/>
      <c r="C1617"/>
      <c r="D1617"/>
      <c r="E1617"/>
      <c r="F1617"/>
      <c r="G1617"/>
      <c r="H1617"/>
      <c r="I1617"/>
      <c r="J1617"/>
      <c r="K1617"/>
      <c r="L1617"/>
      <c r="M1617"/>
      <c r="N1617"/>
      <c r="O1617" s="11" t="str">
        <f t="shared" si="24"/>
        <v/>
      </c>
      <c r="P1617"/>
      <c r="Q1617" s="11"/>
    </row>
    <row r="1618" spans="2:17" x14ac:dyDescent="0.35">
      <c r="B1618"/>
      <c r="C1618"/>
      <c r="D1618"/>
      <c r="E1618"/>
      <c r="F1618"/>
      <c r="G1618"/>
      <c r="H1618"/>
      <c r="I1618"/>
      <c r="J1618"/>
      <c r="K1618"/>
      <c r="L1618"/>
      <c r="M1618"/>
      <c r="N1618"/>
      <c r="O1618" s="11" t="str">
        <f t="shared" si="24"/>
        <v/>
      </c>
      <c r="P1618"/>
      <c r="Q1618" s="11"/>
    </row>
    <row r="1619" spans="2:17" x14ac:dyDescent="0.35">
      <c r="B1619"/>
      <c r="C1619"/>
      <c r="D1619"/>
      <c r="E1619"/>
      <c r="F1619"/>
      <c r="G1619"/>
      <c r="H1619"/>
      <c r="I1619"/>
      <c r="J1619"/>
      <c r="K1619"/>
      <c r="L1619"/>
      <c r="M1619"/>
      <c r="N1619"/>
      <c r="O1619" s="11" t="str">
        <f t="shared" si="24"/>
        <v/>
      </c>
      <c r="P1619"/>
      <c r="Q1619" s="11"/>
    </row>
    <row r="1620" spans="2:17" x14ac:dyDescent="0.35">
      <c r="B1620"/>
      <c r="C1620"/>
      <c r="D1620"/>
      <c r="E1620"/>
      <c r="F1620"/>
      <c r="G1620"/>
      <c r="H1620"/>
      <c r="I1620"/>
      <c r="J1620"/>
      <c r="K1620"/>
      <c r="L1620"/>
      <c r="M1620"/>
      <c r="N1620"/>
      <c r="O1620" s="11" t="str">
        <f t="shared" si="24"/>
        <v/>
      </c>
      <c r="P1620"/>
      <c r="Q1620" s="11"/>
    </row>
    <row r="1621" spans="2:17" x14ac:dyDescent="0.35">
      <c r="B1621"/>
      <c r="C1621"/>
      <c r="D1621"/>
      <c r="E1621"/>
      <c r="F1621"/>
      <c r="G1621"/>
      <c r="H1621"/>
      <c r="I1621"/>
      <c r="J1621"/>
      <c r="K1621"/>
      <c r="L1621"/>
      <c r="M1621"/>
      <c r="N1621"/>
      <c r="O1621" s="11" t="str">
        <f t="shared" ref="O1621:O1684" si="25">IFERROR(RATE(2033-2026,,-G1621,N1621),"")</f>
        <v/>
      </c>
      <c r="P1621"/>
      <c r="Q1621" s="11"/>
    </row>
    <row r="1622" spans="2:17" x14ac:dyDescent="0.35">
      <c r="B1622"/>
      <c r="C1622"/>
      <c r="D1622"/>
      <c r="E1622"/>
      <c r="F1622"/>
      <c r="G1622"/>
      <c r="H1622"/>
      <c r="I1622"/>
      <c r="J1622"/>
      <c r="K1622"/>
      <c r="L1622"/>
      <c r="M1622"/>
      <c r="N1622"/>
      <c r="O1622" s="11" t="str">
        <f t="shared" si="25"/>
        <v/>
      </c>
      <c r="P1622"/>
      <c r="Q1622" s="11"/>
    </row>
    <row r="1623" spans="2:17" x14ac:dyDescent="0.35">
      <c r="B1623"/>
      <c r="C1623"/>
      <c r="D1623"/>
      <c r="E1623"/>
      <c r="F1623"/>
      <c r="G1623"/>
      <c r="H1623"/>
      <c r="I1623"/>
      <c r="J1623"/>
      <c r="K1623"/>
      <c r="L1623"/>
      <c r="M1623"/>
      <c r="N1623"/>
      <c r="O1623" s="11" t="str">
        <f t="shared" si="25"/>
        <v/>
      </c>
      <c r="P1623"/>
      <c r="Q1623" s="11"/>
    </row>
    <row r="1624" spans="2:17" x14ac:dyDescent="0.35">
      <c r="B1624"/>
      <c r="C1624"/>
      <c r="D1624"/>
      <c r="E1624"/>
      <c r="F1624"/>
      <c r="G1624"/>
      <c r="H1624"/>
      <c r="I1624"/>
      <c r="J1624"/>
      <c r="K1624"/>
      <c r="L1624"/>
      <c r="M1624"/>
      <c r="N1624"/>
      <c r="O1624" s="11" t="str">
        <f t="shared" si="25"/>
        <v/>
      </c>
      <c r="P1624"/>
      <c r="Q1624" s="11"/>
    </row>
    <row r="1625" spans="2:17" x14ac:dyDescent="0.35">
      <c r="B1625"/>
      <c r="C1625"/>
      <c r="D1625"/>
      <c r="E1625"/>
      <c r="F1625"/>
      <c r="G1625"/>
      <c r="H1625"/>
      <c r="I1625"/>
      <c r="J1625"/>
      <c r="K1625"/>
      <c r="L1625"/>
      <c r="M1625"/>
      <c r="N1625"/>
      <c r="O1625" s="11" t="str">
        <f t="shared" si="25"/>
        <v/>
      </c>
      <c r="P1625"/>
      <c r="Q1625" s="11"/>
    </row>
    <row r="1626" spans="2:17" x14ac:dyDescent="0.35">
      <c r="B1626"/>
      <c r="C1626"/>
      <c r="D1626"/>
      <c r="E1626"/>
      <c r="F1626"/>
      <c r="G1626"/>
      <c r="H1626"/>
      <c r="I1626"/>
      <c r="J1626"/>
      <c r="K1626"/>
      <c r="L1626"/>
      <c r="M1626"/>
      <c r="N1626"/>
      <c r="O1626" s="11" t="str">
        <f t="shared" si="25"/>
        <v/>
      </c>
      <c r="P1626"/>
      <c r="Q1626" s="11"/>
    </row>
    <row r="1627" spans="2:17" x14ac:dyDescent="0.35">
      <c r="B1627"/>
      <c r="C1627"/>
      <c r="D1627"/>
      <c r="E1627"/>
      <c r="F1627"/>
      <c r="G1627"/>
      <c r="H1627"/>
      <c r="I1627"/>
      <c r="J1627"/>
      <c r="K1627"/>
      <c r="L1627"/>
      <c r="M1627"/>
      <c r="N1627"/>
      <c r="O1627" s="11" t="str">
        <f t="shared" si="25"/>
        <v/>
      </c>
      <c r="P1627"/>
      <c r="Q1627" s="11"/>
    </row>
    <row r="1628" spans="2:17" x14ac:dyDescent="0.35">
      <c r="B1628"/>
      <c r="C1628"/>
      <c r="D1628"/>
      <c r="E1628"/>
      <c r="F1628"/>
      <c r="G1628"/>
      <c r="H1628"/>
      <c r="I1628"/>
      <c r="J1628"/>
      <c r="K1628"/>
      <c r="L1628"/>
      <c r="M1628"/>
      <c r="N1628"/>
      <c r="O1628" s="11" t="str">
        <f t="shared" si="25"/>
        <v/>
      </c>
      <c r="P1628"/>
      <c r="Q1628" s="11"/>
    </row>
    <row r="1629" spans="2:17" x14ac:dyDescent="0.35">
      <c r="B1629"/>
      <c r="C1629"/>
      <c r="D1629"/>
      <c r="E1629"/>
      <c r="F1629"/>
      <c r="G1629"/>
      <c r="H1629"/>
      <c r="I1629"/>
      <c r="J1629"/>
      <c r="K1629"/>
      <c r="L1629"/>
      <c r="M1629"/>
      <c r="N1629"/>
      <c r="O1629" s="11" t="str">
        <f t="shared" si="25"/>
        <v/>
      </c>
      <c r="P1629"/>
      <c r="Q1629" s="11"/>
    </row>
    <row r="1630" spans="2:17" x14ac:dyDescent="0.35">
      <c r="B1630"/>
      <c r="C1630"/>
      <c r="D1630"/>
      <c r="E1630"/>
      <c r="F1630"/>
      <c r="G1630"/>
      <c r="H1630"/>
      <c r="I1630"/>
      <c r="J1630"/>
      <c r="K1630"/>
      <c r="L1630"/>
      <c r="M1630"/>
      <c r="N1630"/>
      <c r="O1630" s="11" t="str">
        <f t="shared" si="25"/>
        <v/>
      </c>
      <c r="P1630"/>
      <c r="Q1630" s="11"/>
    </row>
    <row r="1631" spans="2:17" x14ac:dyDescent="0.35">
      <c r="B1631"/>
      <c r="C1631"/>
      <c r="D1631"/>
      <c r="E1631"/>
      <c r="F1631"/>
      <c r="G1631"/>
      <c r="H1631"/>
      <c r="I1631"/>
      <c r="J1631"/>
      <c r="K1631"/>
      <c r="L1631"/>
      <c r="M1631"/>
      <c r="N1631"/>
      <c r="O1631" s="11" t="str">
        <f t="shared" si="25"/>
        <v/>
      </c>
      <c r="P1631"/>
      <c r="Q1631" s="11"/>
    </row>
    <row r="1632" spans="2:17" x14ac:dyDescent="0.35">
      <c r="B1632"/>
      <c r="C1632"/>
      <c r="D1632"/>
      <c r="E1632"/>
      <c r="F1632"/>
      <c r="G1632"/>
      <c r="H1632"/>
      <c r="I1632"/>
      <c r="J1632"/>
      <c r="K1632"/>
      <c r="L1632"/>
      <c r="M1632"/>
      <c r="N1632"/>
      <c r="O1632" s="11" t="str">
        <f t="shared" si="25"/>
        <v/>
      </c>
      <c r="P1632"/>
      <c r="Q1632" s="11"/>
    </row>
    <row r="1633" spans="2:17" x14ac:dyDescent="0.35">
      <c r="B1633"/>
      <c r="C1633"/>
      <c r="D1633"/>
      <c r="E1633"/>
      <c r="F1633"/>
      <c r="G1633"/>
      <c r="H1633"/>
      <c r="I1633"/>
      <c r="J1633"/>
      <c r="K1633"/>
      <c r="L1633"/>
      <c r="M1633"/>
      <c r="N1633"/>
      <c r="O1633" s="11" t="str">
        <f t="shared" si="25"/>
        <v/>
      </c>
      <c r="P1633"/>
      <c r="Q1633" s="11"/>
    </row>
    <row r="1634" spans="2:17" x14ac:dyDescent="0.35">
      <c r="B1634"/>
      <c r="C1634"/>
      <c r="D1634"/>
      <c r="E1634"/>
      <c r="F1634"/>
      <c r="G1634"/>
      <c r="H1634"/>
      <c r="I1634"/>
      <c r="J1634"/>
      <c r="K1634"/>
      <c r="L1634"/>
      <c r="M1634"/>
      <c r="N1634"/>
      <c r="O1634" s="11" t="str">
        <f t="shared" si="25"/>
        <v/>
      </c>
      <c r="P1634"/>
      <c r="Q1634" s="11"/>
    </row>
    <row r="1635" spans="2:17" x14ac:dyDescent="0.35">
      <c r="B1635"/>
      <c r="C1635"/>
      <c r="D1635"/>
      <c r="E1635"/>
      <c r="F1635"/>
      <c r="G1635"/>
      <c r="H1635"/>
      <c r="I1635"/>
      <c r="J1635"/>
      <c r="K1635"/>
      <c r="L1635"/>
      <c r="M1635"/>
      <c r="N1635"/>
      <c r="O1635" s="11" t="str">
        <f t="shared" si="25"/>
        <v/>
      </c>
      <c r="P1635"/>
      <c r="Q1635" s="11"/>
    </row>
    <row r="1636" spans="2:17" x14ac:dyDescent="0.35">
      <c r="B1636"/>
      <c r="C1636"/>
      <c r="D1636"/>
      <c r="E1636"/>
      <c r="F1636"/>
      <c r="G1636"/>
      <c r="H1636"/>
      <c r="I1636"/>
      <c r="J1636"/>
      <c r="K1636"/>
      <c r="L1636"/>
      <c r="M1636"/>
      <c r="N1636"/>
      <c r="O1636" s="11" t="str">
        <f t="shared" si="25"/>
        <v/>
      </c>
      <c r="P1636"/>
      <c r="Q1636" s="11"/>
    </row>
    <row r="1637" spans="2:17" x14ac:dyDescent="0.35">
      <c r="B1637"/>
      <c r="C1637"/>
      <c r="D1637"/>
      <c r="E1637"/>
      <c r="F1637"/>
      <c r="G1637"/>
      <c r="H1637"/>
      <c r="I1637"/>
      <c r="J1637"/>
      <c r="K1637"/>
      <c r="L1637"/>
      <c r="M1637"/>
      <c r="N1637"/>
      <c r="O1637" s="11" t="str">
        <f t="shared" si="25"/>
        <v/>
      </c>
      <c r="P1637"/>
      <c r="Q1637" s="11"/>
    </row>
    <row r="1638" spans="2:17" x14ac:dyDescent="0.35">
      <c r="B1638"/>
      <c r="C1638"/>
      <c r="D1638"/>
      <c r="E1638"/>
      <c r="F1638"/>
      <c r="G1638"/>
      <c r="H1638"/>
      <c r="I1638"/>
      <c r="J1638"/>
      <c r="K1638"/>
      <c r="L1638"/>
      <c r="M1638"/>
      <c r="N1638"/>
      <c r="O1638" s="11" t="str">
        <f t="shared" si="25"/>
        <v/>
      </c>
      <c r="P1638"/>
      <c r="Q1638" s="11"/>
    </row>
    <row r="1639" spans="2:17" x14ac:dyDescent="0.35">
      <c r="B1639"/>
      <c r="C1639"/>
      <c r="D1639"/>
      <c r="E1639"/>
      <c r="F1639"/>
      <c r="G1639"/>
      <c r="H1639"/>
      <c r="I1639"/>
      <c r="J1639"/>
      <c r="K1639"/>
      <c r="L1639"/>
      <c r="M1639"/>
      <c r="N1639"/>
      <c r="O1639" s="11" t="str">
        <f t="shared" si="25"/>
        <v/>
      </c>
      <c r="P1639"/>
      <c r="Q1639" s="11"/>
    </row>
    <row r="1640" spans="2:17" x14ac:dyDescent="0.35">
      <c r="B1640"/>
      <c r="C1640"/>
      <c r="D1640"/>
      <c r="E1640"/>
      <c r="F1640"/>
      <c r="G1640"/>
      <c r="H1640"/>
      <c r="I1640"/>
      <c r="J1640"/>
      <c r="K1640"/>
      <c r="L1640"/>
      <c r="M1640"/>
      <c r="N1640"/>
      <c r="O1640" s="11" t="str">
        <f t="shared" si="25"/>
        <v/>
      </c>
      <c r="P1640"/>
      <c r="Q1640" s="11"/>
    </row>
    <row r="1641" spans="2:17" x14ac:dyDescent="0.35">
      <c r="B1641"/>
      <c r="C1641"/>
      <c r="D1641"/>
      <c r="E1641"/>
      <c r="F1641"/>
      <c r="G1641"/>
      <c r="H1641"/>
      <c r="I1641"/>
      <c r="J1641"/>
      <c r="K1641"/>
      <c r="L1641"/>
      <c r="M1641"/>
      <c r="N1641"/>
      <c r="O1641" s="11" t="str">
        <f t="shared" si="25"/>
        <v/>
      </c>
      <c r="P1641"/>
      <c r="Q1641" s="11"/>
    </row>
    <row r="1642" spans="2:17" x14ac:dyDescent="0.35">
      <c r="B1642"/>
      <c r="C1642"/>
      <c r="D1642"/>
      <c r="E1642"/>
      <c r="F1642"/>
      <c r="G1642"/>
      <c r="H1642"/>
      <c r="I1642"/>
      <c r="J1642"/>
      <c r="K1642"/>
      <c r="L1642"/>
      <c r="M1642"/>
      <c r="N1642"/>
      <c r="O1642" s="11" t="str">
        <f t="shared" si="25"/>
        <v/>
      </c>
      <c r="P1642"/>
      <c r="Q1642" s="11"/>
    </row>
    <row r="1643" spans="2:17" x14ac:dyDescent="0.35">
      <c r="B1643"/>
      <c r="C1643"/>
      <c r="D1643"/>
      <c r="E1643"/>
      <c r="F1643"/>
      <c r="G1643"/>
      <c r="H1643"/>
      <c r="I1643"/>
      <c r="J1643"/>
      <c r="K1643"/>
      <c r="L1643"/>
      <c r="M1643"/>
      <c r="N1643"/>
      <c r="O1643" s="11" t="str">
        <f t="shared" si="25"/>
        <v/>
      </c>
      <c r="P1643"/>
      <c r="Q1643" s="11"/>
    </row>
    <row r="1644" spans="2:17" x14ac:dyDescent="0.35">
      <c r="B1644"/>
      <c r="C1644"/>
      <c r="D1644"/>
      <c r="E1644"/>
      <c r="F1644"/>
      <c r="G1644"/>
      <c r="H1644"/>
      <c r="I1644"/>
      <c r="J1644"/>
      <c r="K1644"/>
      <c r="L1644"/>
      <c r="M1644"/>
      <c r="N1644"/>
      <c r="O1644" s="11" t="str">
        <f t="shared" si="25"/>
        <v/>
      </c>
      <c r="P1644"/>
      <c r="Q1644" s="11"/>
    </row>
    <row r="1645" spans="2:17" x14ac:dyDescent="0.35">
      <c r="B1645"/>
      <c r="C1645"/>
      <c r="D1645"/>
      <c r="E1645"/>
      <c r="F1645"/>
      <c r="G1645"/>
      <c r="H1645"/>
      <c r="I1645"/>
      <c r="J1645"/>
      <c r="K1645"/>
      <c r="L1645"/>
      <c r="M1645"/>
      <c r="N1645"/>
      <c r="O1645" s="11" t="str">
        <f t="shared" si="25"/>
        <v/>
      </c>
      <c r="P1645"/>
      <c r="Q1645" s="11"/>
    </row>
    <row r="1646" spans="2:17" x14ac:dyDescent="0.35">
      <c r="B1646"/>
      <c r="C1646"/>
      <c r="D1646"/>
      <c r="E1646"/>
      <c r="F1646"/>
      <c r="G1646"/>
      <c r="H1646"/>
      <c r="I1646"/>
      <c r="J1646"/>
      <c r="K1646"/>
      <c r="L1646"/>
      <c r="M1646"/>
      <c r="N1646"/>
      <c r="O1646" s="11" t="str">
        <f t="shared" si="25"/>
        <v/>
      </c>
      <c r="P1646"/>
      <c r="Q1646" s="11"/>
    </row>
    <row r="1647" spans="2:17" x14ac:dyDescent="0.35">
      <c r="B1647"/>
      <c r="C1647"/>
      <c r="D1647"/>
      <c r="E1647"/>
      <c r="F1647"/>
      <c r="G1647"/>
      <c r="H1647"/>
      <c r="I1647"/>
      <c r="J1647"/>
      <c r="K1647"/>
      <c r="L1647"/>
      <c r="M1647"/>
      <c r="N1647"/>
      <c r="O1647" s="11" t="str">
        <f t="shared" si="25"/>
        <v/>
      </c>
      <c r="P1647"/>
      <c r="Q1647" s="11"/>
    </row>
    <row r="1648" spans="2:17" x14ac:dyDescent="0.35">
      <c r="B1648"/>
      <c r="C1648"/>
      <c r="D1648"/>
      <c r="E1648"/>
      <c r="F1648"/>
      <c r="G1648"/>
      <c r="H1648"/>
      <c r="I1648"/>
      <c r="J1648"/>
      <c r="K1648"/>
      <c r="L1648"/>
      <c r="M1648"/>
      <c r="N1648"/>
      <c r="O1648" s="11" t="str">
        <f t="shared" si="25"/>
        <v/>
      </c>
      <c r="P1648"/>
      <c r="Q1648" s="11"/>
    </row>
    <row r="1649" spans="2:17" x14ac:dyDescent="0.35">
      <c r="B1649"/>
      <c r="C1649"/>
      <c r="D1649"/>
      <c r="E1649"/>
      <c r="F1649"/>
      <c r="G1649"/>
      <c r="H1649"/>
      <c r="I1649"/>
      <c r="J1649"/>
      <c r="K1649"/>
      <c r="L1649"/>
      <c r="M1649"/>
      <c r="N1649"/>
      <c r="O1649" s="11" t="str">
        <f t="shared" si="25"/>
        <v/>
      </c>
      <c r="P1649"/>
      <c r="Q1649" s="11"/>
    </row>
    <row r="1650" spans="2:17" x14ac:dyDescent="0.35">
      <c r="B1650"/>
      <c r="C1650"/>
      <c r="D1650"/>
      <c r="E1650"/>
      <c r="F1650"/>
      <c r="G1650"/>
      <c r="H1650"/>
      <c r="I1650"/>
      <c r="J1650"/>
      <c r="K1650"/>
      <c r="L1650"/>
      <c r="M1650"/>
      <c r="N1650"/>
      <c r="O1650" s="11" t="str">
        <f t="shared" si="25"/>
        <v/>
      </c>
      <c r="P1650"/>
      <c r="Q1650" s="11"/>
    </row>
    <row r="1651" spans="2:17" x14ac:dyDescent="0.35">
      <c r="B1651"/>
      <c r="C1651"/>
      <c r="D1651"/>
      <c r="E1651"/>
      <c r="F1651"/>
      <c r="G1651"/>
      <c r="H1651"/>
      <c r="I1651"/>
      <c r="J1651"/>
      <c r="K1651"/>
      <c r="L1651"/>
      <c r="M1651"/>
      <c r="N1651"/>
      <c r="O1651" s="11" t="str">
        <f t="shared" si="25"/>
        <v/>
      </c>
      <c r="P1651"/>
      <c r="Q1651" s="11"/>
    </row>
    <row r="1652" spans="2:17" x14ac:dyDescent="0.35">
      <c r="B1652"/>
      <c r="C1652"/>
      <c r="D1652"/>
      <c r="E1652"/>
      <c r="F1652"/>
      <c r="G1652"/>
      <c r="H1652"/>
      <c r="I1652"/>
      <c r="J1652"/>
      <c r="K1652"/>
      <c r="L1652"/>
      <c r="M1652"/>
      <c r="N1652"/>
      <c r="O1652" s="11" t="str">
        <f t="shared" si="25"/>
        <v/>
      </c>
      <c r="P1652"/>
      <c r="Q1652" s="11"/>
    </row>
    <row r="1653" spans="2:17" x14ac:dyDescent="0.35">
      <c r="B1653"/>
      <c r="C1653"/>
      <c r="D1653"/>
      <c r="E1653"/>
      <c r="F1653"/>
      <c r="G1653"/>
      <c r="H1653"/>
      <c r="I1653"/>
      <c r="J1653"/>
      <c r="K1653"/>
      <c r="L1653"/>
      <c r="M1653"/>
      <c r="N1653"/>
      <c r="O1653" s="11" t="str">
        <f t="shared" si="25"/>
        <v/>
      </c>
      <c r="P1653"/>
      <c r="Q1653" s="11"/>
    </row>
    <row r="1654" spans="2:17" x14ac:dyDescent="0.35">
      <c r="B1654"/>
      <c r="C1654"/>
      <c r="D1654"/>
      <c r="E1654"/>
      <c r="F1654"/>
      <c r="G1654"/>
      <c r="H1654"/>
      <c r="I1654"/>
      <c r="J1654"/>
      <c r="K1654"/>
      <c r="L1654"/>
      <c r="M1654"/>
      <c r="N1654"/>
      <c r="O1654" s="11" t="str">
        <f t="shared" si="25"/>
        <v/>
      </c>
      <c r="P1654"/>
      <c r="Q1654" s="11"/>
    </row>
    <row r="1655" spans="2:17" x14ac:dyDescent="0.35">
      <c r="B1655"/>
      <c r="C1655"/>
      <c r="D1655"/>
      <c r="E1655"/>
      <c r="F1655"/>
      <c r="G1655"/>
      <c r="H1655"/>
      <c r="I1655"/>
      <c r="J1655"/>
      <c r="K1655"/>
      <c r="L1655"/>
      <c r="M1655"/>
      <c r="N1655"/>
      <c r="O1655" s="11" t="str">
        <f t="shared" si="25"/>
        <v/>
      </c>
      <c r="P1655"/>
      <c r="Q1655" s="11"/>
    </row>
    <row r="1656" spans="2:17" x14ac:dyDescent="0.35">
      <c r="B1656"/>
      <c r="C1656"/>
      <c r="D1656"/>
      <c r="E1656"/>
      <c r="F1656"/>
      <c r="G1656"/>
      <c r="H1656"/>
      <c r="I1656"/>
      <c r="J1656"/>
      <c r="K1656"/>
      <c r="L1656"/>
      <c r="M1656"/>
      <c r="N1656"/>
      <c r="O1656" s="11" t="str">
        <f t="shared" si="25"/>
        <v/>
      </c>
      <c r="P1656"/>
      <c r="Q1656" s="11"/>
    </row>
    <row r="1657" spans="2:17" x14ac:dyDescent="0.35">
      <c r="B1657"/>
      <c r="C1657"/>
      <c r="D1657"/>
      <c r="E1657"/>
      <c r="F1657"/>
      <c r="G1657"/>
      <c r="H1657"/>
      <c r="I1657"/>
      <c r="J1657"/>
      <c r="K1657"/>
      <c r="L1657"/>
      <c r="M1657"/>
      <c r="N1657"/>
      <c r="O1657" s="11" t="str">
        <f t="shared" si="25"/>
        <v/>
      </c>
      <c r="P1657"/>
      <c r="Q1657" s="11"/>
    </row>
    <row r="1658" spans="2:17" x14ac:dyDescent="0.35">
      <c r="B1658"/>
      <c r="C1658"/>
      <c r="D1658"/>
      <c r="E1658"/>
      <c r="F1658"/>
      <c r="G1658"/>
      <c r="H1658"/>
      <c r="I1658"/>
      <c r="J1658"/>
      <c r="K1658"/>
      <c r="L1658"/>
      <c r="M1658"/>
      <c r="N1658"/>
      <c r="O1658" s="11" t="str">
        <f t="shared" si="25"/>
        <v/>
      </c>
      <c r="P1658"/>
      <c r="Q1658" s="11"/>
    </row>
    <row r="1659" spans="2:17" x14ac:dyDescent="0.35">
      <c r="B1659"/>
      <c r="C1659"/>
      <c r="D1659"/>
      <c r="E1659"/>
      <c r="F1659"/>
      <c r="G1659"/>
      <c r="H1659"/>
      <c r="I1659"/>
      <c r="J1659"/>
      <c r="K1659"/>
      <c r="L1659"/>
      <c r="M1659"/>
      <c r="N1659"/>
      <c r="O1659" s="11" t="str">
        <f t="shared" si="25"/>
        <v/>
      </c>
      <c r="P1659"/>
      <c r="Q1659" s="11"/>
    </row>
    <row r="1660" spans="2:17" x14ac:dyDescent="0.35">
      <c r="B1660"/>
      <c r="C1660"/>
      <c r="D1660"/>
      <c r="E1660"/>
      <c r="F1660"/>
      <c r="G1660"/>
      <c r="H1660"/>
      <c r="I1660"/>
      <c r="J1660"/>
      <c r="K1660"/>
      <c r="L1660"/>
      <c r="M1660"/>
      <c r="N1660"/>
      <c r="O1660" s="11" t="str">
        <f t="shared" si="25"/>
        <v/>
      </c>
      <c r="P1660"/>
      <c r="Q1660" s="11"/>
    </row>
    <row r="1661" spans="2:17" x14ac:dyDescent="0.35">
      <c r="B1661"/>
      <c r="C1661"/>
      <c r="D1661"/>
      <c r="E1661"/>
      <c r="F1661"/>
      <c r="G1661"/>
      <c r="H1661"/>
      <c r="I1661"/>
      <c r="J1661"/>
      <c r="K1661"/>
      <c r="L1661"/>
      <c r="M1661"/>
      <c r="N1661"/>
      <c r="O1661" s="11" t="str">
        <f t="shared" si="25"/>
        <v/>
      </c>
      <c r="P1661"/>
      <c r="Q1661" s="11"/>
    </row>
    <row r="1662" spans="2:17" x14ac:dyDescent="0.35">
      <c r="B1662"/>
      <c r="C1662"/>
      <c r="D1662"/>
      <c r="E1662"/>
      <c r="F1662"/>
      <c r="G1662"/>
      <c r="H1662"/>
      <c r="I1662"/>
      <c r="J1662"/>
      <c r="K1662"/>
      <c r="L1662"/>
      <c r="M1662"/>
      <c r="N1662"/>
      <c r="O1662" s="11" t="str">
        <f t="shared" si="25"/>
        <v/>
      </c>
      <c r="P1662"/>
      <c r="Q1662" s="11"/>
    </row>
    <row r="1663" spans="2:17" x14ac:dyDescent="0.35">
      <c r="B1663"/>
      <c r="C1663"/>
      <c r="D1663"/>
      <c r="E1663"/>
      <c r="F1663"/>
      <c r="G1663"/>
      <c r="H1663"/>
      <c r="I1663"/>
      <c r="J1663"/>
      <c r="K1663"/>
      <c r="L1663"/>
      <c r="M1663"/>
      <c r="N1663"/>
      <c r="O1663" s="11" t="str">
        <f t="shared" si="25"/>
        <v/>
      </c>
      <c r="P1663"/>
      <c r="Q1663" s="11"/>
    </row>
    <row r="1664" spans="2:17" x14ac:dyDescent="0.35">
      <c r="B1664"/>
      <c r="C1664"/>
      <c r="D1664"/>
      <c r="E1664"/>
      <c r="F1664"/>
      <c r="G1664"/>
      <c r="H1664"/>
      <c r="I1664"/>
      <c r="J1664"/>
      <c r="K1664"/>
      <c r="L1664"/>
      <c r="M1664"/>
      <c r="N1664"/>
      <c r="O1664" s="11" t="str">
        <f t="shared" si="25"/>
        <v/>
      </c>
      <c r="P1664"/>
      <c r="Q1664" s="11"/>
    </row>
    <row r="1665" spans="2:17" x14ac:dyDescent="0.35">
      <c r="B1665"/>
      <c r="C1665"/>
      <c r="D1665"/>
      <c r="E1665"/>
      <c r="F1665"/>
      <c r="G1665"/>
      <c r="H1665"/>
      <c r="I1665"/>
      <c r="J1665"/>
      <c r="K1665"/>
      <c r="L1665"/>
      <c r="M1665"/>
      <c r="N1665"/>
      <c r="O1665" s="11" t="str">
        <f t="shared" si="25"/>
        <v/>
      </c>
      <c r="P1665"/>
      <c r="Q1665" s="11"/>
    </row>
    <row r="1666" spans="2:17" x14ac:dyDescent="0.35">
      <c r="B1666"/>
      <c r="C1666"/>
      <c r="D1666"/>
      <c r="E1666"/>
      <c r="F1666"/>
      <c r="G1666"/>
      <c r="H1666"/>
      <c r="I1666"/>
      <c r="J1666"/>
      <c r="K1666"/>
      <c r="L1666"/>
      <c r="M1666"/>
      <c r="N1666"/>
      <c r="O1666" s="11" t="str">
        <f t="shared" si="25"/>
        <v/>
      </c>
      <c r="P1666"/>
      <c r="Q1666" s="11"/>
    </row>
    <row r="1667" spans="2:17" x14ac:dyDescent="0.35">
      <c r="B1667"/>
      <c r="C1667"/>
      <c r="D1667"/>
      <c r="E1667"/>
      <c r="F1667"/>
      <c r="G1667"/>
      <c r="H1667"/>
      <c r="I1667"/>
      <c r="J1667"/>
      <c r="K1667"/>
      <c r="L1667"/>
      <c r="M1667"/>
      <c r="N1667"/>
      <c r="O1667" s="11" t="str">
        <f t="shared" si="25"/>
        <v/>
      </c>
      <c r="P1667"/>
      <c r="Q1667" s="11"/>
    </row>
    <row r="1668" spans="2:17" x14ac:dyDescent="0.35">
      <c r="B1668"/>
      <c r="C1668"/>
      <c r="D1668"/>
      <c r="E1668"/>
      <c r="F1668"/>
      <c r="G1668"/>
      <c r="H1668"/>
      <c r="I1668"/>
      <c r="J1668"/>
      <c r="K1668"/>
      <c r="L1668"/>
      <c r="M1668"/>
      <c r="N1668"/>
      <c r="O1668" s="11" t="str">
        <f t="shared" si="25"/>
        <v/>
      </c>
      <c r="P1668"/>
      <c r="Q1668" s="11"/>
    </row>
    <row r="1669" spans="2:17" x14ac:dyDescent="0.35">
      <c r="B1669"/>
      <c r="C1669"/>
      <c r="D1669"/>
      <c r="E1669"/>
      <c r="F1669"/>
      <c r="G1669"/>
      <c r="H1669"/>
      <c r="I1669"/>
      <c r="J1669"/>
      <c r="K1669"/>
      <c r="L1669"/>
      <c r="M1669"/>
      <c r="N1669"/>
      <c r="O1669" s="11" t="str">
        <f t="shared" si="25"/>
        <v/>
      </c>
      <c r="P1669"/>
      <c r="Q1669" s="11"/>
    </row>
    <row r="1670" spans="2:17" x14ac:dyDescent="0.35">
      <c r="B1670"/>
      <c r="C1670"/>
      <c r="D1670"/>
      <c r="E1670"/>
      <c r="F1670"/>
      <c r="G1670"/>
      <c r="H1670"/>
      <c r="I1670"/>
      <c r="J1670"/>
      <c r="K1670"/>
      <c r="L1670"/>
      <c r="M1670"/>
      <c r="N1670"/>
      <c r="O1670" s="11" t="str">
        <f t="shared" si="25"/>
        <v/>
      </c>
      <c r="P1670"/>
      <c r="Q1670" s="11"/>
    </row>
    <row r="1671" spans="2:17" x14ac:dyDescent="0.35">
      <c r="B1671"/>
      <c r="C1671"/>
      <c r="D1671"/>
      <c r="E1671"/>
      <c r="F1671"/>
      <c r="G1671"/>
      <c r="H1671"/>
      <c r="I1671"/>
      <c r="J1671"/>
      <c r="K1671"/>
      <c r="L1671"/>
      <c r="M1671"/>
      <c r="N1671"/>
      <c r="O1671" s="11" t="str">
        <f t="shared" si="25"/>
        <v/>
      </c>
      <c r="P1671"/>
      <c r="Q1671" s="11"/>
    </row>
    <row r="1672" spans="2:17" x14ac:dyDescent="0.35">
      <c r="B1672"/>
      <c r="C1672"/>
      <c r="D1672"/>
      <c r="E1672"/>
      <c r="F1672"/>
      <c r="G1672"/>
      <c r="H1672"/>
      <c r="I1672"/>
      <c r="J1672"/>
      <c r="K1672"/>
      <c r="L1672"/>
      <c r="M1672"/>
      <c r="N1672"/>
      <c r="O1672" s="11" t="str">
        <f t="shared" si="25"/>
        <v/>
      </c>
      <c r="P1672"/>
      <c r="Q1672" s="11"/>
    </row>
    <row r="1673" spans="2:17" x14ac:dyDescent="0.35">
      <c r="B1673"/>
      <c r="C1673"/>
      <c r="D1673"/>
      <c r="E1673"/>
      <c r="F1673"/>
      <c r="G1673"/>
      <c r="H1673"/>
      <c r="I1673"/>
      <c r="J1673"/>
      <c r="K1673"/>
      <c r="L1673"/>
      <c r="M1673"/>
      <c r="N1673"/>
      <c r="O1673" s="11" t="str">
        <f t="shared" si="25"/>
        <v/>
      </c>
      <c r="P1673"/>
      <c r="Q1673" s="11"/>
    </row>
    <row r="1674" spans="2:17" x14ac:dyDescent="0.35">
      <c r="B1674"/>
      <c r="C1674"/>
      <c r="D1674"/>
      <c r="E1674"/>
      <c r="F1674"/>
      <c r="G1674"/>
      <c r="H1674"/>
      <c r="I1674"/>
      <c r="J1674"/>
      <c r="K1674"/>
      <c r="L1674"/>
      <c r="M1674"/>
      <c r="N1674"/>
      <c r="O1674" s="11" t="str">
        <f t="shared" si="25"/>
        <v/>
      </c>
      <c r="P1674"/>
      <c r="Q1674" s="11"/>
    </row>
    <row r="1675" spans="2:17" x14ac:dyDescent="0.35">
      <c r="B1675"/>
      <c r="C1675"/>
      <c r="D1675"/>
      <c r="E1675"/>
      <c r="F1675"/>
      <c r="G1675"/>
      <c r="H1675"/>
      <c r="I1675"/>
      <c r="J1675"/>
      <c r="K1675"/>
      <c r="L1675"/>
      <c r="M1675"/>
      <c r="N1675"/>
      <c r="O1675" s="11" t="str">
        <f t="shared" si="25"/>
        <v/>
      </c>
      <c r="P1675"/>
      <c r="Q1675" s="11"/>
    </row>
    <row r="1676" spans="2:17" x14ac:dyDescent="0.35">
      <c r="B1676"/>
      <c r="C1676"/>
      <c r="D1676"/>
      <c r="E1676"/>
      <c r="F1676"/>
      <c r="G1676"/>
      <c r="H1676"/>
      <c r="I1676"/>
      <c r="J1676"/>
      <c r="K1676"/>
      <c r="L1676"/>
      <c r="M1676"/>
      <c r="N1676"/>
      <c r="O1676" s="11" t="str">
        <f t="shared" si="25"/>
        <v/>
      </c>
      <c r="P1676"/>
      <c r="Q1676" s="11"/>
    </row>
    <row r="1677" spans="2:17" x14ac:dyDescent="0.35">
      <c r="B1677"/>
      <c r="C1677"/>
      <c r="D1677"/>
      <c r="E1677"/>
      <c r="F1677"/>
      <c r="G1677"/>
      <c r="H1677"/>
      <c r="I1677"/>
      <c r="J1677"/>
      <c r="K1677"/>
      <c r="L1677"/>
      <c r="M1677"/>
      <c r="N1677"/>
      <c r="O1677" s="11" t="str">
        <f t="shared" si="25"/>
        <v/>
      </c>
      <c r="P1677"/>
      <c r="Q1677" s="11"/>
    </row>
    <row r="1678" spans="2:17" x14ac:dyDescent="0.35">
      <c r="B1678"/>
      <c r="C1678"/>
      <c r="D1678"/>
      <c r="E1678"/>
      <c r="F1678"/>
      <c r="G1678"/>
      <c r="H1678"/>
      <c r="I1678"/>
      <c r="J1678"/>
      <c r="K1678"/>
      <c r="L1678"/>
      <c r="M1678"/>
      <c r="N1678"/>
      <c r="O1678" s="11" t="str">
        <f t="shared" si="25"/>
        <v/>
      </c>
      <c r="P1678"/>
      <c r="Q1678" s="11"/>
    </row>
    <row r="1679" spans="2:17" x14ac:dyDescent="0.35">
      <c r="B1679"/>
      <c r="C1679"/>
      <c r="D1679"/>
      <c r="E1679"/>
      <c r="F1679"/>
      <c r="G1679"/>
      <c r="H1679"/>
      <c r="I1679"/>
      <c r="J1679"/>
      <c r="K1679"/>
      <c r="L1679"/>
      <c r="M1679"/>
      <c r="N1679"/>
      <c r="O1679" s="11" t="str">
        <f t="shared" si="25"/>
        <v/>
      </c>
      <c r="P1679"/>
      <c r="Q1679" s="11"/>
    </row>
    <row r="1680" spans="2:17" x14ac:dyDescent="0.35">
      <c r="B1680"/>
      <c r="C1680"/>
      <c r="D1680"/>
      <c r="E1680"/>
      <c r="F1680"/>
      <c r="G1680"/>
      <c r="H1680"/>
      <c r="I1680"/>
      <c r="J1680"/>
      <c r="K1680"/>
      <c r="L1680"/>
      <c r="M1680"/>
      <c r="N1680"/>
      <c r="O1680" s="11" t="str">
        <f t="shared" si="25"/>
        <v/>
      </c>
      <c r="P1680"/>
      <c r="Q1680" s="11"/>
    </row>
    <row r="1681" spans="2:17" x14ac:dyDescent="0.35">
      <c r="B1681"/>
      <c r="C1681"/>
      <c r="D1681"/>
      <c r="E1681"/>
      <c r="F1681"/>
      <c r="G1681"/>
      <c r="H1681"/>
      <c r="I1681"/>
      <c r="J1681"/>
      <c r="K1681"/>
      <c r="L1681"/>
      <c r="M1681"/>
      <c r="N1681"/>
      <c r="O1681" s="11" t="str">
        <f t="shared" si="25"/>
        <v/>
      </c>
      <c r="P1681"/>
      <c r="Q1681" s="11"/>
    </row>
    <row r="1682" spans="2:17" x14ac:dyDescent="0.35">
      <c r="B1682"/>
      <c r="C1682"/>
      <c r="D1682"/>
      <c r="E1682"/>
      <c r="F1682"/>
      <c r="G1682"/>
      <c r="H1682"/>
      <c r="I1682"/>
      <c r="J1682"/>
      <c r="K1682"/>
      <c r="L1682"/>
      <c r="M1682"/>
      <c r="N1682"/>
      <c r="O1682" s="11" t="str">
        <f t="shared" si="25"/>
        <v/>
      </c>
      <c r="P1682"/>
      <c r="Q1682" s="11"/>
    </row>
    <row r="1683" spans="2:17" x14ac:dyDescent="0.35">
      <c r="B1683"/>
      <c r="C1683"/>
      <c r="D1683"/>
      <c r="E1683"/>
      <c r="F1683"/>
      <c r="G1683"/>
      <c r="H1683"/>
      <c r="I1683"/>
      <c r="J1683"/>
      <c r="K1683"/>
      <c r="L1683"/>
      <c r="M1683"/>
      <c r="N1683"/>
      <c r="O1683" s="11" t="str">
        <f t="shared" si="25"/>
        <v/>
      </c>
      <c r="P1683"/>
      <c r="Q1683" s="11"/>
    </row>
    <row r="1684" spans="2:17" x14ac:dyDescent="0.35">
      <c r="B1684"/>
      <c r="C1684"/>
      <c r="D1684"/>
      <c r="E1684"/>
      <c r="F1684"/>
      <c r="G1684"/>
      <c r="H1684"/>
      <c r="I1684"/>
      <c r="J1684"/>
      <c r="K1684"/>
      <c r="L1684"/>
      <c r="M1684"/>
      <c r="N1684"/>
      <c r="O1684" s="11" t="str">
        <f t="shared" si="25"/>
        <v/>
      </c>
      <c r="P1684"/>
      <c r="Q1684" s="11"/>
    </row>
    <row r="1685" spans="2:17" x14ac:dyDescent="0.35">
      <c r="B1685"/>
      <c r="C1685"/>
      <c r="D1685"/>
      <c r="E1685"/>
      <c r="F1685"/>
      <c r="G1685"/>
      <c r="H1685"/>
      <c r="I1685"/>
      <c r="J1685"/>
      <c r="K1685"/>
      <c r="L1685"/>
      <c r="M1685"/>
      <c r="N1685"/>
      <c r="O1685" s="11" t="str">
        <f t="shared" ref="O1685:O1748" si="26">IFERROR(RATE(2033-2026,,-G1685,N1685),"")</f>
        <v/>
      </c>
      <c r="P1685"/>
      <c r="Q1685" s="11"/>
    </row>
    <row r="1686" spans="2:17" x14ac:dyDescent="0.35">
      <c r="B1686"/>
      <c r="C1686"/>
      <c r="D1686"/>
      <c r="E1686"/>
      <c r="F1686"/>
      <c r="G1686"/>
      <c r="H1686"/>
      <c r="I1686"/>
      <c r="J1686"/>
      <c r="K1686"/>
      <c r="L1686"/>
      <c r="M1686"/>
      <c r="N1686"/>
      <c r="O1686" s="11" t="str">
        <f t="shared" si="26"/>
        <v/>
      </c>
      <c r="P1686"/>
      <c r="Q1686" s="11"/>
    </row>
    <row r="1687" spans="2:17" x14ac:dyDescent="0.35">
      <c r="B1687"/>
      <c r="C1687"/>
      <c r="D1687"/>
      <c r="E1687"/>
      <c r="F1687"/>
      <c r="G1687"/>
      <c r="H1687"/>
      <c r="I1687"/>
      <c r="J1687"/>
      <c r="K1687"/>
      <c r="L1687"/>
      <c r="M1687"/>
      <c r="N1687"/>
      <c r="O1687" s="11" t="str">
        <f t="shared" si="26"/>
        <v/>
      </c>
      <c r="P1687"/>
      <c r="Q1687" s="11"/>
    </row>
    <row r="1688" spans="2:17" x14ac:dyDescent="0.35">
      <c r="B1688"/>
      <c r="C1688"/>
      <c r="D1688"/>
      <c r="E1688"/>
      <c r="F1688"/>
      <c r="G1688"/>
      <c r="H1688"/>
      <c r="I1688"/>
      <c r="J1688"/>
      <c r="K1688"/>
      <c r="L1688"/>
      <c r="M1688"/>
      <c r="N1688"/>
      <c r="O1688" s="11" t="str">
        <f t="shared" si="26"/>
        <v/>
      </c>
      <c r="P1688"/>
      <c r="Q1688" s="11"/>
    </row>
    <row r="1689" spans="2:17" x14ac:dyDescent="0.35">
      <c r="B1689"/>
      <c r="C1689"/>
      <c r="D1689"/>
      <c r="E1689"/>
      <c r="F1689"/>
      <c r="G1689"/>
      <c r="H1689"/>
      <c r="I1689"/>
      <c r="J1689"/>
      <c r="K1689"/>
      <c r="L1689"/>
      <c r="M1689"/>
      <c r="N1689"/>
      <c r="O1689" s="11" t="str">
        <f t="shared" si="26"/>
        <v/>
      </c>
      <c r="P1689"/>
      <c r="Q1689" s="11"/>
    </row>
    <row r="1690" spans="2:17" x14ac:dyDescent="0.35">
      <c r="B1690"/>
      <c r="C1690"/>
      <c r="D1690"/>
      <c r="E1690"/>
      <c r="F1690"/>
      <c r="G1690"/>
      <c r="H1690"/>
      <c r="I1690"/>
      <c r="J1690"/>
      <c r="K1690"/>
      <c r="L1690"/>
      <c r="M1690"/>
      <c r="N1690"/>
      <c r="O1690" s="11" t="str">
        <f t="shared" si="26"/>
        <v/>
      </c>
      <c r="P1690"/>
      <c r="Q1690" s="11"/>
    </row>
    <row r="1691" spans="2:17" x14ac:dyDescent="0.35">
      <c r="B1691"/>
      <c r="C1691"/>
      <c r="D1691"/>
      <c r="E1691"/>
      <c r="F1691"/>
      <c r="G1691"/>
      <c r="H1691"/>
      <c r="I1691"/>
      <c r="J1691"/>
      <c r="K1691"/>
      <c r="L1691"/>
      <c r="M1691"/>
      <c r="N1691"/>
      <c r="O1691" s="11" t="str">
        <f t="shared" si="26"/>
        <v/>
      </c>
      <c r="P1691"/>
      <c r="Q1691" s="11"/>
    </row>
    <row r="1692" spans="2:17" x14ac:dyDescent="0.35">
      <c r="B1692"/>
      <c r="C1692"/>
      <c r="D1692"/>
      <c r="E1692"/>
      <c r="F1692"/>
      <c r="G1692"/>
      <c r="H1692"/>
      <c r="I1692"/>
      <c r="J1692"/>
      <c r="K1692"/>
      <c r="L1692"/>
      <c r="M1692"/>
      <c r="N1692"/>
      <c r="O1692" s="11" t="str">
        <f t="shared" si="26"/>
        <v/>
      </c>
      <c r="P1692"/>
      <c r="Q1692" s="11"/>
    </row>
    <row r="1693" spans="2:17" x14ac:dyDescent="0.35">
      <c r="B1693"/>
      <c r="C1693"/>
      <c r="D1693"/>
      <c r="E1693"/>
      <c r="F1693"/>
      <c r="G1693"/>
      <c r="H1693"/>
      <c r="I1693"/>
      <c r="J1693"/>
      <c r="K1693"/>
      <c r="L1693"/>
      <c r="M1693"/>
      <c r="N1693"/>
      <c r="O1693" s="11" t="str">
        <f t="shared" si="26"/>
        <v/>
      </c>
      <c r="P1693"/>
      <c r="Q1693" s="11"/>
    </row>
    <row r="1694" spans="2:17" x14ac:dyDescent="0.35">
      <c r="B1694"/>
      <c r="C1694"/>
      <c r="D1694"/>
      <c r="E1694"/>
      <c r="F1694"/>
      <c r="G1694"/>
      <c r="H1694"/>
      <c r="I1694"/>
      <c r="J1694"/>
      <c r="K1694"/>
      <c r="L1694"/>
      <c r="M1694"/>
      <c r="N1694"/>
      <c r="O1694" s="11" t="str">
        <f t="shared" si="26"/>
        <v/>
      </c>
      <c r="P1694"/>
      <c r="Q1694" s="11"/>
    </row>
    <row r="1695" spans="2:17" x14ac:dyDescent="0.35">
      <c r="B1695"/>
      <c r="C1695"/>
      <c r="D1695"/>
      <c r="E1695"/>
      <c r="F1695"/>
      <c r="G1695"/>
      <c r="H1695"/>
      <c r="I1695"/>
      <c r="J1695"/>
      <c r="K1695"/>
      <c r="L1695"/>
      <c r="M1695"/>
      <c r="N1695"/>
      <c r="O1695" s="11" t="str">
        <f t="shared" si="26"/>
        <v/>
      </c>
      <c r="P1695"/>
      <c r="Q1695" s="11"/>
    </row>
    <row r="1696" spans="2:17" x14ac:dyDescent="0.35">
      <c r="B1696"/>
      <c r="C1696"/>
      <c r="D1696"/>
      <c r="E1696"/>
      <c r="F1696"/>
      <c r="G1696"/>
      <c r="H1696"/>
      <c r="I1696"/>
      <c r="J1696"/>
      <c r="K1696"/>
      <c r="L1696"/>
      <c r="M1696"/>
      <c r="N1696"/>
      <c r="O1696" s="11" t="str">
        <f t="shared" si="26"/>
        <v/>
      </c>
      <c r="P1696"/>
      <c r="Q1696" s="11"/>
    </row>
    <row r="1697" spans="2:17" x14ac:dyDescent="0.35">
      <c r="B1697"/>
      <c r="C1697"/>
      <c r="D1697"/>
      <c r="E1697"/>
      <c r="F1697"/>
      <c r="G1697"/>
      <c r="H1697"/>
      <c r="I1697"/>
      <c r="J1697"/>
      <c r="K1697"/>
      <c r="L1697"/>
      <c r="M1697"/>
      <c r="N1697"/>
      <c r="O1697" s="11" t="str">
        <f t="shared" si="26"/>
        <v/>
      </c>
      <c r="P1697"/>
      <c r="Q1697" s="11"/>
    </row>
    <row r="1698" spans="2:17" x14ac:dyDescent="0.35">
      <c r="B1698"/>
      <c r="C1698"/>
      <c r="D1698"/>
      <c r="E1698"/>
      <c r="F1698"/>
      <c r="G1698"/>
      <c r="H1698"/>
      <c r="I1698"/>
      <c r="J1698"/>
      <c r="K1698"/>
      <c r="L1698"/>
      <c r="M1698"/>
      <c r="N1698"/>
      <c r="O1698" s="11" t="str">
        <f t="shared" si="26"/>
        <v/>
      </c>
      <c r="P1698"/>
      <c r="Q1698" s="11"/>
    </row>
    <row r="1699" spans="2:17" x14ac:dyDescent="0.35">
      <c r="B1699"/>
      <c r="C1699"/>
      <c r="D1699"/>
      <c r="E1699"/>
      <c r="F1699"/>
      <c r="G1699"/>
      <c r="H1699"/>
      <c r="I1699"/>
      <c r="J1699"/>
      <c r="K1699"/>
      <c r="L1699"/>
      <c r="M1699"/>
      <c r="N1699"/>
      <c r="O1699" s="11" t="str">
        <f t="shared" si="26"/>
        <v/>
      </c>
      <c r="P1699"/>
      <c r="Q1699" s="11"/>
    </row>
    <row r="1700" spans="2:17" x14ac:dyDescent="0.35">
      <c r="B1700"/>
      <c r="C1700"/>
      <c r="D1700"/>
      <c r="E1700"/>
      <c r="F1700"/>
      <c r="G1700"/>
      <c r="H1700"/>
      <c r="I1700"/>
      <c r="J1700"/>
      <c r="K1700"/>
      <c r="L1700"/>
      <c r="M1700"/>
      <c r="N1700"/>
      <c r="O1700" s="11" t="str">
        <f t="shared" si="26"/>
        <v/>
      </c>
      <c r="P1700"/>
      <c r="Q1700" s="11"/>
    </row>
    <row r="1701" spans="2:17" x14ac:dyDescent="0.35">
      <c r="B1701"/>
      <c r="C1701"/>
      <c r="D1701"/>
      <c r="E1701"/>
      <c r="F1701"/>
      <c r="G1701"/>
      <c r="H1701"/>
      <c r="I1701"/>
      <c r="J1701"/>
      <c r="K1701"/>
      <c r="L1701"/>
      <c r="M1701"/>
      <c r="N1701"/>
      <c r="O1701" s="11" t="str">
        <f t="shared" si="26"/>
        <v/>
      </c>
      <c r="P1701"/>
      <c r="Q1701" s="11"/>
    </row>
    <row r="1702" spans="2:17" x14ac:dyDescent="0.35">
      <c r="B1702"/>
      <c r="C1702"/>
      <c r="D1702"/>
      <c r="E1702"/>
      <c r="F1702"/>
      <c r="G1702"/>
      <c r="H1702"/>
      <c r="I1702"/>
      <c r="J1702"/>
      <c r="K1702"/>
      <c r="L1702"/>
      <c r="M1702"/>
      <c r="N1702"/>
      <c r="O1702" s="11" t="str">
        <f t="shared" si="26"/>
        <v/>
      </c>
      <c r="P1702"/>
      <c r="Q1702" s="11"/>
    </row>
    <row r="1703" spans="2:17" x14ac:dyDescent="0.35">
      <c r="B1703"/>
      <c r="C1703"/>
      <c r="D1703"/>
      <c r="E1703"/>
      <c r="F1703"/>
      <c r="G1703"/>
      <c r="H1703"/>
      <c r="I1703"/>
      <c r="J1703"/>
      <c r="K1703"/>
      <c r="L1703"/>
      <c r="M1703"/>
      <c r="N1703"/>
      <c r="O1703" s="11" t="str">
        <f t="shared" si="26"/>
        <v/>
      </c>
      <c r="P1703"/>
      <c r="Q1703" s="11"/>
    </row>
    <row r="1704" spans="2:17" x14ac:dyDescent="0.35">
      <c r="B1704"/>
      <c r="C1704"/>
      <c r="D1704"/>
      <c r="E1704"/>
      <c r="F1704"/>
      <c r="G1704"/>
      <c r="H1704"/>
      <c r="I1704"/>
      <c r="J1704"/>
      <c r="K1704"/>
      <c r="L1704"/>
      <c r="M1704"/>
      <c r="N1704"/>
      <c r="O1704" s="11" t="str">
        <f t="shared" si="26"/>
        <v/>
      </c>
      <c r="P1704"/>
      <c r="Q1704" s="11"/>
    </row>
    <row r="1705" spans="2:17" x14ac:dyDescent="0.35">
      <c r="B1705"/>
      <c r="C1705"/>
      <c r="D1705"/>
      <c r="E1705"/>
      <c r="F1705"/>
      <c r="G1705"/>
      <c r="H1705"/>
      <c r="I1705"/>
      <c r="J1705"/>
      <c r="K1705"/>
      <c r="L1705"/>
      <c r="M1705"/>
      <c r="N1705"/>
      <c r="O1705" s="11" t="str">
        <f t="shared" si="26"/>
        <v/>
      </c>
      <c r="P1705"/>
      <c r="Q1705" s="11"/>
    </row>
    <row r="1706" spans="2:17" x14ac:dyDescent="0.35">
      <c r="B1706"/>
      <c r="C1706"/>
      <c r="D1706"/>
      <c r="E1706"/>
      <c r="F1706"/>
      <c r="G1706"/>
      <c r="H1706"/>
      <c r="I1706"/>
      <c r="J1706"/>
      <c r="K1706"/>
      <c r="L1706"/>
      <c r="M1706"/>
      <c r="N1706"/>
      <c r="O1706" s="11" t="str">
        <f t="shared" si="26"/>
        <v/>
      </c>
      <c r="P1706"/>
      <c r="Q1706" s="11"/>
    </row>
    <row r="1707" spans="2:17" x14ac:dyDescent="0.35">
      <c r="B1707"/>
      <c r="C1707"/>
      <c r="D1707"/>
      <c r="E1707"/>
      <c r="F1707"/>
      <c r="G1707"/>
      <c r="H1707"/>
      <c r="I1707"/>
      <c r="J1707"/>
      <c r="K1707"/>
      <c r="L1707"/>
      <c r="M1707"/>
      <c r="N1707"/>
      <c r="O1707" s="11" t="str">
        <f t="shared" si="26"/>
        <v/>
      </c>
      <c r="P1707"/>
      <c r="Q1707" s="11"/>
    </row>
    <row r="1708" spans="2:17" x14ac:dyDescent="0.35">
      <c r="B1708"/>
      <c r="C1708"/>
      <c r="D1708"/>
      <c r="E1708"/>
      <c r="F1708"/>
      <c r="G1708"/>
      <c r="H1708"/>
      <c r="I1708"/>
      <c r="J1708"/>
      <c r="K1708"/>
      <c r="L1708"/>
      <c r="M1708"/>
      <c r="N1708"/>
      <c r="O1708" s="11" t="str">
        <f t="shared" si="26"/>
        <v/>
      </c>
      <c r="P1708"/>
      <c r="Q1708" s="11"/>
    </row>
    <row r="1709" spans="2:17" x14ac:dyDescent="0.35">
      <c r="B1709"/>
      <c r="C1709"/>
      <c r="D1709"/>
      <c r="E1709"/>
      <c r="F1709"/>
      <c r="G1709"/>
      <c r="H1709"/>
      <c r="I1709"/>
      <c r="J1709"/>
      <c r="K1709"/>
      <c r="L1709"/>
      <c r="M1709"/>
      <c r="N1709"/>
      <c r="O1709" s="11" t="str">
        <f t="shared" si="26"/>
        <v/>
      </c>
      <c r="P1709"/>
      <c r="Q1709" s="11"/>
    </row>
    <row r="1710" spans="2:17" x14ac:dyDescent="0.35">
      <c r="B1710"/>
      <c r="C1710"/>
      <c r="D1710"/>
      <c r="E1710"/>
      <c r="F1710"/>
      <c r="G1710"/>
      <c r="H1710"/>
      <c r="I1710"/>
      <c r="J1710"/>
      <c r="K1710"/>
      <c r="L1710"/>
      <c r="M1710"/>
      <c r="N1710"/>
      <c r="O1710" s="11" t="str">
        <f t="shared" si="26"/>
        <v/>
      </c>
      <c r="P1710"/>
      <c r="Q1710" s="11"/>
    </row>
    <row r="1711" spans="2:17" x14ac:dyDescent="0.35">
      <c r="B1711"/>
      <c r="C1711"/>
      <c r="D1711"/>
      <c r="E1711"/>
      <c r="F1711"/>
      <c r="G1711"/>
      <c r="H1711"/>
      <c r="I1711"/>
      <c r="J1711"/>
      <c r="K1711"/>
      <c r="L1711"/>
      <c r="M1711"/>
      <c r="N1711"/>
      <c r="O1711" s="11" t="str">
        <f t="shared" si="26"/>
        <v/>
      </c>
      <c r="P1711"/>
      <c r="Q1711" s="11"/>
    </row>
    <row r="1712" spans="2:17" x14ac:dyDescent="0.35">
      <c r="B1712"/>
      <c r="C1712"/>
      <c r="D1712"/>
      <c r="E1712"/>
      <c r="F1712"/>
      <c r="G1712"/>
      <c r="H1712"/>
      <c r="I1712"/>
      <c r="J1712"/>
      <c r="K1712"/>
      <c r="L1712"/>
      <c r="M1712"/>
      <c r="N1712"/>
      <c r="O1712" s="11" t="str">
        <f t="shared" si="26"/>
        <v/>
      </c>
      <c r="P1712"/>
      <c r="Q1712" s="11"/>
    </row>
    <row r="1713" spans="2:17" x14ac:dyDescent="0.35">
      <c r="B1713"/>
      <c r="C1713"/>
      <c r="D1713"/>
      <c r="E1713"/>
      <c r="F1713"/>
      <c r="G1713"/>
      <c r="H1713"/>
      <c r="I1713"/>
      <c r="J1713"/>
      <c r="K1713"/>
      <c r="L1713"/>
      <c r="M1713"/>
      <c r="N1713"/>
      <c r="O1713" s="11" t="str">
        <f t="shared" si="26"/>
        <v/>
      </c>
      <c r="P1713"/>
      <c r="Q1713" s="11"/>
    </row>
    <row r="1714" spans="2:17" x14ac:dyDescent="0.35">
      <c r="B1714"/>
      <c r="C1714"/>
      <c r="D1714"/>
      <c r="E1714"/>
      <c r="F1714"/>
      <c r="G1714"/>
      <c r="H1714"/>
      <c r="I1714"/>
      <c r="J1714"/>
      <c r="K1714"/>
      <c r="L1714"/>
      <c r="M1714"/>
      <c r="N1714"/>
      <c r="O1714" s="11" t="str">
        <f t="shared" si="26"/>
        <v/>
      </c>
      <c r="P1714"/>
      <c r="Q1714" s="11"/>
    </row>
    <row r="1715" spans="2:17" x14ac:dyDescent="0.35">
      <c r="B1715"/>
      <c r="C1715"/>
      <c r="D1715"/>
      <c r="E1715"/>
      <c r="F1715"/>
      <c r="G1715"/>
      <c r="H1715"/>
      <c r="I1715"/>
      <c r="J1715"/>
      <c r="K1715"/>
      <c r="L1715"/>
      <c r="M1715"/>
      <c r="N1715"/>
      <c r="O1715" s="11" t="str">
        <f t="shared" si="26"/>
        <v/>
      </c>
      <c r="P1715"/>
      <c r="Q1715" s="11"/>
    </row>
    <row r="1716" spans="2:17" x14ac:dyDescent="0.35">
      <c r="B1716"/>
      <c r="C1716"/>
      <c r="D1716"/>
      <c r="E1716"/>
      <c r="F1716"/>
      <c r="G1716"/>
      <c r="H1716"/>
      <c r="I1716"/>
      <c r="J1716"/>
      <c r="K1716"/>
      <c r="L1716"/>
      <c r="M1716"/>
      <c r="N1716"/>
      <c r="O1716" s="11" t="str">
        <f t="shared" si="26"/>
        <v/>
      </c>
      <c r="P1716"/>
      <c r="Q1716" s="11"/>
    </row>
    <row r="1717" spans="2:17" x14ac:dyDescent="0.35">
      <c r="B1717"/>
      <c r="C1717"/>
      <c r="D1717"/>
      <c r="E1717"/>
      <c r="F1717"/>
      <c r="G1717"/>
      <c r="H1717"/>
      <c r="I1717"/>
      <c r="J1717"/>
      <c r="K1717"/>
      <c r="L1717"/>
      <c r="M1717"/>
      <c r="N1717"/>
      <c r="O1717" s="11" t="str">
        <f t="shared" si="26"/>
        <v/>
      </c>
      <c r="P1717"/>
      <c r="Q1717" s="11"/>
    </row>
    <row r="1718" spans="2:17" x14ac:dyDescent="0.35">
      <c r="B1718"/>
      <c r="C1718"/>
      <c r="D1718"/>
      <c r="E1718"/>
      <c r="F1718"/>
      <c r="G1718"/>
      <c r="H1718"/>
      <c r="I1718"/>
      <c r="J1718"/>
      <c r="K1718"/>
      <c r="L1718"/>
      <c r="M1718"/>
      <c r="N1718"/>
      <c r="O1718" s="11" t="str">
        <f t="shared" si="26"/>
        <v/>
      </c>
      <c r="P1718"/>
      <c r="Q1718" s="11"/>
    </row>
    <row r="1719" spans="2:17" x14ac:dyDescent="0.35">
      <c r="B1719"/>
      <c r="C1719"/>
      <c r="D1719"/>
      <c r="E1719"/>
      <c r="F1719"/>
      <c r="G1719"/>
      <c r="H1719"/>
      <c r="I1719"/>
      <c r="J1719"/>
      <c r="K1719"/>
      <c r="L1719"/>
      <c r="M1719"/>
      <c r="N1719"/>
      <c r="O1719" s="11" t="str">
        <f t="shared" si="26"/>
        <v/>
      </c>
      <c r="P1719"/>
      <c r="Q1719" s="11"/>
    </row>
    <row r="1720" spans="2:17" x14ac:dyDescent="0.35">
      <c r="B1720"/>
      <c r="C1720"/>
      <c r="D1720"/>
      <c r="E1720"/>
      <c r="F1720"/>
      <c r="G1720"/>
      <c r="H1720"/>
      <c r="I1720"/>
      <c r="J1720"/>
      <c r="K1720"/>
      <c r="L1720"/>
      <c r="M1720"/>
      <c r="N1720"/>
      <c r="O1720" s="11" t="str">
        <f t="shared" si="26"/>
        <v/>
      </c>
      <c r="P1720"/>
      <c r="Q1720" s="11"/>
    </row>
    <row r="1721" spans="2:17" x14ac:dyDescent="0.35">
      <c r="B1721"/>
      <c r="C1721"/>
      <c r="D1721"/>
      <c r="E1721"/>
      <c r="F1721"/>
      <c r="G1721"/>
      <c r="H1721"/>
      <c r="I1721"/>
      <c r="J1721"/>
      <c r="K1721"/>
      <c r="L1721"/>
      <c r="M1721"/>
      <c r="N1721"/>
      <c r="O1721" s="11" t="str">
        <f t="shared" si="26"/>
        <v/>
      </c>
      <c r="P1721"/>
      <c r="Q1721" s="11"/>
    </row>
    <row r="1722" spans="2:17" x14ac:dyDescent="0.35">
      <c r="B1722"/>
      <c r="C1722"/>
      <c r="D1722"/>
      <c r="E1722"/>
      <c r="F1722"/>
      <c r="G1722"/>
      <c r="H1722"/>
      <c r="I1722"/>
      <c r="J1722"/>
      <c r="K1722"/>
      <c r="L1722"/>
      <c r="M1722"/>
      <c r="N1722"/>
      <c r="O1722" s="11" t="str">
        <f t="shared" si="26"/>
        <v/>
      </c>
      <c r="P1722"/>
      <c r="Q1722" s="11"/>
    </row>
    <row r="1723" spans="2:17" x14ac:dyDescent="0.35">
      <c r="B1723"/>
      <c r="C1723"/>
      <c r="D1723"/>
      <c r="E1723"/>
      <c r="F1723"/>
      <c r="G1723"/>
      <c r="H1723"/>
      <c r="I1723"/>
      <c r="J1723"/>
      <c r="K1723"/>
      <c r="L1723"/>
      <c r="M1723"/>
      <c r="N1723"/>
      <c r="O1723" s="11" t="str">
        <f t="shared" si="26"/>
        <v/>
      </c>
      <c r="P1723"/>
      <c r="Q1723" s="11"/>
    </row>
    <row r="1724" spans="2:17" x14ac:dyDescent="0.35">
      <c r="B1724"/>
      <c r="C1724"/>
      <c r="D1724"/>
      <c r="E1724"/>
      <c r="F1724"/>
      <c r="G1724"/>
      <c r="H1724"/>
      <c r="I1724"/>
      <c r="J1724"/>
      <c r="K1724"/>
      <c r="L1724"/>
      <c r="M1724"/>
      <c r="N1724"/>
      <c r="O1724" s="11" t="str">
        <f t="shared" si="26"/>
        <v/>
      </c>
      <c r="P1724"/>
      <c r="Q1724" s="11"/>
    </row>
    <row r="1725" spans="2:17" x14ac:dyDescent="0.35">
      <c r="B1725"/>
      <c r="C1725"/>
      <c r="D1725"/>
      <c r="E1725"/>
      <c r="F1725"/>
      <c r="G1725"/>
      <c r="H1725"/>
      <c r="I1725"/>
      <c r="J1725"/>
      <c r="K1725"/>
      <c r="L1725"/>
      <c r="M1725"/>
      <c r="N1725"/>
      <c r="O1725" s="11" t="str">
        <f t="shared" si="26"/>
        <v/>
      </c>
      <c r="P1725"/>
      <c r="Q1725" s="11"/>
    </row>
    <row r="1726" spans="2:17" x14ac:dyDescent="0.35">
      <c r="B1726"/>
      <c r="C1726"/>
      <c r="D1726"/>
      <c r="E1726"/>
      <c r="F1726"/>
      <c r="G1726"/>
      <c r="H1726"/>
      <c r="I1726"/>
      <c r="J1726"/>
      <c r="K1726"/>
      <c r="L1726"/>
      <c r="M1726"/>
      <c r="N1726"/>
      <c r="O1726" s="11" t="str">
        <f t="shared" si="26"/>
        <v/>
      </c>
      <c r="P1726"/>
      <c r="Q1726" s="11"/>
    </row>
    <row r="1727" spans="2:17" x14ac:dyDescent="0.35">
      <c r="B1727"/>
      <c r="C1727"/>
      <c r="D1727"/>
      <c r="E1727"/>
      <c r="F1727"/>
      <c r="G1727"/>
      <c r="H1727"/>
      <c r="I1727"/>
      <c r="J1727"/>
      <c r="K1727"/>
      <c r="L1727"/>
      <c r="M1727"/>
      <c r="N1727"/>
      <c r="O1727" s="11" t="str">
        <f t="shared" si="26"/>
        <v/>
      </c>
      <c r="P1727"/>
      <c r="Q1727" s="11"/>
    </row>
    <row r="1728" spans="2:17" x14ac:dyDescent="0.35">
      <c r="B1728"/>
      <c r="C1728"/>
      <c r="D1728"/>
      <c r="E1728"/>
      <c r="F1728"/>
      <c r="G1728"/>
      <c r="H1728"/>
      <c r="I1728"/>
      <c r="J1728"/>
      <c r="K1728"/>
      <c r="L1728"/>
      <c r="M1728"/>
      <c r="N1728"/>
      <c r="O1728" s="11" t="str">
        <f t="shared" si="26"/>
        <v/>
      </c>
      <c r="P1728"/>
      <c r="Q1728" s="11"/>
    </row>
    <row r="1729" spans="2:17" x14ac:dyDescent="0.35">
      <c r="B1729"/>
      <c r="C1729"/>
      <c r="D1729"/>
      <c r="E1729"/>
      <c r="F1729"/>
      <c r="G1729"/>
      <c r="H1729"/>
      <c r="I1729"/>
      <c r="J1729"/>
      <c r="K1729"/>
      <c r="L1729"/>
      <c r="M1729"/>
      <c r="N1729"/>
      <c r="O1729" s="11" t="str">
        <f t="shared" si="26"/>
        <v/>
      </c>
      <c r="P1729"/>
      <c r="Q1729" s="11"/>
    </row>
    <row r="1730" spans="2:17" x14ac:dyDescent="0.35">
      <c r="B1730"/>
      <c r="C1730"/>
      <c r="D1730"/>
      <c r="E1730"/>
      <c r="F1730"/>
      <c r="G1730"/>
      <c r="H1730"/>
      <c r="I1730"/>
      <c r="J1730"/>
      <c r="K1730"/>
      <c r="L1730"/>
      <c r="M1730"/>
      <c r="N1730"/>
      <c r="O1730" s="11" t="str">
        <f t="shared" si="26"/>
        <v/>
      </c>
      <c r="P1730"/>
      <c r="Q1730" s="11"/>
    </row>
    <row r="1731" spans="2:17" x14ac:dyDescent="0.35">
      <c r="B1731"/>
      <c r="C1731"/>
      <c r="D1731"/>
      <c r="E1731"/>
      <c r="F1731"/>
      <c r="G1731"/>
      <c r="H1731"/>
      <c r="I1731"/>
      <c r="J1731"/>
      <c r="K1731"/>
      <c r="L1731"/>
      <c r="M1731"/>
      <c r="N1731"/>
      <c r="O1731" s="11" t="str">
        <f t="shared" si="26"/>
        <v/>
      </c>
      <c r="P1731"/>
      <c r="Q1731" s="11"/>
    </row>
    <row r="1732" spans="2:17" x14ac:dyDescent="0.35">
      <c r="B1732"/>
      <c r="C1732"/>
      <c r="D1732"/>
      <c r="E1732"/>
      <c r="F1732"/>
      <c r="G1732"/>
      <c r="H1732"/>
      <c r="I1732"/>
      <c r="J1732"/>
      <c r="K1732"/>
      <c r="L1732"/>
      <c r="M1732"/>
      <c r="N1732"/>
      <c r="O1732" s="11" t="str">
        <f t="shared" si="26"/>
        <v/>
      </c>
      <c r="P1732"/>
      <c r="Q1732" s="11"/>
    </row>
    <row r="1733" spans="2:17" x14ac:dyDescent="0.35">
      <c r="B1733"/>
      <c r="C1733"/>
      <c r="D1733"/>
      <c r="E1733"/>
      <c r="F1733"/>
      <c r="G1733"/>
      <c r="H1733"/>
      <c r="I1733"/>
      <c r="J1733"/>
      <c r="K1733"/>
      <c r="L1733"/>
      <c r="M1733"/>
      <c r="N1733"/>
      <c r="O1733" s="11" t="str">
        <f t="shared" si="26"/>
        <v/>
      </c>
      <c r="P1733"/>
      <c r="Q1733" s="11"/>
    </row>
    <row r="1734" spans="2:17" x14ac:dyDescent="0.35">
      <c r="B1734"/>
      <c r="C1734"/>
      <c r="D1734"/>
      <c r="E1734"/>
      <c r="F1734"/>
      <c r="G1734"/>
      <c r="H1734"/>
      <c r="I1734"/>
      <c r="J1734"/>
      <c r="K1734"/>
      <c r="L1734"/>
      <c r="M1734"/>
      <c r="N1734"/>
      <c r="O1734" s="11" t="str">
        <f t="shared" si="26"/>
        <v/>
      </c>
      <c r="P1734"/>
      <c r="Q1734" s="11"/>
    </row>
    <row r="1735" spans="2:17" x14ac:dyDescent="0.35">
      <c r="B1735"/>
      <c r="C1735"/>
      <c r="D1735"/>
      <c r="E1735"/>
      <c r="F1735"/>
      <c r="G1735"/>
      <c r="H1735"/>
      <c r="I1735"/>
      <c r="J1735"/>
      <c r="K1735"/>
      <c r="L1735"/>
      <c r="M1735"/>
      <c r="N1735"/>
      <c r="O1735" s="11" t="str">
        <f t="shared" si="26"/>
        <v/>
      </c>
      <c r="P1735"/>
      <c r="Q1735" s="11"/>
    </row>
    <row r="1736" spans="2:17" x14ac:dyDescent="0.35">
      <c r="B1736"/>
      <c r="C1736"/>
      <c r="D1736"/>
      <c r="E1736"/>
      <c r="F1736"/>
      <c r="G1736"/>
      <c r="H1736"/>
      <c r="I1736"/>
      <c r="J1736"/>
      <c r="K1736"/>
      <c r="L1736"/>
      <c r="M1736"/>
      <c r="N1736"/>
      <c r="O1736" s="11" t="str">
        <f t="shared" si="26"/>
        <v/>
      </c>
      <c r="P1736"/>
      <c r="Q1736" s="11"/>
    </row>
    <row r="1737" spans="2:17" x14ac:dyDescent="0.35">
      <c r="B1737"/>
      <c r="C1737"/>
      <c r="D1737"/>
      <c r="E1737"/>
      <c r="F1737"/>
      <c r="G1737"/>
      <c r="H1737"/>
      <c r="I1737"/>
      <c r="J1737"/>
      <c r="K1737"/>
      <c r="L1737"/>
      <c r="M1737"/>
      <c r="N1737"/>
      <c r="O1737" s="11" t="str">
        <f t="shared" si="26"/>
        <v/>
      </c>
      <c r="P1737"/>
      <c r="Q1737" s="11"/>
    </row>
    <row r="1738" spans="2:17" x14ac:dyDescent="0.35">
      <c r="B1738"/>
      <c r="C1738"/>
      <c r="D1738"/>
      <c r="E1738"/>
      <c r="F1738"/>
      <c r="G1738"/>
      <c r="H1738"/>
      <c r="I1738"/>
      <c r="J1738"/>
      <c r="K1738"/>
      <c r="L1738"/>
      <c r="M1738"/>
      <c r="N1738"/>
      <c r="O1738" s="11" t="str">
        <f t="shared" si="26"/>
        <v/>
      </c>
      <c r="P1738"/>
      <c r="Q1738" s="11"/>
    </row>
    <row r="1739" spans="2:17" x14ac:dyDescent="0.35">
      <c r="B1739"/>
      <c r="C1739"/>
      <c r="D1739"/>
      <c r="E1739"/>
      <c r="F1739"/>
      <c r="G1739"/>
      <c r="H1739"/>
      <c r="I1739"/>
      <c r="J1739"/>
      <c r="K1739"/>
      <c r="L1739"/>
      <c r="M1739"/>
      <c r="N1739"/>
      <c r="O1739" s="11" t="str">
        <f t="shared" si="26"/>
        <v/>
      </c>
      <c r="P1739"/>
      <c r="Q1739" s="11"/>
    </row>
    <row r="1740" spans="2:17" x14ac:dyDescent="0.35">
      <c r="B1740"/>
      <c r="C1740"/>
      <c r="D1740"/>
      <c r="E1740"/>
      <c r="F1740"/>
      <c r="G1740"/>
      <c r="H1740"/>
      <c r="I1740"/>
      <c r="J1740"/>
      <c r="K1740"/>
      <c r="L1740"/>
      <c r="M1740"/>
      <c r="N1740"/>
      <c r="O1740" s="11" t="str">
        <f t="shared" si="26"/>
        <v/>
      </c>
      <c r="P1740"/>
      <c r="Q1740" s="11"/>
    </row>
    <row r="1741" spans="2:17" x14ac:dyDescent="0.35">
      <c r="B1741"/>
      <c r="C1741"/>
      <c r="D1741"/>
      <c r="E1741"/>
      <c r="F1741"/>
      <c r="G1741"/>
      <c r="H1741"/>
      <c r="I1741"/>
      <c r="J1741"/>
      <c r="K1741"/>
      <c r="L1741"/>
      <c r="M1741"/>
      <c r="N1741"/>
      <c r="O1741" s="11" t="str">
        <f t="shared" si="26"/>
        <v/>
      </c>
      <c r="P1741"/>
      <c r="Q1741" s="11"/>
    </row>
    <row r="1742" spans="2:17" x14ac:dyDescent="0.35">
      <c r="B1742"/>
      <c r="C1742"/>
      <c r="D1742"/>
      <c r="E1742"/>
      <c r="F1742"/>
      <c r="G1742"/>
      <c r="H1742"/>
      <c r="I1742"/>
      <c r="J1742"/>
      <c r="K1742"/>
      <c r="L1742"/>
      <c r="M1742"/>
      <c r="N1742"/>
      <c r="O1742" s="11" t="str">
        <f t="shared" si="26"/>
        <v/>
      </c>
      <c r="P1742"/>
      <c r="Q1742" s="11"/>
    </row>
    <row r="1743" spans="2:17" x14ac:dyDescent="0.35">
      <c r="B1743"/>
      <c r="C1743"/>
      <c r="D1743"/>
      <c r="E1743"/>
      <c r="F1743"/>
      <c r="G1743"/>
      <c r="H1743"/>
      <c r="I1743"/>
      <c r="J1743"/>
      <c r="K1743"/>
      <c r="L1743"/>
      <c r="M1743"/>
      <c r="N1743"/>
      <c r="O1743" s="11" t="str">
        <f t="shared" si="26"/>
        <v/>
      </c>
      <c r="P1743"/>
      <c r="Q1743" s="11"/>
    </row>
    <row r="1744" spans="2:17" x14ac:dyDescent="0.35">
      <c r="B1744"/>
      <c r="C1744"/>
      <c r="D1744"/>
      <c r="E1744"/>
      <c r="F1744"/>
      <c r="G1744"/>
      <c r="H1744"/>
      <c r="I1744"/>
      <c r="J1744"/>
      <c r="K1744"/>
      <c r="L1744"/>
      <c r="M1744"/>
      <c r="N1744"/>
      <c r="O1744" s="11" t="str">
        <f t="shared" si="26"/>
        <v/>
      </c>
      <c r="P1744"/>
      <c r="Q1744" s="11"/>
    </row>
    <row r="1745" spans="2:17" x14ac:dyDescent="0.35">
      <c r="B1745"/>
      <c r="C1745"/>
      <c r="D1745"/>
      <c r="E1745"/>
      <c r="F1745"/>
      <c r="G1745"/>
      <c r="H1745"/>
      <c r="I1745"/>
      <c r="J1745"/>
      <c r="K1745"/>
      <c r="L1745"/>
      <c r="M1745"/>
      <c r="N1745"/>
      <c r="O1745" s="11" t="str">
        <f t="shared" si="26"/>
        <v/>
      </c>
      <c r="P1745"/>
      <c r="Q1745" s="11"/>
    </row>
    <row r="1746" spans="2:17" x14ac:dyDescent="0.35">
      <c r="B1746"/>
      <c r="C1746"/>
      <c r="D1746"/>
      <c r="E1746"/>
      <c r="F1746"/>
      <c r="G1746"/>
      <c r="H1746"/>
      <c r="I1746"/>
      <c r="J1746"/>
      <c r="K1746"/>
      <c r="L1746"/>
      <c r="M1746"/>
      <c r="N1746"/>
      <c r="O1746" s="11" t="str">
        <f t="shared" si="26"/>
        <v/>
      </c>
      <c r="P1746"/>
      <c r="Q1746" s="11"/>
    </row>
    <row r="1747" spans="2:17" x14ac:dyDescent="0.35">
      <c r="B1747"/>
      <c r="C1747"/>
      <c r="D1747"/>
      <c r="E1747"/>
      <c r="F1747"/>
      <c r="G1747"/>
      <c r="H1747"/>
      <c r="I1747"/>
      <c r="J1747"/>
      <c r="K1747"/>
      <c r="L1747"/>
      <c r="M1747"/>
      <c r="N1747"/>
      <c r="O1747" s="11" t="str">
        <f t="shared" si="26"/>
        <v/>
      </c>
      <c r="P1747"/>
      <c r="Q1747" s="11"/>
    </row>
    <row r="1748" spans="2:17" x14ac:dyDescent="0.35">
      <c r="B1748"/>
      <c r="C1748"/>
      <c r="D1748"/>
      <c r="E1748"/>
      <c r="F1748"/>
      <c r="G1748"/>
      <c r="H1748"/>
      <c r="I1748"/>
      <c r="J1748"/>
      <c r="K1748"/>
      <c r="L1748"/>
      <c r="M1748"/>
      <c r="N1748"/>
      <c r="O1748" s="11" t="str">
        <f t="shared" si="26"/>
        <v/>
      </c>
      <c r="P1748"/>
      <c r="Q1748" s="11"/>
    </row>
    <row r="1749" spans="2:17" x14ac:dyDescent="0.35">
      <c r="B1749"/>
      <c r="C1749"/>
      <c r="D1749"/>
      <c r="E1749"/>
      <c r="F1749"/>
      <c r="G1749"/>
      <c r="H1749"/>
      <c r="I1749"/>
      <c r="J1749"/>
      <c r="K1749"/>
      <c r="L1749"/>
      <c r="M1749"/>
      <c r="N1749"/>
      <c r="O1749" s="11" t="str">
        <f t="shared" ref="O1749:O1812" si="27">IFERROR(RATE(2033-2026,,-G1749,N1749),"")</f>
        <v/>
      </c>
      <c r="P1749"/>
      <c r="Q1749" s="11"/>
    </row>
    <row r="1750" spans="2:17" x14ac:dyDescent="0.35">
      <c r="B1750"/>
      <c r="C1750"/>
      <c r="D1750"/>
      <c r="E1750"/>
      <c r="F1750"/>
      <c r="G1750"/>
      <c r="H1750"/>
      <c r="I1750"/>
      <c r="J1750"/>
      <c r="K1750"/>
      <c r="L1750"/>
      <c r="M1750"/>
      <c r="N1750"/>
      <c r="O1750" s="11" t="str">
        <f t="shared" si="27"/>
        <v/>
      </c>
      <c r="P1750"/>
      <c r="Q1750" s="11"/>
    </row>
    <row r="1751" spans="2:17" x14ac:dyDescent="0.35">
      <c r="B1751"/>
      <c r="C1751"/>
      <c r="D1751"/>
      <c r="E1751"/>
      <c r="F1751"/>
      <c r="G1751"/>
      <c r="H1751"/>
      <c r="I1751"/>
      <c r="J1751"/>
      <c r="K1751"/>
      <c r="L1751"/>
      <c r="M1751"/>
      <c r="N1751"/>
      <c r="O1751" s="11" t="str">
        <f t="shared" si="27"/>
        <v/>
      </c>
      <c r="P1751"/>
      <c r="Q1751" s="11"/>
    </row>
    <row r="1752" spans="2:17" x14ac:dyDescent="0.35">
      <c r="B1752"/>
      <c r="C1752"/>
      <c r="D1752"/>
      <c r="E1752"/>
      <c r="F1752"/>
      <c r="G1752"/>
      <c r="H1752"/>
      <c r="I1752"/>
      <c r="J1752"/>
      <c r="K1752"/>
      <c r="L1752"/>
      <c r="M1752"/>
      <c r="N1752"/>
      <c r="O1752" s="11" t="str">
        <f t="shared" si="27"/>
        <v/>
      </c>
      <c r="P1752"/>
      <c r="Q1752" s="11"/>
    </row>
    <row r="1753" spans="2:17" x14ac:dyDescent="0.35">
      <c r="B1753"/>
      <c r="C1753"/>
      <c r="D1753"/>
      <c r="E1753"/>
      <c r="F1753"/>
      <c r="G1753"/>
      <c r="H1753"/>
      <c r="I1753"/>
      <c r="J1753"/>
      <c r="K1753"/>
      <c r="L1753"/>
      <c r="M1753"/>
      <c r="N1753"/>
      <c r="O1753" s="11" t="str">
        <f t="shared" si="27"/>
        <v/>
      </c>
      <c r="P1753"/>
      <c r="Q1753" s="11"/>
    </row>
    <row r="1754" spans="2:17" x14ac:dyDescent="0.35">
      <c r="B1754"/>
      <c r="C1754"/>
      <c r="D1754"/>
      <c r="E1754"/>
      <c r="F1754"/>
      <c r="G1754"/>
      <c r="H1754"/>
      <c r="I1754"/>
      <c r="J1754"/>
      <c r="K1754"/>
      <c r="L1754"/>
      <c r="M1754"/>
      <c r="N1754"/>
      <c r="O1754" s="11" t="str">
        <f t="shared" si="27"/>
        <v/>
      </c>
      <c r="P1754"/>
      <c r="Q1754" s="11"/>
    </row>
    <row r="1755" spans="2:17" x14ac:dyDescent="0.35">
      <c r="B1755"/>
      <c r="C1755"/>
      <c r="D1755"/>
      <c r="E1755"/>
      <c r="F1755"/>
      <c r="G1755"/>
      <c r="H1755"/>
      <c r="I1755"/>
      <c r="J1755"/>
      <c r="K1755"/>
      <c r="L1755"/>
      <c r="M1755"/>
      <c r="N1755"/>
      <c r="O1755" s="11" t="str">
        <f t="shared" si="27"/>
        <v/>
      </c>
      <c r="P1755"/>
      <c r="Q1755" s="11"/>
    </row>
    <row r="1756" spans="2:17" x14ac:dyDescent="0.35">
      <c r="B1756"/>
      <c r="C1756"/>
      <c r="D1756"/>
      <c r="E1756"/>
      <c r="F1756"/>
      <c r="G1756"/>
      <c r="H1756"/>
      <c r="I1756"/>
      <c r="J1756"/>
      <c r="K1756"/>
      <c r="L1756"/>
      <c r="M1756"/>
      <c r="N1756"/>
      <c r="O1756" s="11" t="str">
        <f t="shared" si="27"/>
        <v/>
      </c>
      <c r="P1756"/>
      <c r="Q1756" s="11"/>
    </row>
    <row r="1757" spans="2:17" x14ac:dyDescent="0.35">
      <c r="B1757"/>
      <c r="C1757"/>
      <c r="D1757"/>
      <c r="E1757"/>
      <c r="F1757"/>
      <c r="G1757"/>
      <c r="H1757"/>
      <c r="I1757"/>
      <c r="J1757"/>
      <c r="K1757"/>
      <c r="L1757"/>
      <c r="M1757"/>
      <c r="N1757"/>
      <c r="O1757" s="11" t="str">
        <f t="shared" si="27"/>
        <v/>
      </c>
      <c r="P1757"/>
      <c r="Q1757" s="11"/>
    </row>
    <row r="1758" spans="2:17" x14ac:dyDescent="0.35">
      <c r="B1758"/>
      <c r="C1758"/>
      <c r="D1758"/>
      <c r="E1758"/>
      <c r="F1758"/>
      <c r="G1758"/>
      <c r="H1758"/>
      <c r="I1758"/>
      <c r="J1758"/>
      <c r="K1758"/>
      <c r="L1758"/>
      <c r="M1758"/>
      <c r="N1758"/>
      <c r="O1758" s="11" t="str">
        <f t="shared" si="27"/>
        <v/>
      </c>
      <c r="P1758"/>
      <c r="Q1758" s="11"/>
    </row>
    <row r="1759" spans="2:17" x14ac:dyDescent="0.35">
      <c r="B1759"/>
      <c r="C1759"/>
      <c r="D1759"/>
      <c r="E1759"/>
      <c r="F1759"/>
      <c r="G1759"/>
      <c r="H1759"/>
      <c r="I1759"/>
      <c r="J1759"/>
      <c r="K1759"/>
      <c r="L1759"/>
      <c r="M1759"/>
      <c r="N1759"/>
      <c r="O1759" s="11" t="str">
        <f t="shared" si="27"/>
        <v/>
      </c>
      <c r="P1759"/>
      <c r="Q1759" s="11"/>
    </row>
    <row r="1760" spans="2:17" x14ac:dyDescent="0.35">
      <c r="B1760"/>
      <c r="C1760"/>
      <c r="D1760"/>
      <c r="E1760"/>
      <c r="F1760"/>
      <c r="G1760"/>
      <c r="H1760"/>
      <c r="I1760"/>
      <c r="J1760"/>
      <c r="K1760"/>
      <c r="L1760"/>
      <c r="M1760"/>
      <c r="N1760"/>
      <c r="O1760" s="11" t="str">
        <f t="shared" si="27"/>
        <v/>
      </c>
      <c r="P1760"/>
      <c r="Q1760" s="11"/>
    </row>
    <row r="1761" spans="2:17" x14ac:dyDescent="0.35">
      <c r="B1761"/>
      <c r="C1761"/>
      <c r="D1761"/>
      <c r="E1761"/>
      <c r="F1761"/>
      <c r="G1761"/>
      <c r="H1761"/>
      <c r="I1761"/>
      <c r="J1761"/>
      <c r="K1761"/>
      <c r="L1761"/>
      <c r="M1761"/>
      <c r="N1761"/>
      <c r="O1761" s="11" t="str">
        <f t="shared" si="27"/>
        <v/>
      </c>
      <c r="P1761"/>
      <c r="Q1761" s="11"/>
    </row>
    <row r="1762" spans="2:17" x14ac:dyDescent="0.35">
      <c r="B1762"/>
      <c r="C1762"/>
      <c r="D1762"/>
      <c r="E1762"/>
      <c r="F1762"/>
      <c r="G1762"/>
      <c r="H1762"/>
      <c r="I1762"/>
      <c r="J1762"/>
      <c r="K1762"/>
      <c r="L1762"/>
      <c r="M1762"/>
      <c r="N1762"/>
      <c r="O1762" s="11" t="str">
        <f t="shared" si="27"/>
        <v/>
      </c>
      <c r="P1762"/>
      <c r="Q1762" s="11"/>
    </row>
    <row r="1763" spans="2:17" x14ac:dyDescent="0.35">
      <c r="B1763"/>
      <c r="C1763"/>
      <c r="D1763"/>
      <c r="E1763"/>
      <c r="F1763"/>
      <c r="G1763"/>
      <c r="H1763"/>
      <c r="I1763"/>
      <c r="J1763"/>
      <c r="K1763"/>
      <c r="L1763"/>
      <c r="M1763"/>
      <c r="N1763"/>
      <c r="O1763" s="11" t="str">
        <f t="shared" si="27"/>
        <v/>
      </c>
      <c r="P1763"/>
      <c r="Q1763" s="11"/>
    </row>
    <row r="1764" spans="2:17" x14ac:dyDescent="0.35">
      <c r="B1764"/>
      <c r="C1764"/>
      <c r="D1764"/>
      <c r="E1764"/>
      <c r="F1764"/>
      <c r="G1764"/>
      <c r="H1764"/>
      <c r="I1764"/>
      <c r="J1764"/>
      <c r="K1764"/>
      <c r="L1764"/>
      <c r="M1764"/>
      <c r="N1764"/>
      <c r="O1764" s="11" t="str">
        <f t="shared" si="27"/>
        <v/>
      </c>
      <c r="P1764"/>
      <c r="Q1764" s="11"/>
    </row>
    <row r="1765" spans="2:17" x14ac:dyDescent="0.35">
      <c r="B1765"/>
      <c r="C1765"/>
      <c r="D1765"/>
      <c r="E1765"/>
      <c r="F1765"/>
      <c r="G1765"/>
      <c r="H1765"/>
      <c r="I1765"/>
      <c r="J1765"/>
      <c r="K1765"/>
      <c r="L1765"/>
      <c r="M1765"/>
      <c r="N1765"/>
      <c r="O1765" s="11" t="str">
        <f t="shared" si="27"/>
        <v/>
      </c>
      <c r="P1765"/>
      <c r="Q1765" s="11"/>
    </row>
    <row r="1766" spans="2:17" x14ac:dyDescent="0.35">
      <c r="B1766"/>
      <c r="C1766"/>
      <c r="D1766"/>
      <c r="E1766"/>
      <c r="F1766"/>
      <c r="G1766"/>
      <c r="H1766"/>
      <c r="I1766"/>
      <c r="J1766"/>
      <c r="K1766"/>
      <c r="L1766"/>
      <c r="M1766"/>
      <c r="N1766"/>
      <c r="O1766" s="11" t="str">
        <f t="shared" si="27"/>
        <v/>
      </c>
      <c r="P1766"/>
      <c r="Q1766" s="11"/>
    </row>
    <row r="1767" spans="2:17" x14ac:dyDescent="0.35">
      <c r="B1767"/>
      <c r="C1767"/>
      <c r="D1767"/>
      <c r="E1767"/>
      <c r="F1767"/>
      <c r="G1767"/>
      <c r="H1767"/>
      <c r="I1767"/>
      <c r="J1767"/>
      <c r="K1767"/>
      <c r="L1767"/>
      <c r="M1767"/>
      <c r="N1767"/>
      <c r="O1767" s="11" t="str">
        <f t="shared" si="27"/>
        <v/>
      </c>
      <c r="P1767"/>
      <c r="Q1767" s="11"/>
    </row>
    <row r="1768" spans="2:17" x14ac:dyDescent="0.35">
      <c r="B1768"/>
      <c r="C1768"/>
      <c r="D1768"/>
      <c r="E1768"/>
      <c r="F1768"/>
      <c r="G1768"/>
      <c r="H1768"/>
      <c r="I1768"/>
      <c r="J1768"/>
      <c r="K1768"/>
      <c r="L1768"/>
      <c r="M1768"/>
      <c r="N1768"/>
      <c r="O1768" s="11" t="str">
        <f t="shared" si="27"/>
        <v/>
      </c>
      <c r="P1768"/>
      <c r="Q1768" s="11"/>
    </row>
    <row r="1769" spans="2:17" x14ac:dyDescent="0.35">
      <c r="B1769"/>
      <c r="C1769"/>
      <c r="D1769"/>
      <c r="E1769"/>
      <c r="F1769"/>
      <c r="G1769"/>
      <c r="H1769"/>
      <c r="I1769"/>
      <c r="J1769"/>
      <c r="K1769"/>
      <c r="L1769"/>
      <c r="M1769"/>
      <c r="N1769"/>
      <c r="O1769" s="11" t="str">
        <f t="shared" si="27"/>
        <v/>
      </c>
      <c r="P1769"/>
      <c r="Q1769" s="11"/>
    </row>
    <row r="1770" spans="2:17" x14ac:dyDescent="0.35">
      <c r="B1770"/>
      <c r="C1770"/>
      <c r="D1770"/>
      <c r="E1770"/>
      <c r="F1770"/>
      <c r="G1770"/>
      <c r="H1770"/>
      <c r="I1770"/>
      <c r="J1770"/>
      <c r="K1770"/>
      <c r="L1770"/>
      <c r="M1770"/>
      <c r="N1770"/>
      <c r="O1770" s="11" t="str">
        <f t="shared" si="27"/>
        <v/>
      </c>
      <c r="P1770"/>
      <c r="Q1770" s="11"/>
    </row>
    <row r="1771" spans="2:17" x14ac:dyDescent="0.35">
      <c r="B1771"/>
      <c r="C1771"/>
      <c r="D1771"/>
      <c r="E1771"/>
      <c r="F1771"/>
      <c r="G1771"/>
      <c r="H1771"/>
      <c r="I1771"/>
      <c r="J1771"/>
      <c r="K1771"/>
      <c r="L1771"/>
      <c r="M1771"/>
      <c r="N1771"/>
      <c r="O1771" s="11" t="str">
        <f t="shared" si="27"/>
        <v/>
      </c>
      <c r="P1771"/>
      <c r="Q1771" s="11"/>
    </row>
    <row r="1772" spans="2:17" x14ac:dyDescent="0.35">
      <c r="B1772"/>
      <c r="C1772"/>
      <c r="D1772"/>
      <c r="E1772"/>
      <c r="F1772"/>
      <c r="G1772"/>
      <c r="H1772"/>
      <c r="I1772"/>
      <c r="J1772"/>
      <c r="K1772"/>
      <c r="L1772"/>
      <c r="M1772"/>
      <c r="N1772"/>
      <c r="O1772" s="11" t="str">
        <f t="shared" si="27"/>
        <v/>
      </c>
      <c r="P1772"/>
      <c r="Q1772" s="11"/>
    </row>
    <row r="1773" spans="2:17" x14ac:dyDescent="0.35">
      <c r="B1773"/>
      <c r="C1773"/>
      <c r="D1773"/>
      <c r="E1773"/>
      <c r="F1773"/>
      <c r="G1773"/>
      <c r="H1773"/>
      <c r="I1773"/>
      <c r="J1773"/>
      <c r="K1773"/>
      <c r="L1773"/>
      <c r="M1773"/>
      <c r="N1773"/>
      <c r="O1773" s="11" t="str">
        <f t="shared" si="27"/>
        <v/>
      </c>
      <c r="P1773"/>
      <c r="Q1773" s="11"/>
    </row>
    <row r="1774" spans="2:17" x14ac:dyDescent="0.35">
      <c r="B1774"/>
      <c r="C1774"/>
      <c r="D1774"/>
      <c r="E1774"/>
      <c r="F1774"/>
      <c r="G1774"/>
      <c r="H1774"/>
      <c r="I1774"/>
      <c r="J1774"/>
      <c r="K1774"/>
      <c r="L1774"/>
      <c r="M1774"/>
      <c r="N1774"/>
      <c r="O1774" s="11" t="str">
        <f t="shared" si="27"/>
        <v/>
      </c>
      <c r="P1774"/>
      <c r="Q1774" s="11"/>
    </row>
    <row r="1775" spans="2:17" x14ac:dyDescent="0.35">
      <c r="B1775"/>
      <c r="C1775"/>
      <c r="D1775"/>
      <c r="E1775"/>
      <c r="F1775"/>
      <c r="G1775"/>
      <c r="H1775"/>
      <c r="I1775"/>
      <c r="J1775"/>
      <c r="K1775"/>
      <c r="L1775"/>
      <c r="M1775"/>
      <c r="N1775"/>
      <c r="O1775" s="11" t="str">
        <f t="shared" si="27"/>
        <v/>
      </c>
      <c r="P1775"/>
      <c r="Q1775" s="11"/>
    </row>
    <row r="1776" spans="2:17" x14ac:dyDescent="0.35">
      <c r="B1776"/>
      <c r="C1776"/>
      <c r="D1776"/>
      <c r="E1776"/>
      <c r="F1776"/>
      <c r="G1776"/>
      <c r="H1776"/>
      <c r="I1776"/>
      <c r="J1776"/>
      <c r="K1776"/>
      <c r="L1776"/>
      <c r="M1776"/>
      <c r="N1776"/>
      <c r="O1776" s="11" t="str">
        <f t="shared" si="27"/>
        <v/>
      </c>
      <c r="P1776"/>
      <c r="Q1776" s="11"/>
    </row>
    <row r="1777" spans="2:17" x14ac:dyDescent="0.35">
      <c r="B1777"/>
      <c r="C1777"/>
      <c r="D1777"/>
      <c r="E1777"/>
      <c r="F1777"/>
      <c r="G1777"/>
      <c r="H1777"/>
      <c r="I1777"/>
      <c r="J1777"/>
      <c r="K1777"/>
      <c r="L1777"/>
      <c r="M1777"/>
      <c r="N1777"/>
      <c r="O1777" s="11" t="str">
        <f t="shared" si="27"/>
        <v/>
      </c>
      <c r="P1777"/>
      <c r="Q1777" s="11"/>
    </row>
    <row r="1778" spans="2:17" x14ac:dyDescent="0.35">
      <c r="B1778"/>
      <c r="C1778"/>
      <c r="D1778"/>
      <c r="E1778"/>
      <c r="F1778"/>
      <c r="G1778"/>
      <c r="H1778"/>
      <c r="I1778"/>
      <c r="J1778"/>
      <c r="K1778"/>
      <c r="L1778"/>
      <c r="M1778"/>
      <c r="N1778"/>
      <c r="O1778" s="11" t="str">
        <f t="shared" si="27"/>
        <v/>
      </c>
      <c r="P1778"/>
      <c r="Q1778" s="11"/>
    </row>
    <row r="1779" spans="2:17" x14ac:dyDescent="0.35">
      <c r="B1779"/>
      <c r="C1779"/>
      <c r="D1779"/>
      <c r="E1779"/>
      <c r="F1779"/>
      <c r="G1779"/>
      <c r="H1779"/>
      <c r="I1779"/>
      <c r="J1779"/>
      <c r="K1779"/>
      <c r="L1779"/>
      <c r="M1779"/>
      <c r="N1779"/>
      <c r="O1779" s="11" t="str">
        <f t="shared" si="27"/>
        <v/>
      </c>
      <c r="P1779"/>
      <c r="Q1779" s="11"/>
    </row>
    <row r="1780" spans="2:17" x14ac:dyDescent="0.35">
      <c r="B1780"/>
      <c r="C1780"/>
      <c r="D1780"/>
      <c r="E1780"/>
      <c r="F1780"/>
      <c r="G1780"/>
      <c r="H1780"/>
      <c r="I1780"/>
      <c r="J1780"/>
      <c r="K1780"/>
      <c r="L1780"/>
      <c r="M1780"/>
      <c r="N1780"/>
      <c r="O1780" s="11" t="str">
        <f t="shared" si="27"/>
        <v/>
      </c>
      <c r="P1780"/>
      <c r="Q1780" s="11"/>
    </row>
    <row r="1781" spans="2:17" x14ac:dyDescent="0.35">
      <c r="B1781"/>
      <c r="C1781"/>
      <c r="D1781"/>
      <c r="E1781"/>
      <c r="F1781"/>
      <c r="G1781"/>
      <c r="H1781"/>
      <c r="I1781"/>
      <c r="J1781"/>
      <c r="K1781"/>
      <c r="L1781"/>
      <c r="M1781"/>
      <c r="N1781"/>
      <c r="O1781" s="11" t="str">
        <f t="shared" si="27"/>
        <v/>
      </c>
      <c r="P1781"/>
      <c r="Q1781" s="11"/>
    </row>
    <row r="1782" spans="2:17" x14ac:dyDescent="0.35">
      <c r="B1782"/>
      <c r="C1782"/>
      <c r="D1782"/>
      <c r="E1782"/>
      <c r="F1782"/>
      <c r="G1782"/>
      <c r="H1782"/>
      <c r="I1782"/>
      <c r="J1782"/>
      <c r="K1782"/>
      <c r="L1782"/>
      <c r="M1782"/>
      <c r="N1782"/>
      <c r="O1782" s="11" t="str">
        <f t="shared" si="27"/>
        <v/>
      </c>
      <c r="P1782"/>
      <c r="Q1782" s="11"/>
    </row>
    <row r="1783" spans="2:17" x14ac:dyDescent="0.35">
      <c r="B1783"/>
      <c r="C1783"/>
      <c r="D1783"/>
      <c r="E1783"/>
      <c r="F1783"/>
      <c r="G1783"/>
      <c r="H1783"/>
      <c r="I1783"/>
      <c r="J1783"/>
      <c r="K1783"/>
      <c r="L1783"/>
      <c r="M1783"/>
      <c r="N1783"/>
      <c r="O1783" s="11" t="str">
        <f t="shared" si="27"/>
        <v/>
      </c>
      <c r="P1783"/>
      <c r="Q1783" s="11"/>
    </row>
    <row r="1784" spans="2:17" x14ac:dyDescent="0.35">
      <c r="B1784"/>
      <c r="C1784"/>
      <c r="D1784"/>
      <c r="E1784"/>
      <c r="F1784"/>
      <c r="G1784"/>
      <c r="H1784"/>
      <c r="I1784"/>
      <c r="J1784"/>
      <c r="K1784"/>
      <c r="L1784"/>
      <c r="M1784"/>
      <c r="N1784"/>
      <c r="O1784" s="11" t="str">
        <f t="shared" si="27"/>
        <v/>
      </c>
      <c r="P1784"/>
      <c r="Q1784" s="11"/>
    </row>
    <row r="1785" spans="2:17" x14ac:dyDescent="0.35">
      <c r="B1785"/>
      <c r="C1785"/>
      <c r="D1785"/>
      <c r="E1785"/>
      <c r="F1785"/>
      <c r="G1785"/>
      <c r="H1785"/>
      <c r="I1785"/>
      <c r="J1785"/>
      <c r="K1785"/>
      <c r="L1785"/>
      <c r="M1785"/>
      <c r="N1785"/>
      <c r="O1785" s="11" t="str">
        <f t="shared" si="27"/>
        <v/>
      </c>
      <c r="P1785"/>
      <c r="Q1785" s="11"/>
    </row>
    <row r="1786" spans="2:17" x14ac:dyDescent="0.35">
      <c r="B1786"/>
      <c r="C1786"/>
      <c r="D1786"/>
      <c r="E1786"/>
      <c r="F1786"/>
      <c r="G1786"/>
      <c r="H1786"/>
      <c r="I1786"/>
      <c r="J1786"/>
      <c r="K1786"/>
      <c r="L1786"/>
      <c r="M1786"/>
      <c r="N1786"/>
      <c r="O1786" s="11" t="str">
        <f t="shared" si="27"/>
        <v/>
      </c>
      <c r="P1786"/>
      <c r="Q1786" s="11"/>
    </row>
    <row r="1787" spans="2:17" x14ac:dyDescent="0.35">
      <c r="B1787"/>
      <c r="C1787"/>
      <c r="D1787"/>
      <c r="E1787"/>
      <c r="F1787"/>
      <c r="G1787"/>
      <c r="H1787"/>
      <c r="I1787"/>
      <c r="J1787"/>
      <c r="K1787"/>
      <c r="L1787"/>
      <c r="M1787"/>
      <c r="N1787"/>
      <c r="O1787" s="11" t="str">
        <f t="shared" si="27"/>
        <v/>
      </c>
      <c r="P1787"/>
      <c r="Q1787" s="11"/>
    </row>
    <row r="1788" spans="2:17" x14ac:dyDescent="0.35">
      <c r="B1788"/>
      <c r="C1788"/>
      <c r="D1788"/>
      <c r="E1788"/>
      <c r="F1788"/>
      <c r="G1788"/>
      <c r="H1788"/>
      <c r="I1788"/>
      <c r="J1788"/>
      <c r="K1788"/>
      <c r="L1788"/>
      <c r="M1788"/>
      <c r="N1788"/>
      <c r="O1788" s="11" t="str">
        <f t="shared" si="27"/>
        <v/>
      </c>
      <c r="P1788"/>
      <c r="Q1788" s="11"/>
    </row>
    <row r="1789" spans="2:17" x14ac:dyDescent="0.35">
      <c r="B1789"/>
      <c r="C1789"/>
      <c r="D1789"/>
      <c r="E1789"/>
      <c r="F1789"/>
      <c r="G1789"/>
      <c r="H1789"/>
      <c r="I1789"/>
      <c r="J1789"/>
      <c r="K1789"/>
      <c r="L1789"/>
      <c r="M1789"/>
      <c r="N1789"/>
      <c r="O1789" s="11" t="str">
        <f t="shared" si="27"/>
        <v/>
      </c>
      <c r="P1789"/>
      <c r="Q1789" s="11"/>
    </row>
    <row r="1790" spans="2:17" x14ac:dyDescent="0.35">
      <c r="B1790"/>
      <c r="C1790"/>
      <c r="D1790"/>
      <c r="E1790"/>
      <c r="F1790"/>
      <c r="G1790"/>
      <c r="H1790"/>
      <c r="I1790"/>
      <c r="J1790"/>
      <c r="K1790"/>
      <c r="L1790"/>
      <c r="M1790"/>
      <c r="N1790"/>
      <c r="O1790" s="11" t="str">
        <f t="shared" si="27"/>
        <v/>
      </c>
      <c r="P1790"/>
      <c r="Q1790" s="11"/>
    </row>
    <row r="1791" spans="2:17" x14ac:dyDescent="0.35">
      <c r="B1791"/>
      <c r="C1791"/>
      <c r="D1791"/>
      <c r="E1791"/>
      <c r="F1791"/>
      <c r="G1791"/>
      <c r="H1791"/>
      <c r="I1791"/>
      <c r="J1791"/>
      <c r="K1791"/>
      <c r="L1791"/>
      <c r="M1791"/>
      <c r="N1791"/>
      <c r="O1791" s="11" t="str">
        <f t="shared" si="27"/>
        <v/>
      </c>
      <c r="P1791"/>
      <c r="Q1791" s="11"/>
    </row>
    <row r="1792" spans="2:17" x14ac:dyDescent="0.35">
      <c r="B1792"/>
      <c r="C1792"/>
      <c r="D1792"/>
      <c r="E1792"/>
      <c r="F1792"/>
      <c r="G1792"/>
      <c r="H1792"/>
      <c r="I1792"/>
      <c r="J1792"/>
      <c r="K1792"/>
      <c r="L1792"/>
      <c r="M1792"/>
      <c r="N1792"/>
      <c r="O1792" s="11" t="str">
        <f t="shared" si="27"/>
        <v/>
      </c>
      <c r="P1792"/>
      <c r="Q1792" s="11"/>
    </row>
    <row r="1793" spans="2:17" x14ac:dyDescent="0.35">
      <c r="B1793"/>
      <c r="C1793"/>
      <c r="D1793"/>
      <c r="E1793"/>
      <c r="F1793"/>
      <c r="G1793"/>
      <c r="H1793"/>
      <c r="I1793"/>
      <c r="J1793"/>
      <c r="K1793"/>
      <c r="L1793"/>
      <c r="M1793"/>
      <c r="N1793"/>
      <c r="O1793" s="11" t="str">
        <f t="shared" si="27"/>
        <v/>
      </c>
      <c r="P1793"/>
      <c r="Q1793" s="11"/>
    </row>
    <row r="1794" spans="2:17" x14ac:dyDescent="0.35">
      <c r="B1794"/>
      <c r="C1794"/>
      <c r="D1794"/>
      <c r="E1794"/>
      <c r="F1794"/>
      <c r="G1794"/>
      <c r="H1794"/>
      <c r="I1794"/>
      <c r="J1794"/>
      <c r="K1794"/>
      <c r="L1794"/>
      <c r="M1794"/>
      <c r="N1794"/>
      <c r="O1794" s="11" t="str">
        <f t="shared" si="27"/>
        <v/>
      </c>
      <c r="P1794"/>
      <c r="Q1794" s="11"/>
    </row>
    <row r="1795" spans="2:17" x14ac:dyDescent="0.35">
      <c r="B1795"/>
      <c r="C1795"/>
      <c r="D1795"/>
      <c r="E1795"/>
      <c r="F1795"/>
      <c r="G1795"/>
      <c r="H1795"/>
      <c r="I1795"/>
      <c r="J1795"/>
      <c r="K1795"/>
      <c r="L1795"/>
      <c r="M1795"/>
      <c r="N1795"/>
      <c r="O1795" s="11" t="str">
        <f t="shared" si="27"/>
        <v/>
      </c>
      <c r="P1795"/>
      <c r="Q1795" s="11"/>
    </row>
    <row r="1796" spans="2:17" x14ac:dyDescent="0.35">
      <c r="B1796"/>
      <c r="C1796"/>
      <c r="D1796"/>
      <c r="E1796"/>
      <c r="F1796"/>
      <c r="G1796"/>
      <c r="H1796"/>
      <c r="I1796"/>
      <c r="J1796"/>
      <c r="K1796"/>
      <c r="L1796"/>
      <c r="M1796"/>
      <c r="N1796"/>
      <c r="O1796" s="11" t="str">
        <f t="shared" si="27"/>
        <v/>
      </c>
      <c r="P1796"/>
      <c r="Q1796" s="11"/>
    </row>
    <row r="1797" spans="2:17" x14ac:dyDescent="0.35">
      <c r="B1797"/>
      <c r="C1797"/>
      <c r="D1797"/>
      <c r="E1797"/>
      <c r="F1797"/>
      <c r="G1797"/>
      <c r="H1797"/>
      <c r="I1797"/>
      <c r="J1797"/>
      <c r="K1797"/>
      <c r="L1797"/>
      <c r="M1797"/>
      <c r="N1797"/>
      <c r="O1797" s="11" t="str">
        <f t="shared" si="27"/>
        <v/>
      </c>
      <c r="P1797"/>
      <c r="Q1797" s="11"/>
    </row>
    <row r="1798" spans="2:17" x14ac:dyDescent="0.35">
      <c r="B1798"/>
      <c r="C1798"/>
      <c r="D1798"/>
      <c r="E1798"/>
      <c r="F1798"/>
      <c r="G1798"/>
      <c r="H1798"/>
      <c r="I1798"/>
      <c r="J1798"/>
      <c r="K1798"/>
      <c r="L1798"/>
      <c r="M1798"/>
      <c r="N1798"/>
      <c r="O1798" s="11" t="str">
        <f t="shared" si="27"/>
        <v/>
      </c>
      <c r="P1798"/>
      <c r="Q1798" s="11"/>
    </row>
    <row r="1799" spans="2:17" x14ac:dyDescent="0.35">
      <c r="B1799"/>
      <c r="C1799"/>
      <c r="D1799"/>
      <c r="E1799"/>
      <c r="F1799"/>
      <c r="G1799"/>
      <c r="H1799"/>
      <c r="I1799"/>
      <c r="J1799"/>
      <c r="K1799"/>
      <c r="L1799"/>
      <c r="M1799"/>
      <c r="N1799"/>
      <c r="O1799" s="11" t="str">
        <f t="shared" si="27"/>
        <v/>
      </c>
      <c r="P1799"/>
      <c r="Q1799" s="11"/>
    </row>
    <row r="1800" spans="2:17" x14ac:dyDescent="0.35">
      <c r="B1800"/>
      <c r="C1800"/>
      <c r="D1800"/>
      <c r="E1800"/>
      <c r="F1800"/>
      <c r="G1800"/>
      <c r="H1800"/>
      <c r="I1800"/>
      <c r="J1800"/>
      <c r="K1800"/>
      <c r="L1800"/>
      <c r="M1800"/>
      <c r="N1800"/>
      <c r="O1800" s="11" t="str">
        <f t="shared" si="27"/>
        <v/>
      </c>
      <c r="P1800"/>
      <c r="Q1800" s="11"/>
    </row>
    <row r="1801" spans="2:17" x14ac:dyDescent="0.35">
      <c r="B1801"/>
      <c r="C1801"/>
      <c r="D1801"/>
      <c r="E1801"/>
      <c r="F1801"/>
      <c r="G1801"/>
      <c r="H1801"/>
      <c r="I1801"/>
      <c r="J1801"/>
      <c r="K1801"/>
      <c r="L1801"/>
      <c r="M1801"/>
      <c r="N1801"/>
      <c r="O1801" s="11" t="str">
        <f t="shared" si="27"/>
        <v/>
      </c>
      <c r="P1801"/>
      <c r="Q1801" s="11"/>
    </row>
    <row r="1802" spans="2:17" x14ac:dyDescent="0.35">
      <c r="B1802"/>
      <c r="C1802"/>
      <c r="D1802"/>
      <c r="E1802"/>
      <c r="F1802"/>
      <c r="G1802"/>
      <c r="H1802"/>
      <c r="I1802"/>
      <c r="J1802"/>
      <c r="K1802"/>
      <c r="L1802"/>
      <c r="M1802"/>
      <c r="N1802"/>
      <c r="O1802" s="11" t="str">
        <f t="shared" si="27"/>
        <v/>
      </c>
      <c r="P1802"/>
      <c r="Q1802" s="11"/>
    </row>
    <row r="1803" spans="2:17" x14ac:dyDescent="0.35">
      <c r="B1803"/>
      <c r="C1803"/>
      <c r="D1803"/>
      <c r="E1803"/>
      <c r="F1803"/>
      <c r="G1803"/>
      <c r="H1803"/>
      <c r="I1803"/>
      <c r="J1803"/>
      <c r="K1803"/>
      <c r="L1803"/>
      <c r="M1803"/>
      <c r="N1803"/>
      <c r="O1803" s="11" t="str">
        <f t="shared" si="27"/>
        <v/>
      </c>
      <c r="P1803"/>
      <c r="Q1803" s="11"/>
    </row>
    <row r="1804" spans="2:17" x14ac:dyDescent="0.35">
      <c r="B1804"/>
      <c r="C1804"/>
      <c r="D1804"/>
      <c r="E1804"/>
      <c r="F1804"/>
      <c r="G1804"/>
      <c r="H1804"/>
      <c r="I1804"/>
      <c r="J1804"/>
      <c r="K1804"/>
      <c r="L1804"/>
      <c r="M1804"/>
      <c r="N1804"/>
      <c r="O1804" s="11" t="str">
        <f t="shared" si="27"/>
        <v/>
      </c>
      <c r="P1804"/>
      <c r="Q1804" s="11"/>
    </row>
    <row r="1805" spans="2:17" x14ac:dyDescent="0.35">
      <c r="B1805"/>
      <c r="C1805"/>
      <c r="D1805"/>
      <c r="E1805"/>
      <c r="F1805"/>
      <c r="G1805"/>
      <c r="H1805"/>
      <c r="I1805"/>
      <c r="J1805"/>
      <c r="K1805"/>
      <c r="L1805"/>
      <c r="M1805"/>
      <c r="N1805"/>
      <c r="O1805" s="11" t="str">
        <f t="shared" si="27"/>
        <v/>
      </c>
      <c r="P1805"/>
      <c r="Q1805" s="11"/>
    </row>
    <row r="1806" spans="2:17" x14ac:dyDescent="0.35">
      <c r="B1806"/>
      <c r="C1806"/>
      <c r="D1806"/>
      <c r="E1806"/>
      <c r="F1806"/>
      <c r="G1806"/>
      <c r="H1806"/>
      <c r="I1806"/>
      <c r="J1806"/>
      <c r="K1806"/>
      <c r="L1806"/>
      <c r="M1806"/>
      <c r="N1806"/>
      <c r="O1806" s="11" t="str">
        <f t="shared" si="27"/>
        <v/>
      </c>
      <c r="P1806"/>
      <c r="Q1806" s="11"/>
    </row>
    <row r="1807" spans="2:17" x14ac:dyDescent="0.35">
      <c r="B1807"/>
      <c r="C1807"/>
      <c r="D1807"/>
      <c r="E1807"/>
      <c r="F1807"/>
      <c r="G1807"/>
      <c r="H1807"/>
      <c r="I1807"/>
      <c r="J1807"/>
      <c r="K1807"/>
      <c r="L1807"/>
      <c r="M1807"/>
      <c r="N1807"/>
      <c r="O1807" s="11" t="str">
        <f t="shared" si="27"/>
        <v/>
      </c>
      <c r="P1807"/>
      <c r="Q1807" s="11"/>
    </row>
    <row r="1808" spans="2:17" x14ac:dyDescent="0.35">
      <c r="B1808"/>
      <c r="C1808"/>
      <c r="D1808"/>
      <c r="E1808"/>
      <c r="F1808"/>
      <c r="G1808"/>
      <c r="H1808"/>
      <c r="I1808"/>
      <c r="J1808"/>
      <c r="K1808"/>
      <c r="L1808"/>
      <c r="M1808"/>
      <c r="N1808"/>
      <c r="O1808" s="11" t="str">
        <f t="shared" si="27"/>
        <v/>
      </c>
      <c r="P1808"/>
      <c r="Q1808" s="11"/>
    </row>
    <row r="1809" spans="2:17" x14ac:dyDescent="0.35">
      <c r="B1809"/>
      <c r="C1809"/>
      <c r="D1809"/>
      <c r="E1809"/>
      <c r="F1809"/>
      <c r="G1809"/>
      <c r="H1809"/>
      <c r="I1809"/>
      <c r="J1809"/>
      <c r="K1809"/>
      <c r="L1809"/>
      <c r="M1809"/>
      <c r="N1809"/>
      <c r="O1809" s="11" t="str">
        <f t="shared" si="27"/>
        <v/>
      </c>
      <c r="P1809"/>
      <c r="Q1809" s="11"/>
    </row>
    <row r="1810" spans="2:17" x14ac:dyDescent="0.35">
      <c r="B1810"/>
      <c r="C1810"/>
      <c r="D1810"/>
      <c r="E1810"/>
      <c r="F1810"/>
      <c r="G1810"/>
      <c r="H1810"/>
      <c r="I1810"/>
      <c r="J1810"/>
      <c r="K1810"/>
      <c r="L1810"/>
      <c r="M1810"/>
      <c r="N1810"/>
      <c r="O1810" s="11" t="str">
        <f t="shared" si="27"/>
        <v/>
      </c>
      <c r="P1810"/>
      <c r="Q1810" s="11"/>
    </row>
    <row r="1811" spans="2:17" x14ac:dyDescent="0.35">
      <c r="B1811"/>
      <c r="C1811"/>
      <c r="D1811"/>
      <c r="E1811"/>
      <c r="F1811"/>
      <c r="G1811"/>
      <c r="H1811"/>
      <c r="I1811"/>
      <c r="J1811"/>
      <c r="K1811"/>
      <c r="L1811"/>
      <c r="M1811"/>
      <c r="N1811"/>
      <c r="O1811" s="11" t="str">
        <f t="shared" si="27"/>
        <v/>
      </c>
      <c r="P1811"/>
      <c r="Q1811" s="11"/>
    </row>
    <row r="1812" spans="2:17" x14ac:dyDescent="0.35">
      <c r="B1812"/>
      <c r="C1812"/>
      <c r="D1812"/>
      <c r="E1812"/>
      <c r="F1812"/>
      <c r="G1812"/>
      <c r="H1812"/>
      <c r="I1812"/>
      <c r="J1812"/>
      <c r="K1812"/>
      <c r="L1812"/>
      <c r="M1812"/>
      <c r="N1812"/>
      <c r="O1812" s="11" t="str">
        <f t="shared" si="27"/>
        <v/>
      </c>
      <c r="P1812"/>
      <c r="Q1812" s="11"/>
    </row>
    <row r="1813" spans="2:17" x14ac:dyDescent="0.35">
      <c r="B1813"/>
      <c r="C1813"/>
      <c r="D1813"/>
      <c r="E1813"/>
      <c r="F1813"/>
      <c r="G1813"/>
      <c r="H1813"/>
      <c r="I1813"/>
      <c r="J1813"/>
      <c r="K1813"/>
      <c r="L1813"/>
      <c r="M1813"/>
      <c r="N1813"/>
      <c r="O1813" s="11" t="str">
        <f t="shared" ref="O1813:O1876" si="28">IFERROR(RATE(2033-2026,,-G1813,N1813),"")</f>
        <v/>
      </c>
      <c r="P1813"/>
      <c r="Q1813" s="11"/>
    </row>
    <row r="1814" spans="2:17" x14ac:dyDescent="0.35">
      <c r="B1814"/>
      <c r="C1814"/>
      <c r="D1814"/>
      <c r="E1814"/>
      <c r="F1814"/>
      <c r="G1814"/>
      <c r="H1814"/>
      <c r="I1814"/>
      <c r="J1814"/>
      <c r="K1814"/>
      <c r="L1814"/>
      <c r="M1814"/>
      <c r="N1814"/>
      <c r="O1814" s="11" t="str">
        <f t="shared" si="28"/>
        <v/>
      </c>
      <c r="P1814"/>
      <c r="Q1814" s="11"/>
    </row>
    <row r="1815" spans="2:17" x14ac:dyDescent="0.35">
      <c r="B1815"/>
      <c r="C1815"/>
      <c r="D1815"/>
      <c r="E1815"/>
      <c r="F1815"/>
      <c r="G1815"/>
      <c r="H1815"/>
      <c r="I1815"/>
      <c r="J1815"/>
      <c r="K1815"/>
      <c r="L1815"/>
      <c r="M1815"/>
      <c r="N1815"/>
      <c r="O1815" s="11" t="str">
        <f t="shared" si="28"/>
        <v/>
      </c>
      <c r="P1815"/>
      <c r="Q1815" s="11"/>
    </row>
    <row r="1816" spans="2:17" x14ac:dyDescent="0.35">
      <c r="B1816"/>
      <c r="C1816"/>
      <c r="D1816"/>
      <c r="E1816"/>
      <c r="F1816"/>
      <c r="G1816"/>
      <c r="H1816"/>
      <c r="I1816"/>
      <c r="J1816"/>
      <c r="K1816"/>
      <c r="L1816"/>
      <c r="M1816"/>
      <c r="N1816"/>
      <c r="O1816" s="11" t="str">
        <f t="shared" si="28"/>
        <v/>
      </c>
      <c r="P1816"/>
      <c r="Q1816" s="11"/>
    </row>
    <row r="1817" spans="2:17" x14ac:dyDescent="0.35">
      <c r="B1817"/>
      <c r="C1817"/>
      <c r="D1817"/>
      <c r="E1817"/>
      <c r="F1817"/>
      <c r="G1817"/>
      <c r="H1817"/>
      <c r="I1817"/>
      <c r="J1817"/>
      <c r="K1817"/>
      <c r="L1817"/>
      <c r="M1817"/>
      <c r="N1817"/>
      <c r="O1817" s="11" t="str">
        <f t="shared" si="28"/>
        <v/>
      </c>
      <c r="P1817"/>
      <c r="Q1817" s="11"/>
    </row>
    <row r="1818" spans="2:17" x14ac:dyDescent="0.35">
      <c r="B1818"/>
      <c r="C1818"/>
      <c r="D1818"/>
      <c r="E1818"/>
      <c r="F1818"/>
      <c r="G1818"/>
      <c r="H1818"/>
      <c r="I1818"/>
      <c r="J1818"/>
      <c r="K1818"/>
      <c r="L1818"/>
      <c r="M1818"/>
      <c r="N1818"/>
      <c r="O1818" s="11" t="str">
        <f t="shared" si="28"/>
        <v/>
      </c>
      <c r="P1818"/>
      <c r="Q1818" s="11"/>
    </row>
    <row r="1819" spans="2:17" x14ac:dyDescent="0.35">
      <c r="B1819"/>
      <c r="C1819"/>
      <c r="D1819"/>
      <c r="E1819"/>
      <c r="F1819"/>
      <c r="G1819"/>
      <c r="H1819"/>
      <c r="I1819"/>
      <c r="J1819"/>
      <c r="K1819"/>
      <c r="L1819"/>
      <c r="M1819"/>
      <c r="N1819"/>
      <c r="O1819" s="11" t="str">
        <f t="shared" si="28"/>
        <v/>
      </c>
      <c r="P1819"/>
      <c r="Q1819" s="11"/>
    </row>
    <row r="1820" spans="2:17" x14ac:dyDescent="0.35">
      <c r="B1820"/>
      <c r="C1820"/>
      <c r="D1820"/>
      <c r="E1820"/>
      <c r="F1820"/>
      <c r="G1820"/>
      <c r="H1820"/>
      <c r="I1820"/>
      <c r="J1820"/>
      <c r="K1820"/>
      <c r="L1820"/>
      <c r="M1820"/>
      <c r="N1820"/>
      <c r="O1820" s="11" t="str">
        <f t="shared" si="28"/>
        <v/>
      </c>
      <c r="P1820"/>
      <c r="Q1820" s="11"/>
    </row>
    <row r="1821" spans="2:17" x14ac:dyDescent="0.35">
      <c r="B1821"/>
      <c r="C1821"/>
      <c r="D1821"/>
      <c r="E1821"/>
      <c r="F1821"/>
      <c r="G1821"/>
      <c r="H1821"/>
      <c r="I1821"/>
      <c r="J1821"/>
      <c r="K1821"/>
      <c r="L1821"/>
      <c r="M1821"/>
      <c r="N1821"/>
      <c r="O1821" s="11" t="str">
        <f t="shared" si="28"/>
        <v/>
      </c>
      <c r="P1821"/>
      <c r="Q1821" s="11"/>
    </row>
    <row r="1822" spans="2:17" x14ac:dyDescent="0.35">
      <c r="B1822"/>
      <c r="C1822"/>
      <c r="D1822"/>
      <c r="E1822"/>
      <c r="F1822"/>
      <c r="G1822"/>
      <c r="H1822"/>
      <c r="I1822"/>
      <c r="J1822"/>
      <c r="K1822"/>
      <c r="L1822"/>
      <c r="M1822"/>
      <c r="N1822"/>
      <c r="O1822" s="11" t="str">
        <f t="shared" si="28"/>
        <v/>
      </c>
      <c r="P1822"/>
      <c r="Q1822" s="11"/>
    </row>
    <row r="1823" spans="2:17" x14ac:dyDescent="0.35">
      <c r="B1823"/>
      <c r="C1823"/>
      <c r="D1823"/>
      <c r="E1823"/>
      <c r="F1823"/>
      <c r="G1823"/>
      <c r="H1823"/>
      <c r="I1823"/>
      <c r="J1823"/>
      <c r="K1823"/>
      <c r="L1823"/>
      <c r="M1823"/>
      <c r="N1823"/>
      <c r="O1823" s="11" t="str">
        <f t="shared" si="28"/>
        <v/>
      </c>
      <c r="P1823"/>
      <c r="Q1823" s="11"/>
    </row>
    <row r="1824" spans="2:17" x14ac:dyDescent="0.35">
      <c r="B1824"/>
      <c r="C1824"/>
      <c r="D1824"/>
      <c r="E1824"/>
      <c r="F1824"/>
      <c r="G1824"/>
      <c r="H1824"/>
      <c r="I1824"/>
      <c r="J1824"/>
      <c r="K1824"/>
      <c r="L1824"/>
      <c r="M1824"/>
      <c r="N1824"/>
      <c r="O1824" s="11" t="str">
        <f t="shared" si="28"/>
        <v/>
      </c>
      <c r="P1824"/>
      <c r="Q1824" s="11"/>
    </row>
    <row r="1825" spans="2:17" x14ac:dyDescent="0.35">
      <c r="B1825"/>
      <c r="C1825"/>
      <c r="D1825"/>
      <c r="E1825"/>
      <c r="F1825"/>
      <c r="G1825"/>
      <c r="H1825"/>
      <c r="I1825"/>
      <c r="J1825"/>
      <c r="K1825"/>
      <c r="L1825"/>
      <c r="M1825"/>
      <c r="N1825"/>
      <c r="O1825" s="11" t="str">
        <f t="shared" si="28"/>
        <v/>
      </c>
      <c r="P1825"/>
      <c r="Q1825" s="11"/>
    </row>
    <row r="1826" spans="2:17" x14ac:dyDescent="0.35">
      <c r="B1826"/>
      <c r="C1826"/>
      <c r="D1826"/>
      <c r="E1826"/>
      <c r="F1826"/>
      <c r="G1826"/>
      <c r="H1826"/>
      <c r="I1826"/>
      <c r="J1826"/>
      <c r="K1826"/>
      <c r="L1826"/>
      <c r="M1826"/>
      <c r="N1826"/>
      <c r="O1826" s="11" t="str">
        <f t="shared" si="28"/>
        <v/>
      </c>
      <c r="P1826"/>
      <c r="Q1826" s="11"/>
    </row>
    <row r="1827" spans="2:17" x14ac:dyDescent="0.35">
      <c r="B1827"/>
      <c r="C1827"/>
      <c r="D1827"/>
      <c r="E1827"/>
      <c r="F1827"/>
      <c r="G1827"/>
      <c r="H1827"/>
      <c r="I1827"/>
      <c r="J1827"/>
      <c r="K1827"/>
      <c r="L1827"/>
      <c r="M1827"/>
      <c r="N1827"/>
      <c r="O1827" s="11" t="str">
        <f t="shared" si="28"/>
        <v/>
      </c>
      <c r="P1827"/>
      <c r="Q1827" s="11"/>
    </row>
    <row r="1828" spans="2:17" x14ac:dyDescent="0.35">
      <c r="B1828"/>
      <c r="C1828"/>
      <c r="D1828"/>
      <c r="E1828"/>
      <c r="F1828"/>
      <c r="G1828"/>
      <c r="H1828"/>
      <c r="I1828"/>
      <c r="J1828"/>
      <c r="K1828"/>
      <c r="L1828"/>
      <c r="M1828"/>
      <c r="N1828"/>
      <c r="O1828" s="11" t="str">
        <f t="shared" si="28"/>
        <v/>
      </c>
      <c r="P1828"/>
      <c r="Q1828" s="11"/>
    </row>
    <row r="1829" spans="2:17" x14ac:dyDescent="0.35">
      <c r="B1829"/>
      <c r="C1829"/>
      <c r="D1829"/>
      <c r="E1829"/>
      <c r="F1829"/>
      <c r="G1829"/>
      <c r="H1829"/>
      <c r="I1829"/>
      <c r="J1829"/>
      <c r="K1829"/>
      <c r="L1829"/>
      <c r="M1829"/>
      <c r="N1829"/>
      <c r="O1829" s="11" t="str">
        <f t="shared" si="28"/>
        <v/>
      </c>
      <c r="P1829"/>
      <c r="Q1829" s="11"/>
    </row>
    <row r="1830" spans="2:17" x14ac:dyDescent="0.35">
      <c r="B1830"/>
      <c r="C1830"/>
      <c r="D1830"/>
      <c r="E1830"/>
      <c r="F1830"/>
      <c r="G1830"/>
      <c r="H1830"/>
      <c r="I1830"/>
      <c r="J1830"/>
      <c r="K1830"/>
      <c r="L1830"/>
      <c r="M1830"/>
      <c r="N1830"/>
      <c r="O1830" s="11" t="str">
        <f t="shared" si="28"/>
        <v/>
      </c>
      <c r="P1830"/>
      <c r="Q1830" s="11"/>
    </row>
    <row r="1831" spans="2:17" x14ac:dyDescent="0.35">
      <c r="B1831"/>
      <c r="C1831"/>
      <c r="D1831"/>
      <c r="E1831"/>
      <c r="F1831"/>
      <c r="G1831"/>
      <c r="H1831"/>
      <c r="I1831"/>
      <c r="J1831"/>
      <c r="K1831"/>
      <c r="L1831"/>
      <c r="M1831"/>
      <c r="N1831"/>
      <c r="O1831" s="11" t="str">
        <f t="shared" si="28"/>
        <v/>
      </c>
      <c r="P1831"/>
      <c r="Q1831" s="11"/>
    </row>
    <row r="1832" spans="2:17" x14ac:dyDescent="0.35">
      <c r="B1832"/>
      <c r="C1832"/>
      <c r="D1832"/>
      <c r="E1832"/>
      <c r="F1832"/>
      <c r="G1832"/>
      <c r="H1832"/>
      <c r="I1832"/>
      <c r="J1832"/>
      <c r="K1832"/>
      <c r="L1832"/>
      <c r="M1832"/>
      <c r="N1832"/>
      <c r="O1832" s="11" t="str">
        <f t="shared" si="28"/>
        <v/>
      </c>
      <c r="P1832"/>
      <c r="Q1832" s="11"/>
    </row>
    <row r="1833" spans="2:17" x14ac:dyDescent="0.35">
      <c r="B1833"/>
      <c r="C1833"/>
      <c r="D1833"/>
      <c r="E1833"/>
      <c r="F1833"/>
      <c r="G1833"/>
      <c r="H1833"/>
      <c r="I1833"/>
      <c r="J1833"/>
      <c r="K1833"/>
      <c r="L1833"/>
      <c r="M1833"/>
      <c r="N1833"/>
      <c r="O1833" s="11" t="str">
        <f t="shared" si="28"/>
        <v/>
      </c>
      <c r="P1833"/>
      <c r="Q1833" s="11"/>
    </row>
    <row r="1834" spans="2:17" x14ac:dyDescent="0.35">
      <c r="B1834"/>
      <c r="C1834"/>
      <c r="D1834"/>
      <c r="E1834"/>
      <c r="F1834"/>
      <c r="G1834"/>
      <c r="H1834"/>
      <c r="I1834"/>
      <c r="J1834"/>
      <c r="K1834"/>
      <c r="L1834"/>
      <c r="M1834"/>
      <c r="N1834"/>
      <c r="O1834" s="11" t="str">
        <f t="shared" si="28"/>
        <v/>
      </c>
      <c r="P1834"/>
      <c r="Q1834" s="11"/>
    </row>
    <row r="1835" spans="2:17" x14ac:dyDescent="0.35">
      <c r="B1835"/>
      <c r="C1835"/>
      <c r="D1835"/>
      <c r="E1835"/>
      <c r="F1835"/>
      <c r="G1835"/>
      <c r="H1835"/>
      <c r="I1835"/>
      <c r="J1835"/>
      <c r="K1835"/>
      <c r="L1835"/>
      <c r="M1835"/>
      <c r="N1835"/>
      <c r="O1835" s="11" t="str">
        <f t="shared" si="28"/>
        <v/>
      </c>
      <c r="P1835"/>
      <c r="Q1835" s="11"/>
    </row>
    <row r="1836" spans="2:17" x14ac:dyDescent="0.35">
      <c r="B1836"/>
      <c r="C1836"/>
      <c r="D1836"/>
      <c r="E1836"/>
      <c r="F1836"/>
      <c r="G1836"/>
      <c r="H1836"/>
      <c r="I1836"/>
      <c r="J1836"/>
      <c r="K1836"/>
      <c r="L1836"/>
      <c r="M1836"/>
      <c r="N1836"/>
      <c r="O1836" s="11" t="str">
        <f t="shared" si="28"/>
        <v/>
      </c>
      <c r="P1836"/>
      <c r="Q1836" s="11"/>
    </row>
    <row r="1837" spans="2:17" x14ac:dyDescent="0.35">
      <c r="B1837"/>
      <c r="C1837"/>
      <c r="D1837"/>
      <c r="E1837"/>
      <c r="F1837"/>
      <c r="G1837"/>
      <c r="H1837"/>
      <c r="I1837"/>
      <c r="J1837"/>
      <c r="K1837"/>
      <c r="L1837"/>
      <c r="M1837"/>
      <c r="N1837"/>
      <c r="O1837" s="11" t="str">
        <f t="shared" si="28"/>
        <v/>
      </c>
      <c r="P1837"/>
      <c r="Q1837" s="11"/>
    </row>
    <row r="1838" spans="2:17" x14ac:dyDescent="0.35">
      <c r="B1838"/>
      <c r="C1838"/>
      <c r="D1838"/>
      <c r="E1838"/>
      <c r="F1838"/>
      <c r="G1838"/>
      <c r="H1838"/>
      <c r="I1838"/>
      <c r="J1838"/>
      <c r="K1838"/>
      <c r="L1838"/>
      <c r="M1838"/>
      <c r="N1838"/>
      <c r="O1838" s="11" t="str">
        <f t="shared" si="28"/>
        <v/>
      </c>
      <c r="P1838"/>
      <c r="Q1838" s="11"/>
    </row>
    <row r="1839" spans="2:17" x14ac:dyDescent="0.35">
      <c r="B1839"/>
      <c r="C1839"/>
      <c r="D1839"/>
      <c r="E1839"/>
      <c r="F1839"/>
      <c r="G1839"/>
      <c r="H1839"/>
      <c r="I1839"/>
      <c r="J1839"/>
      <c r="K1839"/>
      <c r="L1839"/>
      <c r="M1839"/>
      <c r="N1839"/>
      <c r="O1839" s="11" t="str">
        <f t="shared" si="28"/>
        <v/>
      </c>
      <c r="P1839"/>
      <c r="Q1839" s="11"/>
    </row>
    <row r="1840" spans="2:17" x14ac:dyDescent="0.35">
      <c r="B1840"/>
      <c r="C1840"/>
      <c r="D1840"/>
      <c r="E1840"/>
      <c r="F1840"/>
      <c r="G1840"/>
      <c r="H1840"/>
      <c r="I1840"/>
      <c r="J1840"/>
      <c r="K1840"/>
      <c r="L1840"/>
      <c r="M1840"/>
      <c r="N1840"/>
      <c r="O1840" s="11" t="str">
        <f t="shared" si="28"/>
        <v/>
      </c>
      <c r="P1840"/>
      <c r="Q1840" s="11"/>
    </row>
    <row r="1841" spans="2:17" x14ac:dyDescent="0.35">
      <c r="B1841"/>
      <c r="C1841"/>
      <c r="D1841"/>
      <c r="E1841"/>
      <c r="F1841"/>
      <c r="G1841"/>
      <c r="H1841"/>
      <c r="I1841"/>
      <c r="J1841"/>
      <c r="K1841"/>
      <c r="L1841"/>
      <c r="M1841"/>
      <c r="N1841"/>
      <c r="O1841" s="11" t="str">
        <f t="shared" si="28"/>
        <v/>
      </c>
      <c r="P1841"/>
      <c r="Q1841" s="11"/>
    </row>
    <row r="1842" spans="2:17" x14ac:dyDescent="0.35">
      <c r="B1842"/>
      <c r="C1842"/>
      <c r="D1842"/>
      <c r="E1842"/>
      <c r="F1842"/>
      <c r="G1842"/>
      <c r="H1842"/>
      <c r="I1842"/>
      <c r="J1842"/>
      <c r="K1842"/>
      <c r="L1842"/>
      <c r="M1842"/>
      <c r="N1842"/>
      <c r="O1842" s="11" t="str">
        <f t="shared" si="28"/>
        <v/>
      </c>
      <c r="P1842"/>
      <c r="Q1842" s="11"/>
    </row>
    <row r="1843" spans="2:17" x14ac:dyDescent="0.35">
      <c r="B1843"/>
      <c r="C1843"/>
      <c r="D1843"/>
      <c r="E1843"/>
      <c r="F1843"/>
      <c r="G1843"/>
      <c r="H1843"/>
      <c r="I1843"/>
      <c r="J1843"/>
      <c r="K1843"/>
      <c r="L1843"/>
      <c r="M1843"/>
      <c r="N1843"/>
      <c r="O1843" s="11" t="str">
        <f t="shared" si="28"/>
        <v/>
      </c>
      <c r="P1843"/>
      <c r="Q1843" s="11"/>
    </row>
    <row r="1844" spans="2:17" x14ac:dyDescent="0.35">
      <c r="B1844"/>
      <c r="C1844"/>
      <c r="D1844"/>
      <c r="E1844"/>
      <c r="F1844"/>
      <c r="G1844"/>
      <c r="H1844"/>
      <c r="I1844"/>
      <c r="J1844"/>
      <c r="K1844"/>
      <c r="L1844"/>
      <c r="M1844"/>
      <c r="N1844"/>
      <c r="O1844" s="11" t="str">
        <f t="shared" si="28"/>
        <v/>
      </c>
      <c r="P1844"/>
      <c r="Q1844" s="11"/>
    </row>
    <row r="1845" spans="2:17" x14ac:dyDescent="0.35">
      <c r="B1845"/>
      <c r="C1845"/>
      <c r="D1845"/>
      <c r="E1845"/>
      <c r="F1845"/>
      <c r="G1845"/>
      <c r="H1845"/>
      <c r="I1845"/>
      <c r="J1845"/>
      <c r="K1845"/>
      <c r="L1845"/>
      <c r="M1845"/>
      <c r="N1845"/>
      <c r="O1845" s="11" t="str">
        <f t="shared" si="28"/>
        <v/>
      </c>
      <c r="P1845"/>
      <c r="Q1845" s="11"/>
    </row>
    <row r="1846" spans="2:17" x14ac:dyDescent="0.35">
      <c r="B1846"/>
      <c r="C1846"/>
      <c r="D1846"/>
      <c r="E1846"/>
      <c r="F1846"/>
      <c r="G1846"/>
      <c r="H1846"/>
      <c r="I1846"/>
      <c r="J1846"/>
      <c r="K1846"/>
      <c r="L1846"/>
      <c r="M1846"/>
      <c r="N1846"/>
      <c r="O1846" s="11" t="str">
        <f t="shared" si="28"/>
        <v/>
      </c>
      <c r="P1846"/>
      <c r="Q1846" s="11"/>
    </row>
    <row r="1847" spans="2:17" x14ac:dyDescent="0.35">
      <c r="B1847"/>
      <c r="C1847"/>
      <c r="D1847"/>
      <c r="E1847"/>
      <c r="F1847"/>
      <c r="G1847"/>
      <c r="H1847"/>
      <c r="I1847"/>
      <c r="J1847"/>
      <c r="K1847"/>
      <c r="L1847"/>
      <c r="M1847"/>
      <c r="N1847"/>
      <c r="O1847" s="11" t="str">
        <f t="shared" si="28"/>
        <v/>
      </c>
      <c r="P1847"/>
      <c r="Q1847" s="11"/>
    </row>
    <row r="1848" spans="2:17" x14ac:dyDescent="0.35">
      <c r="B1848"/>
      <c r="C1848"/>
      <c r="D1848"/>
      <c r="E1848"/>
      <c r="F1848"/>
      <c r="G1848"/>
      <c r="H1848"/>
      <c r="I1848"/>
      <c r="J1848"/>
      <c r="K1848"/>
      <c r="L1848"/>
      <c r="M1848"/>
      <c r="N1848"/>
      <c r="O1848" s="11" t="str">
        <f t="shared" si="28"/>
        <v/>
      </c>
      <c r="P1848"/>
      <c r="Q1848" s="11"/>
    </row>
    <row r="1849" spans="2:17" x14ac:dyDescent="0.35">
      <c r="B1849"/>
      <c r="C1849"/>
      <c r="D1849"/>
      <c r="E1849"/>
      <c r="F1849"/>
      <c r="G1849"/>
      <c r="H1849"/>
      <c r="I1849"/>
      <c r="J1849"/>
      <c r="K1849"/>
      <c r="L1849"/>
      <c r="M1849"/>
      <c r="N1849"/>
      <c r="O1849" s="11" t="str">
        <f t="shared" si="28"/>
        <v/>
      </c>
      <c r="P1849"/>
      <c r="Q1849" s="11"/>
    </row>
    <row r="1850" spans="2:17" x14ac:dyDescent="0.35">
      <c r="B1850"/>
      <c r="C1850"/>
      <c r="D1850"/>
      <c r="E1850"/>
      <c r="F1850"/>
      <c r="G1850"/>
      <c r="H1850"/>
      <c r="I1850"/>
      <c r="J1850"/>
      <c r="K1850"/>
      <c r="L1850"/>
      <c r="M1850"/>
      <c r="N1850"/>
      <c r="O1850" s="11" t="str">
        <f t="shared" si="28"/>
        <v/>
      </c>
      <c r="P1850"/>
      <c r="Q1850" s="11"/>
    </row>
    <row r="1851" spans="2:17" x14ac:dyDescent="0.35">
      <c r="B1851"/>
      <c r="C1851"/>
      <c r="D1851"/>
      <c r="E1851"/>
      <c r="F1851"/>
      <c r="G1851"/>
      <c r="H1851"/>
      <c r="I1851"/>
      <c r="J1851"/>
      <c r="K1851"/>
      <c r="L1851"/>
      <c r="M1851"/>
      <c r="N1851"/>
      <c r="O1851" s="11" t="str">
        <f t="shared" si="28"/>
        <v/>
      </c>
      <c r="P1851"/>
      <c r="Q1851" s="11"/>
    </row>
    <row r="1852" spans="2:17" x14ac:dyDescent="0.35">
      <c r="B1852"/>
      <c r="C1852"/>
      <c r="D1852"/>
      <c r="E1852"/>
      <c r="F1852"/>
      <c r="G1852"/>
      <c r="H1852"/>
      <c r="I1852"/>
      <c r="J1852"/>
      <c r="K1852"/>
      <c r="L1852"/>
      <c r="M1852"/>
      <c r="N1852"/>
      <c r="O1852" s="11" t="str">
        <f t="shared" si="28"/>
        <v/>
      </c>
      <c r="P1852"/>
      <c r="Q1852" s="11"/>
    </row>
    <row r="1853" spans="2:17" x14ac:dyDescent="0.35">
      <c r="B1853"/>
      <c r="C1853"/>
      <c r="D1853"/>
      <c r="E1853"/>
      <c r="F1853"/>
      <c r="G1853"/>
      <c r="H1853"/>
      <c r="I1853"/>
      <c r="J1853"/>
      <c r="K1853"/>
      <c r="L1853"/>
      <c r="M1853"/>
      <c r="N1853"/>
      <c r="O1853" s="11" t="str">
        <f t="shared" si="28"/>
        <v/>
      </c>
      <c r="P1853"/>
      <c r="Q1853" s="11"/>
    </row>
    <row r="1854" spans="2:17" x14ac:dyDescent="0.35">
      <c r="B1854"/>
      <c r="C1854"/>
      <c r="D1854"/>
      <c r="E1854"/>
      <c r="F1854"/>
      <c r="G1854"/>
      <c r="H1854"/>
      <c r="I1854"/>
      <c r="J1854"/>
      <c r="K1854"/>
      <c r="L1854"/>
      <c r="M1854"/>
      <c r="N1854"/>
      <c r="O1854" s="11" t="str">
        <f t="shared" si="28"/>
        <v/>
      </c>
      <c r="P1854"/>
      <c r="Q1854" s="11"/>
    </row>
    <row r="1855" spans="2:17" x14ac:dyDescent="0.35">
      <c r="B1855"/>
      <c r="C1855"/>
      <c r="D1855"/>
      <c r="E1855"/>
      <c r="F1855"/>
      <c r="G1855"/>
      <c r="H1855"/>
      <c r="I1855"/>
      <c r="J1855"/>
      <c r="K1855"/>
      <c r="L1855"/>
      <c r="M1855"/>
      <c r="N1855"/>
      <c r="O1855" s="11" t="str">
        <f t="shared" si="28"/>
        <v/>
      </c>
      <c r="P1855"/>
      <c r="Q1855" s="11"/>
    </row>
    <row r="1856" spans="2:17" x14ac:dyDescent="0.35">
      <c r="B1856"/>
      <c r="C1856"/>
      <c r="D1856"/>
      <c r="E1856"/>
      <c r="F1856"/>
      <c r="G1856"/>
      <c r="H1856"/>
      <c r="I1856"/>
      <c r="J1856"/>
      <c r="K1856"/>
      <c r="L1856"/>
      <c r="M1856"/>
      <c r="N1856"/>
      <c r="O1856" s="11" t="str">
        <f t="shared" si="28"/>
        <v/>
      </c>
      <c r="P1856"/>
      <c r="Q1856" s="11"/>
    </row>
    <row r="1857" spans="2:17" x14ac:dyDescent="0.35">
      <c r="B1857"/>
      <c r="C1857"/>
      <c r="D1857"/>
      <c r="E1857"/>
      <c r="F1857"/>
      <c r="G1857"/>
      <c r="H1857"/>
      <c r="I1857"/>
      <c r="J1857"/>
      <c r="K1857"/>
      <c r="L1857"/>
      <c r="M1857"/>
      <c r="N1857"/>
      <c r="O1857" s="11" t="str">
        <f t="shared" si="28"/>
        <v/>
      </c>
      <c r="P1857"/>
      <c r="Q1857" s="11"/>
    </row>
    <row r="1858" spans="2:17" x14ac:dyDescent="0.35">
      <c r="B1858"/>
      <c r="C1858"/>
      <c r="D1858"/>
      <c r="E1858"/>
      <c r="F1858"/>
      <c r="G1858"/>
      <c r="H1858"/>
      <c r="I1858"/>
      <c r="J1858"/>
      <c r="K1858"/>
      <c r="L1858"/>
      <c r="M1858"/>
      <c r="N1858"/>
      <c r="O1858" s="11" t="str">
        <f t="shared" si="28"/>
        <v/>
      </c>
      <c r="P1858"/>
      <c r="Q1858" s="11"/>
    </row>
    <row r="1859" spans="2:17" x14ac:dyDescent="0.35">
      <c r="B1859"/>
      <c r="C1859"/>
      <c r="D1859"/>
      <c r="E1859"/>
      <c r="F1859"/>
      <c r="G1859"/>
      <c r="H1859"/>
      <c r="I1859"/>
      <c r="J1859"/>
      <c r="K1859"/>
      <c r="L1859"/>
      <c r="M1859"/>
      <c r="N1859"/>
      <c r="O1859" s="11" t="str">
        <f t="shared" si="28"/>
        <v/>
      </c>
      <c r="P1859"/>
      <c r="Q1859" s="11"/>
    </row>
    <row r="1860" spans="2:17" x14ac:dyDescent="0.35">
      <c r="B1860"/>
      <c r="C1860"/>
      <c r="D1860"/>
      <c r="E1860"/>
      <c r="F1860"/>
      <c r="G1860"/>
      <c r="H1860"/>
      <c r="I1860"/>
      <c r="J1860"/>
      <c r="K1860"/>
      <c r="L1860"/>
      <c r="M1860"/>
      <c r="N1860"/>
      <c r="O1860" s="11" t="str">
        <f t="shared" si="28"/>
        <v/>
      </c>
      <c r="P1860"/>
      <c r="Q1860" s="11"/>
    </row>
    <row r="1861" spans="2:17" x14ac:dyDescent="0.35">
      <c r="B1861"/>
      <c r="C1861"/>
      <c r="D1861"/>
      <c r="E1861"/>
      <c r="F1861"/>
      <c r="G1861"/>
      <c r="H1861"/>
      <c r="I1861"/>
      <c r="J1861"/>
      <c r="K1861"/>
      <c r="L1861"/>
      <c r="M1861"/>
      <c r="N1861"/>
      <c r="O1861" s="11" t="str">
        <f t="shared" si="28"/>
        <v/>
      </c>
      <c r="P1861"/>
      <c r="Q1861" s="11"/>
    </row>
    <row r="1862" spans="2:17" x14ac:dyDescent="0.35">
      <c r="B1862"/>
      <c r="C1862"/>
      <c r="D1862"/>
      <c r="E1862"/>
      <c r="F1862"/>
      <c r="G1862"/>
      <c r="H1862"/>
      <c r="I1862"/>
      <c r="J1862"/>
      <c r="K1862"/>
      <c r="L1862"/>
      <c r="M1862"/>
      <c r="N1862"/>
      <c r="O1862" s="11" t="str">
        <f t="shared" si="28"/>
        <v/>
      </c>
      <c r="P1862"/>
      <c r="Q1862" s="11"/>
    </row>
    <row r="1863" spans="2:17" x14ac:dyDescent="0.35">
      <c r="B1863"/>
      <c r="C1863"/>
      <c r="D1863"/>
      <c r="E1863"/>
      <c r="F1863"/>
      <c r="G1863"/>
      <c r="H1863"/>
      <c r="I1863"/>
      <c r="J1863"/>
      <c r="K1863"/>
      <c r="L1863"/>
      <c r="M1863"/>
      <c r="N1863"/>
      <c r="O1863" s="11" t="str">
        <f t="shared" si="28"/>
        <v/>
      </c>
      <c r="P1863"/>
      <c r="Q1863" s="11"/>
    </row>
    <row r="1864" spans="2:17" x14ac:dyDescent="0.35">
      <c r="B1864"/>
      <c r="C1864"/>
      <c r="D1864"/>
      <c r="E1864"/>
      <c r="F1864"/>
      <c r="G1864"/>
      <c r="H1864"/>
      <c r="I1864"/>
      <c r="J1864"/>
      <c r="K1864"/>
      <c r="L1864"/>
      <c r="M1864"/>
      <c r="N1864"/>
      <c r="O1864" s="11" t="str">
        <f t="shared" si="28"/>
        <v/>
      </c>
      <c r="P1864"/>
      <c r="Q1864" s="11"/>
    </row>
    <row r="1865" spans="2:17" x14ac:dyDescent="0.35">
      <c r="B1865"/>
      <c r="C1865"/>
      <c r="D1865"/>
      <c r="E1865"/>
      <c r="F1865"/>
      <c r="G1865"/>
      <c r="H1865"/>
      <c r="I1865"/>
      <c r="J1865"/>
      <c r="K1865"/>
      <c r="L1865"/>
      <c r="M1865"/>
      <c r="N1865"/>
      <c r="O1865" s="11" t="str">
        <f t="shared" si="28"/>
        <v/>
      </c>
      <c r="P1865"/>
      <c r="Q1865" s="11"/>
    </row>
    <row r="1866" spans="2:17" x14ac:dyDescent="0.35">
      <c r="B1866"/>
      <c r="C1866"/>
      <c r="D1866"/>
      <c r="E1866"/>
      <c r="F1866"/>
      <c r="G1866"/>
      <c r="H1866"/>
      <c r="I1866"/>
      <c r="J1866"/>
      <c r="K1866"/>
      <c r="L1866"/>
      <c r="M1866"/>
      <c r="N1866"/>
      <c r="O1866" s="11" t="str">
        <f t="shared" si="28"/>
        <v/>
      </c>
      <c r="P1866"/>
      <c r="Q1866" s="11"/>
    </row>
    <row r="1867" spans="2:17" x14ac:dyDescent="0.35">
      <c r="B1867"/>
      <c r="C1867"/>
      <c r="D1867"/>
      <c r="E1867"/>
      <c r="F1867"/>
      <c r="G1867"/>
      <c r="H1867"/>
      <c r="I1867"/>
      <c r="J1867"/>
      <c r="K1867"/>
      <c r="L1867"/>
      <c r="M1867"/>
      <c r="N1867"/>
      <c r="O1867" s="11" t="str">
        <f t="shared" si="28"/>
        <v/>
      </c>
      <c r="P1867"/>
      <c r="Q1867" s="11"/>
    </row>
    <row r="1868" spans="2:17" x14ac:dyDescent="0.35">
      <c r="B1868"/>
      <c r="C1868"/>
      <c r="D1868"/>
      <c r="E1868"/>
      <c r="F1868"/>
      <c r="G1868"/>
      <c r="H1868"/>
      <c r="I1868"/>
      <c r="J1868"/>
      <c r="K1868"/>
      <c r="L1868"/>
      <c r="M1868"/>
      <c r="N1868"/>
      <c r="O1868" s="11" t="str">
        <f t="shared" si="28"/>
        <v/>
      </c>
      <c r="P1868"/>
      <c r="Q1868" s="11"/>
    </row>
    <row r="1869" spans="2:17" x14ac:dyDescent="0.35">
      <c r="B1869"/>
      <c r="C1869"/>
      <c r="D1869"/>
      <c r="E1869"/>
      <c r="F1869"/>
      <c r="G1869"/>
      <c r="H1869"/>
      <c r="I1869"/>
      <c r="J1869"/>
      <c r="K1869"/>
      <c r="L1869"/>
      <c r="M1869"/>
      <c r="N1869"/>
      <c r="O1869" s="11" t="str">
        <f t="shared" si="28"/>
        <v/>
      </c>
      <c r="P1869"/>
      <c r="Q1869" s="11"/>
    </row>
    <row r="1870" spans="2:17" x14ac:dyDescent="0.35">
      <c r="B1870"/>
      <c r="C1870"/>
      <c r="D1870"/>
      <c r="E1870"/>
      <c r="F1870"/>
      <c r="G1870"/>
      <c r="H1870"/>
      <c r="I1870"/>
      <c r="J1870"/>
      <c r="K1870"/>
      <c r="L1870"/>
      <c r="M1870"/>
      <c r="N1870"/>
      <c r="O1870" s="11" t="str">
        <f t="shared" si="28"/>
        <v/>
      </c>
      <c r="P1870"/>
      <c r="Q1870" s="11"/>
    </row>
    <row r="1871" spans="2:17" x14ac:dyDescent="0.35">
      <c r="B1871"/>
      <c r="C1871"/>
      <c r="D1871"/>
      <c r="E1871"/>
      <c r="F1871"/>
      <c r="G1871"/>
      <c r="H1871"/>
      <c r="I1871"/>
      <c r="J1871"/>
      <c r="K1871"/>
      <c r="L1871"/>
      <c r="M1871"/>
      <c r="N1871"/>
      <c r="O1871" s="11" t="str">
        <f t="shared" si="28"/>
        <v/>
      </c>
      <c r="P1871"/>
      <c r="Q1871" s="11"/>
    </row>
    <row r="1872" spans="2:17" x14ac:dyDescent="0.35">
      <c r="B1872"/>
      <c r="C1872"/>
      <c r="D1872"/>
      <c r="E1872"/>
      <c r="F1872"/>
      <c r="G1872"/>
      <c r="H1872"/>
      <c r="I1872"/>
      <c r="J1872"/>
      <c r="K1872"/>
      <c r="L1872"/>
      <c r="M1872"/>
      <c r="N1872"/>
      <c r="O1872" s="11" t="str">
        <f t="shared" si="28"/>
        <v/>
      </c>
      <c r="P1872"/>
      <c r="Q1872" s="11"/>
    </row>
    <row r="1873" spans="2:17" x14ac:dyDescent="0.35">
      <c r="B1873"/>
      <c r="C1873"/>
      <c r="D1873"/>
      <c r="E1873"/>
      <c r="F1873"/>
      <c r="G1873"/>
      <c r="H1873"/>
      <c r="I1873"/>
      <c r="J1873"/>
      <c r="K1873"/>
      <c r="L1873"/>
      <c r="M1873"/>
      <c r="N1873"/>
      <c r="O1873" s="11" t="str">
        <f t="shared" si="28"/>
        <v/>
      </c>
      <c r="P1873"/>
      <c r="Q1873" s="11"/>
    </row>
    <row r="1874" spans="2:17" x14ac:dyDescent="0.35">
      <c r="B1874"/>
      <c r="C1874"/>
      <c r="D1874"/>
      <c r="E1874"/>
      <c r="F1874"/>
      <c r="G1874"/>
      <c r="H1874"/>
      <c r="I1874"/>
      <c r="J1874"/>
      <c r="K1874"/>
      <c r="L1874"/>
      <c r="M1874"/>
      <c r="N1874"/>
      <c r="O1874" s="11" t="str">
        <f t="shared" si="28"/>
        <v/>
      </c>
      <c r="P1874"/>
      <c r="Q1874" s="11"/>
    </row>
    <row r="1875" spans="2:17" x14ac:dyDescent="0.35">
      <c r="B1875"/>
      <c r="C1875"/>
      <c r="D1875"/>
      <c r="E1875"/>
      <c r="F1875"/>
      <c r="G1875"/>
      <c r="H1875"/>
      <c r="I1875"/>
      <c r="J1875"/>
      <c r="K1875"/>
      <c r="L1875"/>
      <c r="M1875"/>
      <c r="N1875"/>
      <c r="O1875" s="11" t="str">
        <f t="shared" si="28"/>
        <v/>
      </c>
      <c r="P1875"/>
      <c r="Q1875" s="11"/>
    </row>
    <row r="1876" spans="2:17" x14ac:dyDescent="0.35">
      <c r="B1876"/>
      <c r="C1876"/>
      <c r="D1876"/>
      <c r="E1876"/>
      <c r="F1876"/>
      <c r="G1876"/>
      <c r="H1876"/>
      <c r="I1876"/>
      <c r="J1876"/>
      <c r="K1876"/>
      <c r="L1876"/>
      <c r="M1876"/>
      <c r="N1876"/>
      <c r="O1876" s="11" t="str">
        <f t="shared" si="28"/>
        <v/>
      </c>
      <c r="P1876"/>
      <c r="Q1876" s="11"/>
    </row>
    <row r="1877" spans="2:17" x14ac:dyDescent="0.35">
      <c r="B1877"/>
      <c r="C1877"/>
      <c r="D1877"/>
      <c r="E1877"/>
      <c r="F1877"/>
      <c r="G1877"/>
      <c r="H1877"/>
      <c r="I1877"/>
      <c r="J1877"/>
      <c r="K1877"/>
      <c r="L1877"/>
      <c r="M1877"/>
      <c r="N1877"/>
      <c r="O1877" s="11" t="str">
        <f t="shared" ref="O1877:O1923" si="29">IFERROR(RATE(2033-2026,,-G1877,N1877),"")</f>
        <v/>
      </c>
      <c r="P1877"/>
      <c r="Q1877" s="11"/>
    </row>
    <row r="1878" spans="2:17" x14ac:dyDescent="0.35">
      <c r="B1878"/>
      <c r="C1878"/>
      <c r="D1878"/>
      <c r="E1878"/>
      <c r="F1878"/>
      <c r="G1878"/>
      <c r="H1878"/>
      <c r="I1878"/>
      <c r="J1878"/>
      <c r="K1878"/>
      <c r="L1878"/>
      <c r="M1878"/>
      <c r="N1878"/>
      <c r="O1878" s="11" t="str">
        <f t="shared" si="29"/>
        <v/>
      </c>
      <c r="P1878"/>
      <c r="Q1878" s="11"/>
    </row>
    <row r="1879" spans="2:17" x14ac:dyDescent="0.35">
      <c r="B1879"/>
      <c r="C1879"/>
      <c r="D1879"/>
      <c r="E1879"/>
      <c r="F1879"/>
      <c r="G1879"/>
      <c r="H1879"/>
      <c r="I1879"/>
      <c r="J1879"/>
      <c r="K1879"/>
      <c r="L1879"/>
      <c r="M1879"/>
      <c r="N1879"/>
      <c r="O1879" s="11" t="str">
        <f t="shared" si="29"/>
        <v/>
      </c>
      <c r="P1879"/>
      <c r="Q1879" s="11"/>
    </row>
    <row r="1880" spans="2:17" x14ac:dyDescent="0.35">
      <c r="B1880"/>
      <c r="C1880"/>
      <c r="D1880"/>
      <c r="E1880"/>
      <c r="F1880"/>
      <c r="G1880"/>
      <c r="H1880"/>
      <c r="I1880"/>
      <c r="J1880"/>
      <c r="K1880"/>
      <c r="L1880"/>
      <c r="M1880"/>
      <c r="N1880"/>
      <c r="O1880" s="11" t="str">
        <f t="shared" si="29"/>
        <v/>
      </c>
      <c r="P1880"/>
      <c r="Q1880" s="11"/>
    </row>
    <row r="1881" spans="2:17" x14ac:dyDescent="0.35">
      <c r="B1881"/>
      <c r="C1881"/>
      <c r="D1881"/>
      <c r="E1881"/>
      <c r="F1881"/>
      <c r="G1881"/>
      <c r="H1881"/>
      <c r="I1881"/>
      <c r="J1881"/>
      <c r="K1881"/>
      <c r="L1881"/>
      <c r="M1881"/>
      <c r="N1881"/>
      <c r="O1881" s="11" t="str">
        <f t="shared" si="29"/>
        <v/>
      </c>
      <c r="P1881"/>
      <c r="Q1881" s="11"/>
    </row>
    <row r="1882" spans="2:17" x14ac:dyDescent="0.35">
      <c r="B1882"/>
      <c r="C1882"/>
      <c r="D1882"/>
      <c r="E1882"/>
      <c r="F1882"/>
      <c r="G1882"/>
      <c r="H1882"/>
      <c r="I1882"/>
      <c r="J1882"/>
      <c r="K1882"/>
      <c r="L1882"/>
      <c r="M1882"/>
      <c r="N1882"/>
      <c r="O1882" s="11" t="str">
        <f t="shared" si="29"/>
        <v/>
      </c>
      <c r="P1882"/>
      <c r="Q1882" s="11"/>
    </row>
    <row r="1883" spans="2:17" x14ac:dyDescent="0.35">
      <c r="B1883"/>
      <c r="C1883"/>
      <c r="D1883"/>
      <c r="E1883"/>
      <c r="F1883"/>
      <c r="G1883"/>
      <c r="H1883"/>
      <c r="I1883"/>
      <c r="J1883"/>
      <c r="K1883"/>
      <c r="L1883"/>
      <c r="M1883"/>
      <c r="N1883"/>
      <c r="O1883" s="11" t="str">
        <f t="shared" si="29"/>
        <v/>
      </c>
      <c r="P1883"/>
      <c r="Q1883" s="11"/>
    </row>
    <row r="1884" spans="2:17" x14ac:dyDescent="0.35">
      <c r="B1884"/>
      <c r="C1884"/>
      <c r="D1884"/>
      <c r="E1884"/>
      <c r="F1884"/>
      <c r="G1884"/>
      <c r="H1884"/>
      <c r="I1884"/>
      <c r="J1884"/>
      <c r="K1884"/>
      <c r="L1884"/>
      <c r="M1884"/>
      <c r="N1884"/>
      <c r="O1884" s="11" t="str">
        <f t="shared" si="29"/>
        <v/>
      </c>
      <c r="P1884"/>
      <c r="Q1884" s="11"/>
    </row>
    <row r="1885" spans="2:17" x14ac:dyDescent="0.35">
      <c r="B1885"/>
      <c r="C1885"/>
      <c r="D1885"/>
      <c r="E1885"/>
      <c r="F1885"/>
      <c r="G1885"/>
      <c r="H1885"/>
      <c r="I1885"/>
      <c r="J1885"/>
      <c r="K1885"/>
      <c r="L1885"/>
      <c r="M1885"/>
      <c r="N1885"/>
      <c r="O1885" s="11" t="str">
        <f t="shared" si="29"/>
        <v/>
      </c>
      <c r="P1885"/>
      <c r="Q1885" s="11"/>
    </row>
    <row r="1886" spans="2:17" x14ac:dyDescent="0.35">
      <c r="B1886"/>
      <c r="C1886"/>
      <c r="D1886"/>
      <c r="E1886"/>
      <c r="F1886"/>
      <c r="G1886"/>
      <c r="H1886"/>
      <c r="I1886"/>
      <c r="J1886"/>
      <c r="K1886"/>
      <c r="L1886"/>
      <c r="M1886"/>
      <c r="N1886"/>
      <c r="O1886" s="11" t="str">
        <f t="shared" si="29"/>
        <v/>
      </c>
      <c r="P1886"/>
      <c r="Q1886" s="11"/>
    </row>
    <row r="1887" spans="2:17" x14ac:dyDescent="0.35">
      <c r="B1887"/>
      <c r="C1887"/>
      <c r="D1887"/>
      <c r="E1887"/>
      <c r="F1887"/>
      <c r="G1887"/>
      <c r="H1887"/>
      <c r="I1887"/>
      <c r="J1887"/>
      <c r="K1887"/>
      <c r="L1887"/>
      <c r="M1887"/>
      <c r="N1887"/>
      <c r="O1887" s="11" t="str">
        <f t="shared" si="29"/>
        <v/>
      </c>
      <c r="P1887"/>
      <c r="Q1887" s="11"/>
    </row>
    <row r="1888" spans="2:17" x14ac:dyDescent="0.35">
      <c r="B1888"/>
      <c r="C1888"/>
      <c r="D1888"/>
      <c r="E1888"/>
      <c r="F1888"/>
      <c r="G1888"/>
      <c r="H1888"/>
      <c r="I1888"/>
      <c r="J1888"/>
      <c r="K1888"/>
      <c r="L1888"/>
      <c r="M1888"/>
      <c r="N1888"/>
      <c r="O1888" s="11" t="str">
        <f t="shared" si="29"/>
        <v/>
      </c>
      <c r="P1888"/>
      <c r="Q1888" s="11"/>
    </row>
    <row r="1889" spans="2:17" x14ac:dyDescent="0.35">
      <c r="B1889"/>
      <c r="C1889"/>
      <c r="D1889"/>
      <c r="E1889"/>
      <c r="F1889"/>
      <c r="G1889"/>
      <c r="H1889"/>
      <c r="I1889"/>
      <c r="J1889"/>
      <c r="K1889"/>
      <c r="L1889"/>
      <c r="M1889"/>
      <c r="N1889"/>
      <c r="O1889" s="11" t="str">
        <f t="shared" si="29"/>
        <v/>
      </c>
      <c r="P1889"/>
      <c r="Q1889" s="11"/>
    </row>
    <row r="1890" spans="2:17" x14ac:dyDescent="0.35">
      <c r="B1890"/>
      <c r="C1890"/>
      <c r="D1890"/>
      <c r="E1890"/>
      <c r="F1890"/>
      <c r="G1890"/>
      <c r="H1890"/>
      <c r="I1890"/>
      <c r="J1890"/>
      <c r="K1890"/>
      <c r="L1890"/>
      <c r="M1890"/>
      <c r="N1890"/>
      <c r="O1890" s="11" t="str">
        <f t="shared" si="29"/>
        <v/>
      </c>
      <c r="P1890"/>
      <c r="Q1890" s="11"/>
    </row>
    <row r="1891" spans="2:17" x14ac:dyDescent="0.35">
      <c r="B1891"/>
      <c r="C1891"/>
      <c r="D1891"/>
      <c r="E1891"/>
      <c r="F1891"/>
      <c r="G1891"/>
      <c r="H1891"/>
      <c r="I1891"/>
      <c r="J1891"/>
      <c r="K1891"/>
      <c r="L1891"/>
      <c r="M1891"/>
      <c r="N1891"/>
      <c r="O1891" s="11" t="str">
        <f t="shared" si="29"/>
        <v/>
      </c>
      <c r="P1891"/>
      <c r="Q1891" s="11"/>
    </row>
    <row r="1892" spans="2:17" x14ac:dyDescent="0.35">
      <c r="B1892"/>
      <c r="C1892"/>
      <c r="D1892"/>
      <c r="E1892"/>
      <c r="F1892"/>
      <c r="G1892"/>
      <c r="H1892"/>
      <c r="I1892"/>
      <c r="J1892"/>
      <c r="K1892"/>
      <c r="L1892"/>
      <c r="M1892"/>
      <c r="N1892"/>
      <c r="O1892" s="11" t="str">
        <f t="shared" si="29"/>
        <v/>
      </c>
      <c r="P1892"/>
      <c r="Q1892" s="11"/>
    </row>
    <row r="1893" spans="2:17" x14ac:dyDescent="0.35">
      <c r="B1893"/>
      <c r="C1893"/>
      <c r="D1893"/>
      <c r="E1893"/>
      <c r="F1893"/>
      <c r="G1893"/>
      <c r="H1893"/>
      <c r="I1893"/>
      <c r="J1893"/>
      <c r="K1893"/>
      <c r="L1893"/>
      <c r="M1893"/>
      <c r="N1893"/>
      <c r="O1893" s="11" t="str">
        <f t="shared" si="29"/>
        <v/>
      </c>
      <c r="P1893"/>
      <c r="Q1893" s="11"/>
    </row>
    <row r="1894" spans="2:17" x14ac:dyDescent="0.35">
      <c r="B1894"/>
      <c r="C1894"/>
      <c r="D1894"/>
      <c r="E1894"/>
      <c r="F1894"/>
      <c r="G1894"/>
      <c r="H1894"/>
      <c r="I1894"/>
      <c r="J1894"/>
      <c r="K1894"/>
      <c r="L1894"/>
      <c r="M1894"/>
      <c r="N1894"/>
      <c r="O1894" s="11" t="str">
        <f t="shared" si="29"/>
        <v/>
      </c>
      <c r="P1894"/>
      <c r="Q1894" s="11"/>
    </row>
    <row r="1895" spans="2:17" x14ac:dyDescent="0.35">
      <c r="B1895"/>
      <c r="C1895"/>
      <c r="D1895"/>
      <c r="E1895"/>
      <c r="F1895"/>
      <c r="G1895"/>
      <c r="H1895"/>
      <c r="I1895"/>
      <c r="J1895"/>
      <c r="K1895"/>
      <c r="L1895"/>
      <c r="M1895"/>
      <c r="N1895"/>
      <c r="O1895" s="11" t="str">
        <f t="shared" si="29"/>
        <v/>
      </c>
      <c r="P1895"/>
      <c r="Q1895" s="11"/>
    </row>
    <row r="1896" spans="2:17" x14ac:dyDescent="0.35">
      <c r="B1896"/>
      <c r="C1896"/>
      <c r="D1896"/>
      <c r="E1896"/>
      <c r="F1896"/>
      <c r="G1896"/>
      <c r="H1896"/>
      <c r="I1896"/>
      <c r="J1896"/>
      <c r="K1896"/>
      <c r="L1896"/>
      <c r="M1896"/>
      <c r="N1896"/>
      <c r="O1896" s="11" t="str">
        <f t="shared" si="29"/>
        <v/>
      </c>
      <c r="P1896"/>
      <c r="Q1896" s="11"/>
    </row>
    <row r="1897" spans="2:17" x14ac:dyDescent="0.35">
      <c r="B1897"/>
      <c r="C1897"/>
      <c r="D1897"/>
      <c r="E1897"/>
      <c r="F1897"/>
      <c r="G1897"/>
      <c r="H1897"/>
      <c r="I1897"/>
      <c r="J1897"/>
      <c r="K1897"/>
      <c r="L1897"/>
      <c r="M1897"/>
      <c r="N1897"/>
      <c r="O1897" s="11" t="str">
        <f t="shared" si="29"/>
        <v/>
      </c>
      <c r="P1897"/>
      <c r="Q1897" s="11"/>
    </row>
    <row r="1898" spans="2:17" x14ac:dyDescent="0.35">
      <c r="B1898"/>
      <c r="C1898"/>
      <c r="D1898"/>
      <c r="E1898"/>
      <c r="F1898"/>
      <c r="G1898"/>
      <c r="H1898"/>
      <c r="I1898"/>
      <c r="J1898"/>
      <c r="K1898"/>
      <c r="L1898"/>
      <c r="M1898"/>
      <c r="N1898"/>
      <c r="O1898" s="11" t="str">
        <f t="shared" si="29"/>
        <v/>
      </c>
      <c r="P1898"/>
      <c r="Q1898" s="11"/>
    </row>
    <row r="1899" spans="2:17" x14ac:dyDescent="0.35">
      <c r="B1899"/>
      <c r="C1899"/>
      <c r="D1899"/>
      <c r="E1899"/>
      <c r="F1899"/>
      <c r="G1899"/>
      <c r="H1899"/>
      <c r="I1899"/>
      <c r="J1899"/>
      <c r="K1899"/>
      <c r="L1899"/>
      <c r="M1899"/>
      <c r="N1899"/>
      <c r="O1899" s="11" t="str">
        <f t="shared" si="29"/>
        <v/>
      </c>
      <c r="P1899"/>
      <c r="Q1899" s="11"/>
    </row>
    <row r="1900" spans="2:17" x14ac:dyDescent="0.35">
      <c r="B1900"/>
      <c r="C1900"/>
      <c r="D1900"/>
      <c r="E1900"/>
      <c r="F1900"/>
      <c r="G1900"/>
      <c r="H1900"/>
      <c r="I1900"/>
      <c r="J1900"/>
      <c r="K1900"/>
      <c r="L1900"/>
      <c r="M1900"/>
      <c r="N1900"/>
      <c r="O1900" s="11" t="str">
        <f t="shared" si="29"/>
        <v/>
      </c>
      <c r="P1900"/>
      <c r="Q1900" s="11"/>
    </row>
    <row r="1901" spans="2:17" x14ac:dyDescent="0.35">
      <c r="B1901"/>
      <c r="C1901"/>
      <c r="D1901"/>
      <c r="E1901"/>
      <c r="F1901"/>
      <c r="G1901"/>
      <c r="H1901"/>
      <c r="I1901"/>
      <c r="J1901"/>
      <c r="K1901"/>
      <c r="L1901"/>
      <c r="M1901"/>
      <c r="N1901"/>
      <c r="O1901" s="11" t="str">
        <f t="shared" si="29"/>
        <v/>
      </c>
      <c r="P1901"/>
      <c r="Q1901" s="11"/>
    </row>
    <row r="1902" spans="2:17" x14ac:dyDescent="0.35">
      <c r="B1902"/>
      <c r="C1902"/>
      <c r="D1902"/>
      <c r="E1902"/>
      <c r="F1902"/>
      <c r="G1902"/>
      <c r="H1902"/>
      <c r="I1902"/>
      <c r="J1902"/>
      <c r="K1902"/>
      <c r="L1902"/>
      <c r="M1902"/>
      <c r="N1902"/>
      <c r="O1902" s="11" t="str">
        <f t="shared" si="29"/>
        <v/>
      </c>
      <c r="P1902"/>
      <c r="Q1902" s="11"/>
    </row>
    <row r="1903" spans="2:17" x14ac:dyDescent="0.35">
      <c r="B1903"/>
      <c r="C1903"/>
      <c r="D1903"/>
      <c r="E1903"/>
      <c r="F1903"/>
      <c r="G1903"/>
      <c r="H1903"/>
      <c r="I1903"/>
      <c r="J1903"/>
      <c r="K1903"/>
      <c r="L1903"/>
      <c r="M1903"/>
      <c r="N1903"/>
      <c r="O1903" s="11" t="str">
        <f t="shared" si="29"/>
        <v/>
      </c>
      <c r="P1903"/>
      <c r="Q1903" s="11"/>
    </row>
    <row r="1904" spans="2:17" x14ac:dyDescent="0.35">
      <c r="B1904"/>
      <c r="C1904"/>
      <c r="D1904"/>
      <c r="E1904"/>
      <c r="F1904"/>
      <c r="G1904"/>
      <c r="H1904"/>
      <c r="I1904"/>
      <c r="J1904"/>
      <c r="K1904"/>
      <c r="L1904"/>
      <c r="M1904"/>
      <c r="N1904"/>
      <c r="O1904" s="11" t="str">
        <f t="shared" si="29"/>
        <v/>
      </c>
      <c r="P1904"/>
      <c r="Q1904" s="11"/>
    </row>
    <row r="1905" spans="2:17" x14ac:dyDescent="0.35">
      <c r="B1905"/>
      <c r="C1905"/>
      <c r="D1905"/>
      <c r="E1905"/>
      <c r="F1905"/>
      <c r="G1905"/>
      <c r="H1905"/>
      <c r="I1905"/>
      <c r="J1905"/>
      <c r="K1905"/>
      <c r="L1905"/>
      <c r="M1905"/>
      <c r="N1905"/>
      <c r="O1905" s="11" t="str">
        <f t="shared" si="29"/>
        <v/>
      </c>
      <c r="P1905"/>
      <c r="Q1905" s="11"/>
    </row>
    <row r="1906" spans="2:17" x14ac:dyDescent="0.35">
      <c r="B1906"/>
      <c r="C1906"/>
      <c r="D1906"/>
      <c r="E1906"/>
      <c r="F1906"/>
      <c r="G1906"/>
      <c r="H1906"/>
      <c r="I1906"/>
      <c r="J1906"/>
      <c r="K1906"/>
      <c r="L1906"/>
      <c r="M1906"/>
      <c r="N1906"/>
      <c r="O1906" s="11" t="str">
        <f t="shared" si="29"/>
        <v/>
      </c>
      <c r="P1906"/>
      <c r="Q1906" s="11"/>
    </row>
    <row r="1907" spans="2:17" x14ac:dyDescent="0.35">
      <c r="B1907"/>
      <c r="C1907"/>
      <c r="D1907"/>
      <c r="E1907"/>
      <c r="F1907"/>
      <c r="G1907"/>
      <c r="H1907"/>
      <c r="I1907"/>
      <c r="J1907"/>
      <c r="K1907"/>
      <c r="L1907"/>
      <c r="M1907"/>
      <c r="N1907"/>
      <c r="O1907" s="11" t="str">
        <f t="shared" si="29"/>
        <v/>
      </c>
      <c r="P1907"/>
      <c r="Q1907" s="11"/>
    </row>
    <row r="1908" spans="2:17" x14ac:dyDescent="0.35">
      <c r="B1908"/>
      <c r="C1908"/>
      <c r="D1908"/>
      <c r="E1908"/>
      <c r="F1908"/>
      <c r="G1908"/>
      <c r="H1908"/>
      <c r="I1908"/>
      <c r="J1908"/>
      <c r="K1908"/>
      <c r="L1908"/>
      <c r="M1908"/>
      <c r="N1908"/>
      <c r="O1908" s="11" t="str">
        <f t="shared" si="29"/>
        <v/>
      </c>
      <c r="P1908"/>
      <c r="Q1908" s="11"/>
    </row>
    <row r="1909" spans="2:17" x14ac:dyDescent="0.35">
      <c r="B1909"/>
      <c r="C1909"/>
      <c r="D1909"/>
      <c r="E1909"/>
      <c r="F1909"/>
      <c r="G1909"/>
      <c r="H1909"/>
      <c r="I1909"/>
      <c r="J1909"/>
      <c r="K1909"/>
      <c r="L1909"/>
      <c r="M1909"/>
      <c r="N1909"/>
      <c r="O1909" s="11" t="str">
        <f t="shared" si="29"/>
        <v/>
      </c>
      <c r="P1909"/>
      <c r="Q1909" s="11"/>
    </row>
    <row r="1910" spans="2:17" x14ac:dyDescent="0.35">
      <c r="B1910"/>
      <c r="C1910"/>
      <c r="D1910"/>
      <c r="E1910"/>
      <c r="F1910"/>
      <c r="G1910"/>
      <c r="H1910"/>
      <c r="I1910"/>
      <c r="J1910"/>
      <c r="K1910"/>
      <c r="L1910"/>
      <c r="M1910"/>
      <c r="N1910"/>
      <c r="O1910" s="11" t="str">
        <f t="shared" si="29"/>
        <v/>
      </c>
      <c r="P1910"/>
      <c r="Q1910" s="11"/>
    </row>
    <row r="1911" spans="2:17" x14ac:dyDescent="0.35">
      <c r="B1911"/>
      <c r="C1911"/>
      <c r="D1911"/>
      <c r="E1911"/>
      <c r="F1911"/>
      <c r="G1911"/>
      <c r="H1911"/>
      <c r="I1911"/>
      <c r="J1911"/>
      <c r="K1911"/>
      <c r="L1911"/>
      <c r="M1911"/>
      <c r="N1911"/>
      <c r="O1911" s="11" t="str">
        <f t="shared" si="29"/>
        <v/>
      </c>
      <c r="P1911"/>
      <c r="Q1911" s="11"/>
    </row>
    <row r="1912" spans="2:17" x14ac:dyDescent="0.35">
      <c r="B1912"/>
      <c r="C1912"/>
      <c r="D1912"/>
      <c r="E1912"/>
      <c r="F1912"/>
      <c r="G1912"/>
      <c r="H1912"/>
      <c r="I1912"/>
      <c r="J1912"/>
      <c r="K1912"/>
      <c r="L1912"/>
      <c r="M1912"/>
      <c r="N1912"/>
      <c r="O1912" s="11" t="str">
        <f t="shared" si="29"/>
        <v/>
      </c>
      <c r="P1912"/>
      <c r="Q1912" s="11"/>
    </row>
    <row r="1913" spans="2:17" x14ac:dyDescent="0.35">
      <c r="B1913"/>
      <c r="C1913"/>
      <c r="D1913"/>
      <c r="E1913"/>
      <c r="F1913"/>
      <c r="G1913"/>
      <c r="H1913"/>
      <c r="I1913"/>
      <c r="J1913"/>
      <c r="K1913"/>
      <c r="L1913"/>
      <c r="M1913"/>
      <c r="N1913"/>
      <c r="O1913" s="11" t="str">
        <f t="shared" si="29"/>
        <v/>
      </c>
      <c r="P1913"/>
      <c r="Q1913" s="11"/>
    </row>
    <row r="1914" spans="2:17" x14ac:dyDescent="0.35">
      <c r="B1914"/>
      <c r="C1914"/>
      <c r="D1914"/>
      <c r="E1914"/>
      <c r="F1914"/>
      <c r="G1914"/>
      <c r="H1914"/>
      <c r="I1914"/>
      <c r="J1914"/>
      <c r="K1914"/>
      <c r="L1914"/>
      <c r="M1914"/>
      <c r="N1914"/>
      <c r="O1914" s="11" t="str">
        <f t="shared" si="29"/>
        <v/>
      </c>
      <c r="P1914"/>
      <c r="Q1914" s="11"/>
    </row>
    <row r="1915" spans="2:17" x14ac:dyDescent="0.35">
      <c r="B1915"/>
      <c r="C1915"/>
      <c r="D1915"/>
      <c r="E1915"/>
      <c r="F1915"/>
      <c r="G1915"/>
      <c r="H1915"/>
      <c r="I1915"/>
      <c r="J1915"/>
      <c r="K1915"/>
      <c r="L1915"/>
      <c r="M1915"/>
      <c r="N1915"/>
      <c r="O1915" s="11" t="str">
        <f t="shared" si="29"/>
        <v/>
      </c>
      <c r="P1915"/>
      <c r="Q1915" s="11"/>
    </row>
    <row r="1916" spans="2:17" x14ac:dyDescent="0.35">
      <c r="B1916"/>
      <c r="C1916"/>
      <c r="D1916"/>
      <c r="E1916"/>
      <c r="F1916"/>
      <c r="G1916"/>
      <c r="H1916"/>
      <c r="I1916"/>
      <c r="J1916"/>
      <c r="K1916"/>
      <c r="L1916"/>
      <c r="M1916"/>
      <c r="N1916"/>
      <c r="O1916" s="11" t="str">
        <f t="shared" si="29"/>
        <v/>
      </c>
      <c r="P1916"/>
      <c r="Q1916" s="11"/>
    </row>
    <row r="1917" spans="2:17" x14ac:dyDescent="0.35">
      <c r="B1917"/>
      <c r="C1917"/>
      <c r="D1917"/>
      <c r="E1917"/>
      <c r="F1917"/>
      <c r="G1917"/>
      <c r="H1917"/>
      <c r="I1917"/>
      <c r="J1917"/>
      <c r="K1917"/>
      <c r="L1917"/>
      <c r="M1917"/>
      <c r="N1917"/>
      <c r="O1917" s="11" t="str">
        <f t="shared" si="29"/>
        <v/>
      </c>
      <c r="P1917"/>
      <c r="Q1917" s="11"/>
    </row>
    <row r="1918" spans="2:17" x14ac:dyDescent="0.35">
      <c r="B1918"/>
      <c r="C1918"/>
      <c r="D1918"/>
      <c r="E1918"/>
      <c r="F1918"/>
      <c r="G1918"/>
      <c r="H1918"/>
      <c r="I1918"/>
      <c r="J1918"/>
      <c r="K1918"/>
      <c r="L1918"/>
      <c r="M1918"/>
      <c r="N1918"/>
      <c r="O1918" s="11" t="str">
        <f t="shared" si="29"/>
        <v/>
      </c>
      <c r="P1918"/>
      <c r="Q1918" s="11"/>
    </row>
    <row r="1919" spans="2:17" x14ac:dyDescent="0.35">
      <c r="B1919"/>
      <c r="C1919"/>
      <c r="D1919"/>
      <c r="E1919"/>
      <c r="F1919"/>
      <c r="G1919"/>
      <c r="H1919"/>
      <c r="I1919"/>
      <c r="J1919"/>
      <c r="K1919"/>
      <c r="L1919"/>
      <c r="M1919"/>
      <c r="N1919"/>
      <c r="O1919" s="11" t="str">
        <f t="shared" si="29"/>
        <v/>
      </c>
      <c r="P1919"/>
      <c r="Q1919" s="11"/>
    </row>
    <row r="1920" spans="2:17" x14ac:dyDescent="0.35">
      <c r="B1920"/>
      <c r="C1920"/>
      <c r="D1920"/>
      <c r="E1920"/>
      <c r="F1920"/>
      <c r="G1920"/>
      <c r="H1920"/>
      <c r="I1920"/>
      <c r="J1920"/>
      <c r="K1920"/>
      <c r="L1920"/>
      <c r="M1920"/>
      <c r="N1920"/>
      <c r="O1920" s="11" t="str">
        <f t="shared" si="29"/>
        <v/>
      </c>
      <c r="P1920"/>
      <c r="Q1920" s="11"/>
    </row>
    <row r="1921" spans="2:17" x14ac:dyDescent="0.35">
      <c r="B1921"/>
      <c r="C1921"/>
      <c r="D1921"/>
      <c r="E1921"/>
      <c r="F1921"/>
      <c r="G1921"/>
      <c r="H1921"/>
      <c r="I1921"/>
      <c r="J1921"/>
      <c r="K1921"/>
      <c r="L1921"/>
      <c r="M1921"/>
      <c r="N1921"/>
      <c r="O1921" s="11" t="str">
        <f t="shared" si="29"/>
        <v/>
      </c>
      <c r="P1921"/>
      <c r="Q1921" s="11"/>
    </row>
    <row r="1922" spans="2:17" x14ac:dyDescent="0.35">
      <c r="B1922"/>
      <c r="C1922"/>
      <c r="D1922"/>
      <c r="E1922"/>
      <c r="F1922"/>
      <c r="G1922"/>
      <c r="H1922"/>
      <c r="I1922"/>
      <c r="J1922"/>
      <c r="K1922"/>
      <c r="L1922"/>
      <c r="M1922"/>
      <c r="N1922"/>
      <c r="O1922" s="11" t="str">
        <f t="shared" si="29"/>
        <v/>
      </c>
      <c r="P1922"/>
      <c r="Q1922" s="11"/>
    </row>
    <row r="1923" spans="2:17" x14ac:dyDescent="0.35">
      <c r="B1923"/>
      <c r="C1923"/>
      <c r="D1923"/>
      <c r="E1923"/>
      <c r="F1923"/>
      <c r="G1923"/>
      <c r="H1923"/>
      <c r="I1923"/>
      <c r="J1923"/>
      <c r="K1923"/>
      <c r="L1923"/>
      <c r="M1923"/>
      <c r="N1923"/>
      <c r="O1923" s="11" t="str">
        <f t="shared" si="29"/>
        <v/>
      </c>
      <c r="P1923"/>
      <c r="Q1923" s="11"/>
    </row>
    <row r="1924" spans="2:17" x14ac:dyDescent="0.35">
      <c r="B1924"/>
      <c r="C1924"/>
      <c r="D1924"/>
      <c r="E1924"/>
      <c r="F1924"/>
      <c r="G1924"/>
      <c r="H1924"/>
      <c r="I1924"/>
      <c r="J1924"/>
      <c r="K1924"/>
      <c r="L1924"/>
      <c r="M1924"/>
      <c r="N1924"/>
      <c r="O1924"/>
      <c r="P1924"/>
      <c r="Q1924" s="11"/>
    </row>
    <row r="1925" spans="2:17" x14ac:dyDescent="0.35">
      <c r="B1925"/>
      <c r="C1925"/>
      <c r="D1925"/>
      <c r="E1925"/>
      <c r="F1925"/>
      <c r="G1925"/>
      <c r="H1925"/>
      <c r="I1925"/>
      <c r="J1925"/>
      <c r="K1925"/>
      <c r="L1925"/>
      <c r="M1925"/>
      <c r="N1925"/>
      <c r="O1925"/>
      <c r="P1925"/>
      <c r="Q1925" s="11"/>
    </row>
    <row r="1926" spans="2:17" x14ac:dyDescent="0.35">
      <c r="B1926"/>
      <c r="C1926"/>
      <c r="D1926"/>
      <c r="E1926"/>
      <c r="F1926"/>
      <c r="G1926"/>
      <c r="H1926"/>
      <c r="I1926"/>
      <c r="J1926"/>
      <c r="K1926"/>
      <c r="L1926"/>
      <c r="M1926"/>
      <c r="N1926"/>
      <c r="O1926"/>
      <c r="P1926"/>
      <c r="Q1926" s="11"/>
    </row>
    <row r="1927" spans="2:17" x14ac:dyDescent="0.35">
      <c r="B1927"/>
      <c r="C1927"/>
      <c r="D1927"/>
      <c r="E1927"/>
      <c r="F1927"/>
      <c r="G1927"/>
      <c r="H1927"/>
      <c r="I1927"/>
      <c r="J1927"/>
      <c r="K1927"/>
      <c r="L1927"/>
      <c r="M1927"/>
      <c r="N1927"/>
      <c r="O1927"/>
      <c r="P1927"/>
      <c r="Q1927" s="11"/>
    </row>
    <row r="1928" spans="2:17" x14ac:dyDescent="0.35">
      <c r="B1928"/>
      <c r="C1928"/>
      <c r="D1928"/>
      <c r="E1928"/>
      <c r="F1928"/>
      <c r="G1928"/>
      <c r="H1928"/>
      <c r="I1928"/>
      <c r="J1928"/>
      <c r="K1928"/>
      <c r="L1928"/>
      <c r="M1928"/>
      <c r="N1928"/>
      <c r="O1928"/>
      <c r="P1928"/>
      <c r="Q1928" s="11"/>
    </row>
    <row r="1929" spans="2:17" x14ac:dyDescent="0.35">
      <c r="B1929"/>
      <c r="C1929"/>
      <c r="D1929"/>
      <c r="E1929"/>
      <c r="F1929"/>
      <c r="G1929"/>
      <c r="H1929"/>
      <c r="I1929"/>
      <c r="J1929"/>
      <c r="K1929"/>
      <c r="L1929"/>
      <c r="M1929"/>
      <c r="N1929"/>
      <c r="O1929"/>
      <c r="P1929"/>
      <c r="Q1929" s="11"/>
    </row>
    <row r="1930" spans="2:17" x14ac:dyDescent="0.35">
      <c r="B1930"/>
      <c r="C1930"/>
      <c r="D1930"/>
      <c r="E1930"/>
      <c r="F1930"/>
      <c r="G1930"/>
      <c r="H1930"/>
      <c r="I1930"/>
      <c r="J1930"/>
      <c r="K1930"/>
      <c r="L1930"/>
      <c r="M1930"/>
      <c r="N1930"/>
      <c r="O1930"/>
      <c r="P1930"/>
      <c r="Q1930" s="11"/>
    </row>
    <row r="1931" spans="2:17" x14ac:dyDescent="0.35">
      <c r="B1931"/>
      <c r="C1931"/>
      <c r="D1931"/>
      <c r="E1931"/>
      <c r="F1931"/>
      <c r="G1931"/>
      <c r="H1931"/>
      <c r="I1931"/>
      <c r="J1931"/>
      <c r="K1931"/>
      <c r="L1931"/>
      <c r="M1931"/>
      <c r="N1931"/>
      <c r="O1931"/>
      <c r="P1931"/>
      <c r="Q1931" s="11"/>
    </row>
    <row r="1932" spans="2:17" x14ac:dyDescent="0.35">
      <c r="B1932"/>
      <c r="C1932"/>
      <c r="D1932"/>
      <c r="E1932"/>
      <c r="F1932"/>
      <c r="G1932"/>
      <c r="H1932"/>
      <c r="I1932"/>
      <c r="J1932"/>
      <c r="K1932"/>
      <c r="L1932"/>
      <c r="M1932"/>
      <c r="N1932"/>
      <c r="O1932"/>
      <c r="P1932"/>
      <c r="Q1932" s="11"/>
    </row>
    <row r="1933" spans="2:17" x14ac:dyDescent="0.35">
      <c r="B1933"/>
      <c r="C1933"/>
      <c r="D1933"/>
      <c r="E1933"/>
      <c r="F1933"/>
      <c r="G1933"/>
      <c r="H1933"/>
      <c r="I1933"/>
      <c r="J1933"/>
      <c r="K1933"/>
      <c r="L1933"/>
      <c r="M1933"/>
      <c r="N1933"/>
      <c r="O1933"/>
      <c r="P1933"/>
      <c r="Q1933" s="11"/>
    </row>
    <row r="1934" spans="2:17" x14ac:dyDescent="0.35">
      <c r="B1934"/>
      <c r="C1934"/>
      <c r="D1934"/>
      <c r="E1934"/>
      <c r="F1934"/>
      <c r="G1934"/>
      <c r="H1934"/>
      <c r="I1934"/>
      <c r="J1934"/>
      <c r="K1934"/>
      <c r="L1934"/>
      <c r="M1934"/>
      <c r="N1934"/>
      <c r="O1934"/>
      <c r="P1934"/>
      <c r="Q1934" s="11"/>
    </row>
    <row r="1935" spans="2:17" x14ac:dyDescent="0.35">
      <c r="B1935"/>
      <c r="C1935"/>
      <c r="D1935"/>
      <c r="E1935"/>
      <c r="F1935"/>
      <c r="G1935"/>
      <c r="H1935"/>
      <c r="I1935"/>
      <c r="J1935"/>
      <c r="K1935"/>
      <c r="L1935"/>
      <c r="M1935"/>
      <c r="N1935"/>
      <c r="O1935"/>
      <c r="P1935"/>
      <c r="Q1935" s="11"/>
    </row>
    <row r="1936" spans="2:17" x14ac:dyDescent="0.35">
      <c r="B1936"/>
      <c r="C1936"/>
      <c r="D1936"/>
      <c r="E1936"/>
      <c r="F1936"/>
      <c r="G1936"/>
      <c r="H1936"/>
      <c r="I1936"/>
      <c r="J1936"/>
      <c r="K1936"/>
      <c r="L1936"/>
      <c r="M1936"/>
      <c r="N1936"/>
      <c r="O1936"/>
      <c r="P1936"/>
      <c r="Q1936" s="11"/>
    </row>
    <row r="1937" spans="2:17" x14ac:dyDescent="0.35">
      <c r="B1937"/>
      <c r="C1937"/>
      <c r="D1937"/>
      <c r="E1937"/>
      <c r="F1937"/>
      <c r="G1937"/>
      <c r="H1937"/>
      <c r="I1937"/>
      <c r="J1937"/>
      <c r="K1937"/>
      <c r="L1937"/>
      <c r="M1937"/>
      <c r="N1937"/>
      <c r="O1937"/>
      <c r="P1937"/>
      <c r="Q1937" s="11"/>
    </row>
    <row r="1938" spans="2:17" x14ac:dyDescent="0.35">
      <c r="B1938"/>
      <c r="C1938"/>
      <c r="D1938"/>
      <c r="E1938"/>
      <c r="F1938"/>
      <c r="G1938"/>
      <c r="H1938"/>
      <c r="I1938"/>
      <c r="J1938"/>
      <c r="K1938"/>
      <c r="L1938"/>
      <c r="M1938"/>
      <c r="N1938"/>
      <c r="O1938"/>
      <c r="P1938"/>
      <c r="Q1938" s="11"/>
    </row>
    <row r="1939" spans="2:17" x14ac:dyDescent="0.35">
      <c r="B1939"/>
      <c r="C1939"/>
      <c r="D1939"/>
      <c r="E1939"/>
      <c r="F1939"/>
      <c r="G1939"/>
      <c r="H1939"/>
      <c r="I1939"/>
      <c r="J1939"/>
      <c r="K1939"/>
      <c r="L1939"/>
      <c r="M1939"/>
      <c r="N1939"/>
      <c r="O1939"/>
      <c r="P1939"/>
      <c r="Q1939" s="11"/>
    </row>
    <row r="1940" spans="2:17" x14ac:dyDescent="0.35">
      <c r="B1940"/>
      <c r="C1940"/>
      <c r="D1940"/>
      <c r="E1940"/>
      <c r="F1940"/>
      <c r="G1940"/>
      <c r="H1940"/>
      <c r="I1940"/>
      <c r="J1940"/>
      <c r="K1940"/>
      <c r="L1940"/>
      <c r="M1940"/>
      <c r="N1940"/>
      <c r="O1940"/>
      <c r="P1940"/>
      <c r="Q1940" s="11"/>
    </row>
    <row r="1941" spans="2:17" x14ac:dyDescent="0.35">
      <c r="B1941"/>
      <c r="C1941"/>
      <c r="D1941"/>
      <c r="E1941"/>
      <c r="F1941"/>
      <c r="G1941"/>
      <c r="H1941"/>
      <c r="I1941"/>
      <c r="J1941"/>
      <c r="K1941"/>
      <c r="L1941"/>
      <c r="M1941"/>
      <c r="N1941"/>
      <c r="O1941"/>
      <c r="P1941"/>
      <c r="Q1941" s="11"/>
    </row>
    <row r="1942" spans="2:17" x14ac:dyDescent="0.35">
      <c r="B1942"/>
      <c r="C1942"/>
      <c r="D1942"/>
      <c r="E1942"/>
      <c r="F1942"/>
      <c r="G1942"/>
      <c r="H1942"/>
      <c r="I1942"/>
      <c r="J1942"/>
      <c r="K1942"/>
      <c r="L1942"/>
      <c r="M1942"/>
      <c r="N1942"/>
      <c r="O1942"/>
      <c r="P1942"/>
      <c r="Q1942" s="11"/>
    </row>
    <row r="1943" spans="2:17" x14ac:dyDescent="0.35">
      <c r="B1943"/>
      <c r="C1943"/>
      <c r="D1943"/>
      <c r="E1943"/>
      <c r="F1943"/>
      <c r="G1943"/>
      <c r="H1943"/>
      <c r="I1943"/>
      <c r="J1943"/>
      <c r="K1943"/>
      <c r="L1943"/>
      <c r="M1943"/>
      <c r="N1943"/>
      <c r="O1943"/>
      <c r="P1943"/>
      <c r="Q1943" s="11"/>
    </row>
    <row r="1944" spans="2:17" x14ac:dyDescent="0.35">
      <c r="B1944"/>
      <c r="C1944"/>
      <c r="D1944"/>
      <c r="E1944"/>
      <c r="F1944"/>
      <c r="G1944"/>
      <c r="H1944"/>
      <c r="I1944"/>
      <c r="J1944"/>
      <c r="K1944"/>
      <c r="L1944"/>
      <c r="M1944"/>
      <c r="N1944"/>
      <c r="O1944"/>
      <c r="P1944"/>
      <c r="Q1944" s="11"/>
    </row>
    <row r="1945" spans="2:17" x14ac:dyDescent="0.35">
      <c r="B1945"/>
      <c r="C1945"/>
      <c r="D1945"/>
      <c r="E1945"/>
      <c r="F1945"/>
      <c r="G1945"/>
      <c r="H1945"/>
      <c r="I1945"/>
      <c r="J1945"/>
      <c r="K1945"/>
      <c r="L1945"/>
      <c r="M1945"/>
      <c r="N1945"/>
      <c r="O1945"/>
      <c r="P1945"/>
      <c r="Q1945" s="11"/>
    </row>
    <row r="1946" spans="2:17" x14ac:dyDescent="0.35">
      <c r="B1946"/>
      <c r="C1946"/>
      <c r="D1946"/>
      <c r="E1946"/>
      <c r="F1946"/>
      <c r="G1946"/>
      <c r="H1946"/>
      <c r="I1946"/>
      <c r="J1946"/>
      <c r="K1946"/>
      <c r="L1946"/>
      <c r="M1946"/>
      <c r="N1946"/>
      <c r="O1946"/>
      <c r="P1946"/>
      <c r="Q1946" s="11"/>
    </row>
    <row r="1947" spans="2:17" x14ac:dyDescent="0.35">
      <c r="B1947"/>
      <c r="C1947"/>
      <c r="D1947"/>
      <c r="E1947"/>
      <c r="F1947"/>
      <c r="G1947"/>
      <c r="H1947"/>
      <c r="I1947"/>
      <c r="J1947"/>
      <c r="K1947"/>
      <c r="L1947"/>
      <c r="M1947"/>
      <c r="N1947"/>
      <c r="O1947"/>
      <c r="P1947"/>
      <c r="Q1947" s="11"/>
    </row>
    <row r="1948" spans="2:17" x14ac:dyDescent="0.35">
      <c r="B1948"/>
      <c r="C1948"/>
      <c r="D1948"/>
      <c r="E1948"/>
      <c r="F1948"/>
      <c r="G1948"/>
      <c r="H1948"/>
      <c r="I1948"/>
      <c r="J1948"/>
      <c r="K1948"/>
      <c r="L1948"/>
      <c r="M1948"/>
      <c r="N1948"/>
      <c r="O1948"/>
      <c r="P1948"/>
      <c r="Q1948" s="11"/>
    </row>
    <row r="1949" spans="2:17" x14ac:dyDescent="0.35">
      <c r="B1949"/>
      <c r="C1949"/>
      <c r="D1949"/>
      <c r="E1949"/>
      <c r="F1949"/>
      <c r="G1949"/>
      <c r="H1949"/>
      <c r="I1949"/>
      <c r="J1949"/>
      <c r="K1949"/>
      <c r="L1949"/>
      <c r="M1949"/>
      <c r="N1949"/>
      <c r="O1949"/>
      <c r="P1949"/>
      <c r="Q1949" s="11"/>
    </row>
    <row r="1950" spans="2:17" x14ac:dyDescent="0.35">
      <c r="B1950"/>
      <c r="C1950"/>
      <c r="D1950"/>
      <c r="E1950"/>
      <c r="F1950"/>
      <c r="G1950"/>
      <c r="H1950"/>
      <c r="I1950"/>
      <c r="J1950"/>
      <c r="K1950"/>
      <c r="L1950"/>
      <c r="M1950"/>
      <c r="N1950"/>
      <c r="O1950"/>
      <c r="P1950"/>
      <c r="Q1950" s="11"/>
    </row>
    <row r="1951" spans="2:17" x14ac:dyDescent="0.35">
      <c r="B1951"/>
      <c r="C1951"/>
      <c r="D1951"/>
      <c r="E1951"/>
      <c r="F1951"/>
      <c r="G1951"/>
      <c r="H1951"/>
      <c r="I1951"/>
      <c r="J1951"/>
      <c r="K1951"/>
      <c r="L1951"/>
      <c r="M1951"/>
      <c r="N1951"/>
      <c r="O1951"/>
      <c r="P1951"/>
      <c r="Q1951" s="11"/>
    </row>
    <row r="1952" spans="2:17" x14ac:dyDescent="0.35">
      <c r="B1952"/>
      <c r="C1952"/>
      <c r="D1952"/>
      <c r="E1952"/>
      <c r="F1952"/>
      <c r="G1952"/>
      <c r="H1952"/>
      <c r="I1952"/>
      <c r="J1952"/>
      <c r="K1952"/>
      <c r="L1952"/>
      <c r="M1952"/>
      <c r="N1952"/>
      <c r="O1952"/>
      <c r="P1952"/>
      <c r="Q1952" s="11"/>
    </row>
    <row r="1953" spans="2:17" x14ac:dyDescent="0.35">
      <c r="B1953"/>
      <c r="C1953"/>
      <c r="D1953"/>
      <c r="E1953"/>
      <c r="F1953"/>
      <c r="G1953"/>
      <c r="H1953"/>
      <c r="I1953"/>
      <c r="J1953"/>
      <c r="K1953"/>
      <c r="L1953"/>
      <c r="M1953"/>
      <c r="N1953"/>
      <c r="O1953"/>
      <c r="P1953"/>
      <c r="Q1953" s="11"/>
    </row>
    <row r="1954" spans="2:17" x14ac:dyDescent="0.35">
      <c r="B1954"/>
      <c r="C1954"/>
      <c r="D1954"/>
      <c r="E1954"/>
      <c r="F1954"/>
      <c r="G1954"/>
      <c r="H1954"/>
      <c r="I1954"/>
      <c r="J1954"/>
      <c r="K1954"/>
      <c r="L1954"/>
      <c r="M1954"/>
      <c r="N1954"/>
      <c r="O1954"/>
      <c r="P1954"/>
      <c r="Q1954" s="11"/>
    </row>
    <row r="1955" spans="2:17" x14ac:dyDescent="0.35">
      <c r="B1955"/>
      <c r="C1955"/>
      <c r="D1955"/>
      <c r="E1955"/>
      <c r="F1955"/>
      <c r="G1955"/>
      <c r="H1955"/>
      <c r="I1955"/>
      <c r="J1955"/>
      <c r="K1955"/>
      <c r="L1955"/>
      <c r="M1955"/>
      <c r="N1955"/>
      <c r="O1955"/>
      <c r="P1955"/>
      <c r="Q1955" s="11"/>
    </row>
    <row r="1956" spans="2:17" x14ac:dyDescent="0.35">
      <c r="B1956"/>
      <c r="C1956"/>
      <c r="D1956"/>
      <c r="E1956"/>
      <c r="F1956"/>
      <c r="G1956"/>
      <c r="H1956"/>
      <c r="I1956"/>
      <c r="J1956"/>
      <c r="K1956"/>
      <c r="L1956"/>
      <c r="M1956"/>
      <c r="N1956"/>
      <c r="O1956"/>
      <c r="P1956"/>
      <c r="Q1956" s="11"/>
    </row>
    <row r="1957" spans="2:17" x14ac:dyDescent="0.35">
      <c r="B1957"/>
      <c r="C1957"/>
      <c r="D1957"/>
      <c r="E1957"/>
      <c r="F1957"/>
      <c r="G1957"/>
      <c r="H1957"/>
      <c r="I1957"/>
      <c r="J1957"/>
      <c r="K1957"/>
      <c r="L1957"/>
      <c r="M1957"/>
      <c r="N1957"/>
      <c r="O1957"/>
      <c r="P1957"/>
      <c r="Q1957" s="11"/>
    </row>
    <row r="1958" spans="2:17" x14ac:dyDescent="0.35">
      <c r="B1958"/>
      <c r="C1958"/>
      <c r="D1958"/>
      <c r="E1958"/>
      <c r="F1958"/>
      <c r="G1958"/>
      <c r="H1958"/>
      <c r="I1958"/>
      <c r="J1958"/>
      <c r="K1958"/>
      <c r="L1958"/>
      <c r="M1958"/>
      <c r="N1958"/>
      <c r="O1958"/>
      <c r="P1958"/>
      <c r="Q1958" s="11"/>
    </row>
    <row r="1959" spans="2:17" x14ac:dyDescent="0.35">
      <c r="B1959"/>
      <c r="C1959"/>
      <c r="D1959"/>
      <c r="E1959"/>
      <c r="F1959"/>
      <c r="G1959"/>
      <c r="H1959"/>
      <c r="I1959"/>
      <c r="J1959"/>
      <c r="K1959"/>
      <c r="L1959"/>
      <c r="M1959"/>
      <c r="N1959"/>
      <c r="O1959"/>
      <c r="P1959"/>
      <c r="Q1959" s="11"/>
    </row>
    <row r="1960" spans="2:17" x14ac:dyDescent="0.35">
      <c r="B1960"/>
      <c r="C1960"/>
      <c r="D1960"/>
      <c r="E1960"/>
      <c r="F1960"/>
      <c r="G1960"/>
      <c r="H1960"/>
      <c r="I1960"/>
      <c r="J1960"/>
      <c r="K1960"/>
      <c r="L1960"/>
      <c r="M1960"/>
      <c r="N1960"/>
      <c r="O1960"/>
      <c r="P1960"/>
      <c r="Q1960" s="11"/>
    </row>
    <row r="1961" spans="2:17" x14ac:dyDescent="0.35">
      <c r="B1961"/>
      <c r="C1961"/>
      <c r="D1961"/>
      <c r="E1961"/>
      <c r="F1961"/>
      <c r="G1961"/>
      <c r="H1961"/>
      <c r="I1961"/>
      <c r="J1961"/>
      <c r="K1961"/>
      <c r="L1961"/>
      <c r="M1961"/>
      <c r="N1961"/>
      <c r="O1961"/>
      <c r="P1961"/>
      <c r="Q1961" s="11"/>
    </row>
    <row r="1962" spans="2:17" x14ac:dyDescent="0.35">
      <c r="B1962"/>
      <c r="C1962"/>
      <c r="D1962"/>
      <c r="E1962"/>
      <c r="F1962"/>
      <c r="G1962"/>
      <c r="H1962"/>
      <c r="I1962"/>
      <c r="J1962"/>
      <c r="K1962"/>
      <c r="L1962"/>
      <c r="M1962"/>
      <c r="N1962"/>
      <c r="O1962"/>
      <c r="P1962"/>
      <c r="Q1962" s="11"/>
    </row>
    <row r="1963" spans="2:17" x14ac:dyDescent="0.35">
      <c r="B1963"/>
      <c r="C1963"/>
      <c r="D1963"/>
      <c r="E1963"/>
      <c r="F1963"/>
      <c r="G1963"/>
      <c r="H1963"/>
      <c r="I1963"/>
      <c r="J1963"/>
      <c r="K1963"/>
      <c r="L1963"/>
      <c r="M1963"/>
      <c r="N1963"/>
      <c r="O1963"/>
      <c r="P1963"/>
      <c r="Q1963" s="11"/>
    </row>
    <row r="1964" spans="2:17" x14ac:dyDescent="0.35">
      <c r="B1964"/>
      <c r="C1964"/>
      <c r="D1964"/>
      <c r="E1964"/>
      <c r="F1964"/>
      <c r="G1964"/>
      <c r="H1964"/>
      <c r="I1964"/>
      <c r="J1964"/>
      <c r="K1964"/>
      <c r="L1964"/>
      <c r="M1964"/>
      <c r="N1964"/>
      <c r="O1964"/>
      <c r="P1964"/>
      <c r="Q1964" s="11"/>
    </row>
    <row r="1965" spans="2:17" x14ac:dyDescent="0.35">
      <c r="B1965"/>
      <c r="C1965"/>
      <c r="D1965"/>
      <c r="E1965"/>
      <c r="F1965"/>
      <c r="G1965"/>
      <c r="H1965"/>
      <c r="I1965"/>
      <c r="J1965"/>
      <c r="K1965"/>
      <c r="L1965"/>
      <c r="M1965"/>
      <c r="N1965"/>
      <c r="O1965"/>
      <c r="P1965"/>
      <c r="Q1965" s="11"/>
    </row>
    <row r="1966" spans="2:17" x14ac:dyDescent="0.35">
      <c r="B1966"/>
      <c r="C1966"/>
      <c r="D1966"/>
      <c r="E1966"/>
      <c r="F1966"/>
      <c r="G1966"/>
      <c r="H1966"/>
      <c r="I1966"/>
      <c r="J1966"/>
      <c r="K1966"/>
      <c r="L1966"/>
      <c r="M1966"/>
      <c r="N1966"/>
      <c r="O1966"/>
      <c r="P1966"/>
      <c r="Q1966" s="11"/>
    </row>
    <row r="1967" spans="2:17" x14ac:dyDescent="0.35">
      <c r="B1967"/>
      <c r="C1967"/>
      <c r="D1967"/>
      <c r="E1967"/>
      <c r="F1967"/>
      <c r="G1967"/>
      <c r="H1967"/>
      <c r="I1967"/>
      <c r="J1967"/>
      <c r="K1967"/>
      <c r="L1967"/>
      <c r="M1967"/>
      <c r="N1967"/>
      <c r="O1967"/>
      <c r="P1967"/>
      <c r="Q1967" s="11"/>
    </row>
    <row r="1968" spans="2:17" x14ac:dyDescent="0.35">
      <c r="B1968"/>
      <c r="C1968"/>
      <c r="D1968"/>
      <c r="E1968"/>
      <c r="F1968"/>
      <c r="G1968"/>
      <c r="H1968"/>
      <c r="I1968"/>
      <c r="J1968"/>
      <c r="K1968"/>
      <c r="L1968"/>
      <c r="M1968"/>
      <c r="N1968"/>
      <c r="O1968"/>
      <c r="P1968"/>
      <c r="Q1968" s="11"/>
    </row>
    <row r="1969" spans="2:17" x14ac:dyDescent="0.35">
      <c r="B1969"/>
      <c r="C1969"/>
      <c r="D1969"/>
      <c r="E1969"/>
      <c r="F1969"/>
      <c r="G1969"/>
      <c r="H1969"/>
      <c r="I1969"/>
      <c r="J1969"/>
      <c r="K1969"/>
      <c r="L1969"/>
      <c r="M1969"/>
      <c r="N1969"/>
      <c r="O1969"/>
      <c r="P1969"/>
      <c r="Q1969" s="11"/>
    </row>
    <row r="1970" spans="2:17" x14ac:dyDescent="0.35">
      <c r="B1970"/>
      <c r="C1970"/>
      <c r="D1970"/>
      <c r="E1970"/>
      <c r="F1970"/>
      <c r="G1970"/>
      <c r="H1970"/>
      <c r="I1970"/>
      <c r="J1970"/>
      <c r="K1970"/>
      <c r="L1970"/>
      <c r="M1970"/>
      <c r="N1970"/>
      <c r="O1970"/>
      <c r="P1970"/>
      <c r="Q1970" s="11"/>
    </row>
    <row r="1971" spans="2:17" x14ac:dyDescent="0.35">
      <c r="B1971"/>
      <c r="C1971"/>
      <c r="D1971"/>
      <c r="E1971"/>
      <c r="F1971"/>
      <c r="G1971"/>
      <c r="H1971"/>
      <c r="I1971"/>
      <c r="J1971"/>
      <c r="K1971"/>
      <c r="L1971"/>
      <c r="M1971"/>
      <c r="N1971"/>
      <c r="O1971"/>
      <c r="P1971"/>
      <c r="Q1971" s="11"/>
    </row>
    <row r="1972" spans="2:17" x14ac:dyDescent="0.35">
      <c r="B1972"/>
      <c r="C1972"/>
      <c r="D1972"/>
      <c r="E1972"/>
      <c r="F1972"/>
      <c r="G1972"/>
      <c r="H1972"/>
      <c r="I1972"/>
      <c r="J1972"/>
      <c r="K1972"/>
      <c r="L1972"/>
      <c r="M1972"/>
      <c r="N1972"/>
      <c r="O1972"/>
      <c r="P1972"/>
      <c r="Q1972" s="11"/>
    </row>
    <row r="1973" spans="2:17" x14ac:dyDescent="0.35">
      <c r="B1973"/>
      <c r="C1973"/>
      <c r="D1973"/>
      <c r="E1973"/>
      <c r="F1973"/>
      <c r="G1973"/>
      <c r="H1973"/>
      <c r="I1973"/>
      <c r="J1973"/>
      <c r="K1973"/>
      <c r="L1973"/>
      <c r="M1973"/>
      <c r="N1973"/>
      <c r="O1973"/>
      <c r="P1973"/>
      <c r="Q1973" s="11"/>
    </row>
    <row r="1974" spans="2:17" x14ac:dyDescent="0.35">
      <c r="B1974"/>
      <c r="C1974"/>
      <c r="D1974"/>
      <c r="E1974"/>
      <c r="F1974"/>
      <c r="G1974"/>
      <c r="H1974"/>
      <c r="I1974"/>
      <c r="J1974"/>
      <c r="K1974"/>
      <c r="L1974"/>
      <c r="M1974"/>
      <c r="N1974"/>
      <c r="O1974"/>
      <c r="P1974"/>
      <c r="Q1974" s="11"/>
    </row>
    <row r="1975" spans="2:17" x14ac:dyDescent="0.35">
      <c r="B1975"/>
      <c r="C1975"/>
      <c r="D1975"/>
      <c r="E1975"/>
      <c r="F1975"/>
      <c r="G1975"/>
      <c r="H1975"/>
      <c r="I1975"/>
      <c r="J1975"/>
      <c r="K1975"/>
      <c r="L1975"/>
      <c r="M1975"/>
      <c r="N1975"/>
      <c r="O1975"/>
      <c r="P1975"/>
      <c r="Q1975" s="11"/>
    </row>
    <row r="1976" spans="2:17" x14ac:dyDescent="0.35">
      <c r="B1976"/>
      <c r="C1976"/>
      <c r="D1976"/>
      <c r="E1976"/>
      <c r="F1976"/>
      <c r="G1976"/>
      <c r="H1976"/>
      <c r="I1976"/>
      <c r="J1976"/>
      <c r="K1976"/>
      <c r="L1976"/>
      <c r="M1976"/>
      <c r="N1976"/>
      <c r="O1976"/>
      <c r="P1976"/>
      <c r="Q1976" s="11"/>
    </row>
    <row r="1977" spans="2:17" x14ac:dyDescent="0.35">
      <c r="B1977"/>
      <c r="C1977"/>
      <c r="D1977"/>
      <c r="E1977"/>
      <c r="F1977"/>
      <c r="G1977"/>
      <c r="H1977"/>
      <c r="I1977"/>
      <c r="J1977"/>
      <c r="K1977"/>
      <c r="L1977"/>
      <c r="M1977"/>
      <c r="N1977"/>
      <c r="O1977"/>
      <c r="P1977"/>
      <c r="Q1977" s="11"/>
    </row>
    <row r="1978" spans="2:17" x14ac:dyDescent="0.35">
      <c r="B1978"/>
      <c r="C1978"/>
      <c r="D1978"/>
      <c r="E1978"/>
      <c r="F1978"/>
      <c r="G1978"/>
      <c r="H1978"/>
      <c r="I1978"/>
      <c r="J1978"/>
      <c r="K1978"/>
      <c r="L1978"/>
      <c r="M1978"/>
      <c r="N1978"/>
      <c r="O1978"/>
      <c r="P1978"/>
      <c r="Q1978" s="11"/>
    </row>
    <row r="1979" spans="2:17" x14ac:dyDescent="0.35">
      <c r="B1979"/>
      <c r="C1979"/>
      <c r="D1979"/>
      <c r="E1979"/>
      <c r="F1979"/>
      <c r="G1979"/>
      <c r="H1979"/>
      <c r="I1979"/>
      <c r="J1979"/>
      <c r="K1979"/>
      <c r="L1979"/>
      <c r="M1979"/>
      <c r="N1979"/>
      <c r="O1979"/>
      <c r="P1979"/>
      <c r="Q1979" s="11"/>
    </row>
    <row r="1980" spans="2:17" x14ac:dyDescent="0.35">
      <c r="B1980"/>
      <c r="C1980"/>
      <c r="D1980"/>
      <c r="E1980"/>
      <c r="F1980"/>
      <c r="G1980"/>
      <c r="H1980"/>
      <c r="I1980"/>
      <c r="J1980"/>
      <c r="K1980"/>
      <c r="L1980"/>
      <c r="M1980"/>
      <c r="N1980"/>
      <c r="O1980"/>
      <c r="P1980"/>
      <c r="Q1980" s="11"/>
    </row>
    <row r="1981" spans="2:17" x14ac:dyDescent="0.35">
      <c r="B1981"/>
      <c r="C1981"/>
      <c r="D1981"/>
      <c r="E1981"/>
      <c r="F1981"/>
      <c r="G1981"/>
      <c r="H1981"/>
      <c r="I1981"/>
      <c r="J1981"/>
      <c r="K1981"/>
      <c r="L1981"/>
      <c r="M1981"/>
      <c r="N1981"/>
      <c r="O1981"/>
      <c r="P1981"/>
      <c r="Q1981" s="11"/>
    </row>
    <row r="1982" spans="2:17" x14ac:dyDescent="0.35">
      <c r="B1982"/>
      <c r="C1982"/>
      <c r="D1982"/>
      <c r="E1982"/>
      <c r="F1982"/>
      <c r="G1982"/>
      <c r="H1982"/>
      <c r="I1982"/>
      <c r="J1982"/>
      <c r="K1982"/>
      <c r="L1982"/>
      <c r="M1982"/>
      <c r="N1982"/>
      <c r="O1982"/>
      <c r="P1982"/>
      <c r="Q1982" s="11"/>
    </row>
    <row r="1983" spans="2:17" x14ac:dyDescent="0.35">
      <c r="B1983"/>
      <c r="C1983"/>
      <c r="D1983"/>
      <c r="E1983"/>
      <c r="F1983"/>
      <c r="G1983"/>
      <c r="H1983"/>
      <c r="I1983"/>
      <c r="J1983"/>
      <c r="K1983"/>
      <c r="L1983"/>
      <c r="M1983"/>
      <c r="N1983"/>
      <c r="O1983"/>
      <c r="P1983"/>
      <c r="Q1983" s="11"/>
    </row>
    <row r="1984" spans="2:17" x14ac:dyDescent="0.35">
      <c r="B1984"/>
      <c r="C1984"/>
      <c r="D1984"/>
      <c r="E1984"/>
      <c r="F1984"/>
      <c r="G1984"/>
      <c r="H1984"/>
      <c r="I1984"/>
      <c r="J1984"/>
      <c r="K1984"/>
      <c r="L1984"/>
      <c r="M1984"/>
      <c r="N1984"/>
      <c r="O1984"/>
      <c r="P1984"/>
      <c r="Q1984" s="11"/>
    </row>
    <row r="1985" spans="2:17" x14ac:dyDescent="0.35">
      <c r="B1985"/>
      <c r="C1985"/>
      <c r="D1985"/>
      <c r="E1985"/>
      <c r="F1985"/>
      <c r="G1985"/>
      <c r="H1985"/>
      <c r="I1985"/>
      <c r="J1985"/>
      <c r="K1985"/>
      <c r="L1985"/>
      <c r="M1985"/>
      <c r="N1985"/>
      <c r="O1985"/>
      <c r="P1985"/>
      <c r="Q1985" s="11"/>
    </row>
    <row r="1986" spans="2:17" x14ac:dyDescent="0.35">
      <c r="B1986"/>
      <c r="C1986"/>
      <c r="D1986"/>
      <c r="E1986"/>
      <c r="F1986"/>
      <c r="G1986"/>
      <c r="H1986"/>
      <c r="I1986"/>
      <c r="J1986"/>
      <c r="K1986"/>
      <c r="L1986"/>
      <c r="M1986"/>
      <c r="N1986"/>
      <c r="O1986"/>
      <c r="P1986"/>
      <c r="Q1986" s="11"/>
    </row>
    <row r="1987" spans="2:17" x14ac:dyDescent="0.35">
      <c r="B1987"/>
      <c r="C1987"/>
      <c r="D1987"/>
      <c r="E1987"/>
      <c r="F1987"/>
      <c r="G1987"/>
      <c r="H1987"/>
      <c r="I1987"/>
      <c r="J1987"/>
      <c r="K1987"/>
      <c r="L1987"/>
      <c r="M1987"/>
      <c r="N1987"/>
      <c r="O1987"/>
      <c r="P1987"/>
      <c r="Q1987" s="11"/>
    </row>
    <row r="1988" spans="2:17" x14ac:dyDescent="0.35">
      <c r="B1988"/>
      <c r="C1988"/>
      <c r="D1988"/>
      <c r="E1988"/>
      <c r="F1988"/>
      <c r="G1988"/>
      <c r="H1988"/>
      <c r="I1988"/>
      <c r="J1988"/>
      <c r="K1988"/>
      <c r="L1988"/>
      <c r="M1988"/>
      <c r="N1988"/>
      <c r="O1988"/>
      <c r="P1988"/>
      <c r="Q1988" s="11"/>
    </row>
    <row r="1989" spans="2:17" x14ac:dyDescent="0.35">
      <c r="B1989"/>
      <c r="C1989"/>
      <c r="D1989"/>
      <c r="E1989"/>
      <c r="F1989"/>
      <c r="G1989"/>
      <c r="H1989"/>
      <c r="I1989"/>
      <c r="J1989"/>
      <c r="K1989"/>
      <c r="L1989"/>
      <c r="M1989"/>
      <c r="N1989"/>
      <c r="O1989"/>
      <c r="P1989"/>
      <c r="Q1989" s="11"/>
    </row>
    <row r="1990" spans="2:17" x14ac:dyDescent="0.35">
      <c r="B1990"/>
      <c r="C1990"/>
      <c r="D1990"/>
      <c r="E1990"/>
      <c r="F1990"/>
      <c r="G1990"/>
      <c r="H1990"/>
      <c r="I1990"/>
      <c r="J1990"/>
      <c r="K1990"/>
      <c r="L1990"/>
      <c r="M1990"/>
      <c r="N1990"/>
      <c r="O1990"/>
      <c r="P1990"/>
      <c r="Q1990" s="11"/>
    </row>
    <row r="1991" spans="2:17" x14ac:dyDescent="0.35">
      <c r="B1991"/>
      <c r="C1991"/>
      <c r="D1991"/>
      <c r="E1991"/>
      <c r="F1991"/>
      <c r="G1991"/>
      <c r="H1991"/>
      <c r="I1991"/>
      <c r="J1991"/>
      <c r="K1991"/>
      <c r="L1991"/>
      <c r="M1991"/>
      <c r="N1991"/>
      <c r="O1991"/>
      <c r="P1991"/>
      <c r="Q1991" s="11"/>
    </row>
    <row r="1992" spans="2:17" x14ac:dyDescent="0.35">
      <c r="B1992"/>
      <c r="C1992"/>
      <c r="D1992"/>
      <c r="E1992"/>
      <c r="F1992"/>
      <c r="G1992"/>
      <c r="H1992"/>
      <c r="I1992"/>
      <c r="J1992"/>
      <c r="K1992"/>
      <c r="L1992"/>
      <c r="M1992"/>
      <c r="N1992"/>
      <c r="O1992"/>
      <c r="P1992"/>
      <c r="Q1992" s="11"/>
    </row>
    <row r="1993" spans="2:17" x14ac:dyDescent="0.35">
      <c r="B1993"/>
      <c r="C1993"/>
      <c r="D1993"/>
      <c r="E1993"/>
      <c r="F1993"/>
      <c r="G1993"/>
      <c r="H1993"/>
      <c r="I1993"/>
      <c r="J1993"/>
      <c r="K1993"/>
      <c r="L1993"/>
      <c r="M1993"/>
      <c r="N1993"/>
      <c r="O1993"/>
      <c r="P1993"/>
      <c r="Q1993" s="11"/>
    </row>
    <row r="1994" spans="2:17" x14ac:dyDescent="0.35">
      <c r="B1994"/>
      <c r="C1994"/>
      <c r="D1994"/>
      <c r="E1994"/>
      <c r="F1994"/>
      <c r="G1994"/>
      <c r="H1994"/>
      <c r="I1994"/>
      <c r="J1994"/>
      <c r="K1994"/>
      <c r="L1994"/>
      <c r="M1994"/>
      <c r="N1994"/>
      <c r="O1994"/>
      <c r="P1994"/>
      <c r="Q1994" s="11"/>
    </row>
    <row r="1995" spans="2:17" x14ac:dyDescent="0.35">
      <c r="B1995"/>
      <c r="C1995"/>
      <c r="D1995"/>
      <c r="E1995"/>
      <c r="F1995"/>
      <c r="G1995"/>
      <c r="H1995"/>
      <c r="I1995"/>
      <c r="J1995"/>
      <c r="K1995"/>
      <c r="L1995"/>
      <c r="M1995"/>
      <c r="N1995"/>
      <c r="O1995"/>
      <c r="P1995"/>
      <c r="Q1995" s="11"/>
    </row>
    <row r="1996" spans="2:17" x14ac:dyDescent="0.35">
      <c r="B1996"/>
      <c r="C1996"/>
      <c r="D1996"/>
      <c r="E1996"/>
      <c r="F1996"/>
      <c r="G1996"/>
      <c r="H1996"/>
      <c r="I1996"/>
      <c r="J1996"/>
      <c r="K1996"/>
      <c r="L1996"/>
      <c r="M1996"/>
      <c r="N1996"/>
      <c r="O1996"/>
      <c r="P1996"/>
      <c r="Q1996" s="11"/>
    </row>
    <row r="1997" spans="2:17" x14ac:dyDescent="0.35">
      <c r="B1997"/>
      <c r="C1997"/>
      <c r="D1997"/>
      <c r="E1997"/>
      <c r="F1997"/>
      <c r="G1997"/>
      <c r="H1997"/>
      <c r="I1997"/>
      <c r="J1997"/>
      <c r="K1997"/>
      <c r="L1997"/>
      <c r="M1997"/>
      <c r="N1997"/>
      <c r="O1997"/>
      <c r="P1997"/>
      <c r="Q1997" s="11"/>
    </row>
    <row r="1998" spans="2:17" x14ac:dyDescent="0.35">
      <c r="B1998"/>
      <c r="C1998"/>
      <c r="D1998"/>
      <c r="E1998"/>
      <c r="F1998"/>
      <c r="G1998"/>
      <c r="H1998"/>
      <c r="I1998"/>
      <c r="J1998"/>
      <c r="K1998"/>
      <c r="L1998"/>
      <c r="M1998"/>
      <c r="N1998"/>
      <c r="O1998"/>
      <c r="P1998"/>
      <c r="Q1998" s="11"/>
    </row>
    <row r="1999" spans="2:17" x14ac:dyDescent="0.35">
      <c r="B1999"/>
      <c r="C1999"/>
      <c r="D1999"/>
      <c r="E1999"/>
      <c r="F1999"/>
      <c r="G1999"/>
      <c r="H1999"/>
      <c r="I1999"/>
      <c r="J1999"/>
      <c r="K1999"/>
      <c r="L1999"/>
      <c r="M1999"/>
      <c r="N1999"/>
      <c r="O1999"/>
      <c r="P1999"/>
      <c r="Q1999" s="11"/>
    </row>
    <row r="2000" spans="2:17" x14ac:dyDescent="0.35">
      <c r="B2000"/>
      <c r="C2000"/>
      <c r="D2000"/>
      <c r="E2000"/>
      <c r="F2000"/>
      <c r="G2000"/>
      <c r="H2000"/>
      <c r="I2000"/>
      <c r="J2000"/>
      <c r="K2000"/>
      <c r="L2000"/>
      <c r="M2000"/>
      <c r="N2000"/>
      <c r="O2000"/>
      <c r="P2000"/>
      <c r="Q2000" s="11"/>
    </row>
    <row r="2001" spans="2:17" x14ac:dyDescent="0.35">
      <c r="B2001"/>
      <c r="C2001"/>
      <c r="D2001"/>
      <c r="E2001"/>
      <c r="F2001"/>
      <c r="G2001"/>
      <c r="H2001"/>
      <c r="I2001"/>
      <c r="J2001"/>
      <c r="K2001"/>
      <c r="L2001"/>
      <c r="M2001"/>
      <c r="N2001"/>
      <c r="O2001"/>
      <c r="P2001"/>
      <c r="Q2001" s="11"/>
    </row>
    <row r="2002" spans="2:17" x14ac:dyDescent="0.35">
      <c r="B2002"/>
      <c r="C2002"/>
      <c r="D2002"/>
      <c r="E2002"/>
      <c r="F2002"/>
      <c r="G2002"/>
      <c r="H2002"/>
      <c r="I2002"/>
      <c r="J2002"/>
      <c r="K2002"/>
      <c r="L2002"/>
      <c r="M2002"/>
      <c r="N2002"/>
      <c r="O2002"/>
      <c r="P2002"/>
      <c r="Q2002" s="11"/>
    </row>
    <row r="2003" spans="2:17" x14ac:dyDescent="0.35">
      <c r="B2003"/>
      <c r="C2003"/>
      <c r="D2003"/>
      <c r="E2003"/>
      <c r="F2003"/>
      <c r="G2003"/>
      <c r="H2003"/>
      <c r="I2003"/>
      <c r="J2003"/>
      <c r="K2003"/>
      <c r="L2003"/>
      <c r="M2003"/>
      <c r="N2003"/>
      <c r="O2003"/>
      <c r="P2003"/>
      <c r="Q2003" s="11"/>
    </row>
    <row r="2004" spans="2:17" x14ac:dyDescent="0.35">
      <c r="B2004"/>
      <c r="C2004"/>
      <c r="D2004"/>
      <c r="E2004"/>
      <c r="F2004"/>
      <c r="G2004"/>
      <c r="H2004"/>
      <c r="I2004"/>
      <c r="J2004"/>
      <c r="K2004"/>
      <c r="L2004"/>
      <c r="M2004"/>
      <c r="N2004"/>
      <c r="O2004"/>
      <c r="P2004"/>
      <c r="Q2004" s="11"/>
    </row>
    <row r="2005" spans="2:17" x14ac:dyDescent="0.35">
      <c r="B2005"/>
      <c r="C2005"/>
      <c r="D2005"/>
      <c r="E2005"/>
      <c r="F2005"/>
      <c r="G2005"/>
      <c r="H2005"/>
      <c r="I2005"/>
      <c r="J2005"/>
      <c r="K2005"/>
      <c r="L2005"/>
      <c r="M2005"/>
      <c r="N2005"/>
      <c r="O2005"/>
      <c r="P2005"/>
    </row>
    <row r="2006" spans="2:17" x14ac:dyDescent="0.35">
      <c r="B2006"/>
      <c r="C2006"/>
      <c r="D2006"/>
      <c r="E2006"/>
      <c r="F2006"/>
      <c r="G2006"/>
      <c r="H2006"/>
      <c r="I2006"/>
      <c r="J2006"/>
      <c r="K2006"/>
      <c r="L2006"/>
      <c r="M2006"/>
      <c r="N2006"/>
      <c r="O2006"/>
      <c r="P2006"/>
    </row>
    <row r="2007" spans="2:17" x14ac:dyDescent="0.35">
      <c r="B2007"/>
      <c r="C2007"/>
      <c r="D2007"/>
      <c r="E2007"/>
      <c r="F2007"/>
      <c r="G2007"/>
      <c r="H2007"/>
      <c r="I2007"/>
      <c r="J2007"/>
      <c r="K2007"/>
      <c r="L2007"/>
      <c r="M2007"/>
      <c r="N2007"/>
      <c r="O2007"/>
      <c r="P2007"/>
    </row>
    <row r="2008" spans="2:17" x14ac:dyDescent="0.35">
      <c r="B2008"/>
      <c r="C2008"/>
      <c r="D2008"/>
      <c r="E2008"/>
      <c r="F2008"/>
      <c r="G2008"/>
      <c r="H2008"/>
      <c r="I2008"/>
      <c r="J2008"/>
      <c r="K2008"/>
      <c r="L2008"/>
      <c r="M2008"/>
      <c r="N2008"/>
      <c r="O2008"/>
      <c r="P2008"/>
    </row>
    <row r="2009" spans="2:17" x14ac:dyDescent="0.35">
      <c r="B2009"/>
      <c r="C2009"/>
      <c r="D2009"/>
      <c r="E2009"/>
      <c r="F2009"/>
      <c r="G2009"/>
      <c r="H2009"/>
      <c r="I2009"/>
      <c r="J2009"/>
      <c r="K2009"/>
      <c r="L2009"/>
      <c r="M2009"/>
      <c r="N2009"/>
      <c r="O2009"/>
      <c r="P2009"/>
    </row>
    <row r="2010" spans="2:17" x14ac:dyDescent="0.35">
      <c r="B2010"/>
      <c r="C2010"/>
      <c r="D2010"/>
      <c r="E2010"/>
      <c r="F2010"/>
      <c r="G2010"/>
      <c r="H2010"/>
      <c r="I2010"/>
      <c r="J2010"/>
      <c r="K2010"/>
      <c r="L2010"/>
      <c r="M2010"/>
      <c r="N2010"/>
      <c r="O2010"/>
      <c r="P2010"/>
    </row>
    <row r="2011" spans="2:17" x14ac:dyDescent="0.35">
      <c r="B2011"/>
      <c r="C2011"/>
      <c r="D2011"/>
      <c r="E2011"/>
      <c r="F2011"/>
      <c r="G2011"/>
      <c r="H2011"/>
      <c r="I2011"/>
      <c r="J2011"/>
      <c r="K2011"/>
      <c r="L2011"/>
      <c r="M2011"/>
      <c r="N2011"/>
      <c r="O2011"/>
      <c r="P2011"/>
    </row>
    <row r="2012" spans="2:17" x14ac:dyDescent="0.35">
      <c r="B2012"/>
      <c r="C2012"/>
      <c r="D2012"/>
      <c r="E2012"/>
      <c r="F2012"/>
      <c r="G2012"/>
      <c r="H2012"/>
      <c r="I2012"/>
      <c r="J2012"/>
      <c r="K2012"/>
      <c r="L2012"/>
      <c r="M2012"/>
      <c r="N2012"/>
      <c r="O2012"/>
      <c r="P2012"/>
    </row>
    <row r="2013" spans="2:17" x14ac:dyDescent="0.35">
      <c r="B2013"/>
      <c r="C2013"/>
      <c r="D2013"/>
      <c r="E2013"/>
      <c r="F2013"/>
      <c r="G2013"/>
      <c r="H2013"/>
      <c r="I2013"/>
      <c r="J2013"/>
      <c r="K2013"/>
      <c r="L2013"/>
      <c r="M2013"/>
      <c r="N2013"/>
      <c r="O2013"/>
      <c r="P2013"/>
    </row>
    <row r="2014" spans="2:17" x14ac:dyDescent="0.35">
      <c r="B2014"/>
      <c r="C2014"/>
      <c r="D2014"/>
      <c r="E2014"/>
      <c r="F2014"/>
      <c r="G2014"/>
      <c r="H2014"/>
      <c r="I2014"/>
      <c r="J2014"/>
      <c r="K2014"/>
      <c r="L2014"/>
      <c r="M2014"/>
      <c r="N2014"/>
      <c r="O2014"/>
      <c r="P2014"/>
    </row>
    <row r="2015" spans="2:17" x14ac:dyDescent="0.35">
      <c r="B2015"/>
      <c r="C2015"/>
      <c r="D2015"/>
      <c r="E2015"/>
      <c r="F2015"/>
      <c r="G2015"/>
      <c r="H2015"/>
      <c r="I2015"/>
      <c r="J2015"/>
      <c r="K2015"/>
      <c r="L2015"/>
      <c r="M2015"/>
      <c r="N2015"/>
      <c r="O2015"/>
      <c r="P2015"/>
    </row>
    <row r="2016" spans="2:17" x14ac:dyDescent="0.35">
      <c r="B2016"/>
      <c r="C2016"/>
      <c r="D2016"/>
      <c r="E2016"/>
      <c r="F2016"/>
      <c r="G2016"/>
      <c r="H2016"/>
      <c r="I2016"/>
      <c r="J2016"/>
      <c r="K2016"/>
      <c r="L2016"/>
      <c r="M2016"/>
      <c r="N2016"/>
      <c r="O2016"/>
      <c r="P2016"/>
    </row>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row r="2436" customFormat="1" x14ac:dyDescent="0.35"/>
    <row r="2437" customFormat="1" x14ac:dyDescent="0.35"/>
    <row r="2438" customFormat="1" x14ac:dyDescent="0.35"/>
    <row r="2439" customFormat="1" x14ac:dyDescent="0.35"/>
    <row r="2440" customFormat="1" x14ac:dyDescent="0.35"/>
    <row r="2441" customFormat="1" x14ac:dyDescent="0.35"/>
    <row r="2442" customFormat="1" x14ac:dyDescent="0.35"/>
    <row r="2443" customFormat="1" x14ac:dyDescent="0.35"/>
    <row r="2444" customFormat="1" x14ac:dyDescent="0.35"/>
    <row r="2445" customFormat="1" x14ac:dyDescent="0.35"/>
    <row r="2446" customFormat="1" x14ac:dyDescent="0.35"/>
    <row r="2447" customFormat="1" x14ac:dyDescent="0.35"/>
    <row r="2448" customFormat="1" x14ac:dyDescent="0.35"/>
    <row r="2449" customFormat="1" x14ac:dyDescent="0.35"/>
    <row r="2450" customFormat="1" x14ac:dyDescent="0.35"/>
    <row r="2451" customFormat="1" x14ac:dyDescent="0.35"/>
    <row r="2452" customFormat="1" x14ac:dyDescent="0.35"/>
    <row r="2453" customFormat="1" x14ac:dyDescent="0.35"/>
    <row r="2454" customFormat="1" x14ac:dyDescent="0.35"/>
    <row r="2455" customFormat="1" x14ac:dyDescent="0.35"/>
    <row r="2456" customFormat="1" x14ac:dyDescent="0.35"/>
    <row r="2457" customFormat="1" x14ac:dyDescent="0.35"/>
    <row r="2458" customFormat="1" x14ac:dyDescent="0.35"/>
    <row r="2459" customFormat="1" x14ac:dyDescent="0.35"/>
    <row r="2460" customFormat="1" x14ac:dyDescent="0.35"/>
    <row r="2461" customFormat="1" x14ac:dyDescent="0.35"/>
    <row r="2462" customFormat="1" x14ac:dyDescent="0.35"/>
    <row r="2463" customFormat="1" x14ac:dyDescent="0.35"/>
    <row r="2464" customFormat="1" x14ac:dyDescent="0.35"/>
    <row r="2465" customFormat="1" x14ac:dyDescent="0.35"/>
    <row r="2466" customFormat="1" x14ac:dyDescent="0.35"/>
    <row r="2467" customFormat="1" x14ac:dyDescent="0.35"/>
    <row r="2468" customFormat="1" x14ac:dyDescent="0.35"/>
    <row r="2469" customFormat="1" x14ac:dyDescent="0.35"/>
    <row r="2470" customFormat="1" x14ac:dyDescent="0.35"/>
    <row r="2471" customFormat="1" x14ac:dyDescent="0.35"/>
    <row r="2472" customFormat="1" x14ac:dyDescent="0.35"/>
    <row r="2473" customFormat="1" x14ac:dyDescent="0.35"/>
    <row r="2474" customFormat="1" x14ac:dyDescent="0.35"/>
    <row r="2475" customFormat="1" x14ac:dyDescent="0.35"/>
    <row r="2476" customFormat="1" x14ac:dyDescent="0.35"/>
    <row r="2477" customFormat="1" x14ac:dyDescent="0.35"/>
    <row r="2478" customFormat="1" x14ac:dyDescent="0.35"/>
    <row r="2479" customFormat="1" x14ac:dyDescent="0.35"/>
    <row r="2480" customFormat="1" x14ac:dyDescent="0.35"/>
    <row r="2481" customFormat="1" x14ac:dyDescent="0.35"/>
    <row r="2482" customFormat="1" x14ac:dyDescent="0.35"/>
    <row r="2483" customFormat="1" x14ac:dyDescent="0.35"/>
    <row r="2484" customFormat="1" x14ac:dyDescent="0.35"/>
    <row r="2485" customFormat="1" x14ac:dyDescent="0.35"/>
    <row r="2486" customFormat="1" x14ac:dyDescent="0.35"/>
    <row r="2487" customFormat="1" x14ac:dyDescent="0.35"/>
    <row r="2488" customFormat="1" x14ac:dyDescent="0.35"/>
    <row r="2489" customFormat="1" x14ac:dyDescent="0.35"/>
    <row r="2490" customFormat="1" x14ac:dyDescent="0.35"/>
    <row r="2491" customFormat="1" x14ac:dyDescent="0.35"/>
    <row r="2492" customFormat="1" x14ac:dyDescent="0.35"/>
    <row r="2493" customFormat="1" x14ac:dyDescent="0.35"/>
    <row r="2494" customFormat="1" x14ac:dyDescent="0.35"/>
    <row r="2495" customFormat="1" x14ac:dyDescent="0.35"/>
    <row r="2496" customFormat="1" x14ac:dyDescent="0.35"/>
    <row r="2497" customFormat="1" x14ac:dyDescent="0.35"/>
    <row r="2498" customFormat="1" x14ac:dyDescent="0.35"/>
    <row r="2499" customFormat="1" x14ac:dyDescent="0.35"/>
    <row r="2500" customFormat="1" x14ac:dyDescent="0.35"/>
    <row r="2501" customFormat="1" x14ac:dyDescent="0.35"/>
    <row r="2502" customFormat="1" x14ac:dyDescent="0.35"/>
    <row r="2503" customFormat="1" x14ac:dyDescent="0.35"/>
    <row r="2504" customFormat="1" x14ac:dyDescent="0.35"/>
    <row r="2505" customFormat="1" x14ac:dyDescent="0.35"/>
    <row r="2506" customFormat="1" x14ac:dyDescent="0.35"/>
    <row r="2507" customFormat="1" x14ac:dyDescent="0.35"/>
    <row r="2508" customFormat="1" x14ac:dyDescent="0.35"/>
    <row r="2509" customFormat="1" x14ac:dyDescent="0.35"/>
    <row r="2510" customFormat="1" x14ac:dyDescent="0.35"/>
    <row r="2511" customFormat="1" x14ac:dyDescent="0.35"/>
    <row r="2512" customFormat="1" x14ac:dyDescent="0.35"/>
    <row r="2513" customFormat="1" x14ac:dyDescent="0.35"/>
    <row r="2514" customFormat="1" x14ac:dyDescent="0.35"/>
    <row r="2515" customFormat="1" x14ac:dyDescent="0.35"/>
    <row r="2516" customFormat="1" x14ac:dyDescent="0.35"/>
    <row r="2517" customFormat="1" x14ac:dyDescent="0.35"/>
    <row r="2518" customFormat="1" x14ac:dyDescent="0.35"/>
    <row r="2519" customFormat="1" x14ac:dyDescent="0.35"/>
    <row r="2520" customFormat="1" x14ac:dyDescent="0.35"/>
    <row r="2521" customFormat="1" x14ac:dyDescent="0.35"/>
    <row r="2522" customFormat="1" x14ac:dyDescent="0.35"/>
    <row r="2523" customFormat="1" x14ac:dyDescent="0.35"/>
    <row r="2524" customFormat="1" x14ac:dyDescent="0.35"/>
    <row r="2525" customFormat="1" x14ac:dyDescent="0.35"/>
    <row r="2526" customFormat="1" x14ac:dyDescent="0.35"/>
    <row r="2527" customFormat="1" x14ac:dyDescent="0.35"/>
    <row r="2528" customFormat="1" x14ac:dyDescent="0.35"/>
    <row r="2529" customFormat="1" x14ac:dyDescent="0.35"/>
    <row r="2530" customFormat="1" x14ac:dyDescent="0.35"/>
    <row r="2531" customFormat="1" x14ac:dyDescent="0.35"/>
    <row r="2532" customFormat="1" x14ac:dyDescent="0.35"/>
    <row r="2533" customFormat="1" x14ac:dyDescent="0.35"/>
    <row r="2534" customFormat="1" x14ac:dyDescent="0.35"/>
    <row r="2535" customFormat="1" x14ac:dyDescent="0.35"/>
    <row r="2536" customFormat="1" x14ac:dyDescent="0.35"/>
    <row r="2537" customFormat="1" x14ac:dyDescent="0.35"/>
    <row r="2538" customFormat="1" x14ac:dyDescent="0.35"/>
    <row r="2539" customFormat="1" x14ac:dyDescent="0.35"/>
    <row r="2540" customFormat="1" x14ac:dyDescent="0.35"/>
    <row r="2541" customFormat="1" x14ac:dyDescent="0.35"/>
    <row r="2542" customFormat="1" x14ac:dyDescent="0.35"/>
    <row r="2543" customFormat="1" x14ac:dyDescent="0.35"/>
    <row r="2544" customFormat="1" x14ac:dyDescent="0.35"/>
    <row r="2545" customFormat="1" x14ac:dyDescent="0.35"/>
    <row r="2546" customFormat="1" x14ac:dyDescent="0.35"/>
    <row r="2547" customFormat="1" x14ac:dyDescent="0.35"/>
    <row r="2548" customFormat="1" x14ac:dyDescent="0.35"/>
    <row r="2549" customFormat="1" x14ac:dyDescent="0.35"/>
    <row r="2550" customFormat="1" x14ac:dyDescent="0.35"/>
    <row r="2551" customFormat="1" x14ac:dyDescent="0.35"/>
    <row r="2552" customFormat="1" x14ac:dyDescent="0.35"/>
    <row r="2553" customFormat="1" x14ac:dyDescent="0.35"/>
    <row r="2554" customFormat="1" x14ac:dyDescent="0.35"/>
    <row r="2555" customFormat="1" x14ac:dyDescent="0.35"/>
    <row r="2556" customFormat="1" x14ac:dyDescent="0.35"/>
    <row r="2557" customFormat="1" x14ac:dyDescent="0.35"/>
    <row r="2558" customFormat="1" x14ac:dyDescent="0.35"/>
    <row r="2559" customFormat="1" x14ac:dyDescent="0.35"/>
    <row r="2560" customFormat="1" x14ac:dyDescent="0.35"/>
    <row r="2561" customFormat="1" x14ac:dyDescent="0.35"/>
    <row r="2562" customFormat="1" x14ac:dyDescent="0.35"/>
    <row r="2563" customFormat="1" x14ac:dyDescent="0.35"/>
    <row r="2564" customFormat="1" x14ac:dyDescent="0.35"/>
    <row r="2565" customFormat="1" x14ac:dyDescent="0.35"/>
    <row r="2566" customFormat="1" x14ac:dyDescent="0.35"/>
    <row r="2567" customFormat="1" x14ac:dyDescent="0.35"/>
    <row r="2568" customFormat="1" x14ac:dyDescent="0.35"/>
    <row r="2569" customFormat="1" x14ac:dyDescent="0.35"/>
    <row r="2570" customFormat="1" x14ac:dyDescent="0.35"/>
    <row r="2571" customFormat="1" x14ac:dyDescent="0.35"/>
    <row r="2572" customFormat="1" x14ac:dyDescent="0.35"/>
    <row r="2573" customFormat="1" x14ac:dyDescent="0.35"/>
    <row r="2574" customFormat="1" x14ac:dyDescent="0.35"/>
    <row r="2575" customFormat="1" x14ac:dyDescent="0.35"/>
    <row r="2576" customFormat="1" x14ac:dyDescent="0.35"/>
    <row r="2577" customFormat="1" x14ac:dyDescent="0.35"/>
    <row r="2578" customFormat="1" x14ac:dyDescent="0.35"/>
    <row r="2579" customFormat="1" x14ac:dyDescent="0.35"/>
    <row r="2580" customFormat="1" x14ac:dyDescent="0.35"/>
    <row r="2581" customFormat="1" x14ac:dyDescent="0.35"/>
    <row r="2582" customFormat="1" x14ac:dyDescent="0.35"/>
    <row r="2583" customFormat="1" x14ac:dyDescent="0.35"/>
    <row r="2584" customFormat="1" x14ac:dyDescent="0.35"/>
    <row r="2585" customFormat="1" x14ac:dyDescent="0.35"/>
    <row r="2586" customFormat="1" x14ac:dyDescent="0.35"/>
    <row r="2587" customFormat="1" x14ac:dyDescent="0.35"/>
    <row r="2588" customFormat="1" x14ac:dyDescent="0.35"/>
    <row r="2589" customFormat="1" x14ac:dyDescent="0.35"/>
    <row r="2590" customFormat="1" x14ac:dyDescent="0.35"/>
    <row r="2591" customFormat="1" x14ac:dyDescent="0.35"/>
    <row r="2592" customFormat="1" x14ac:dyDescent="0.35"/>
    <row r="2593" customFormat="1" x14ac:dyDescent="0.35"/>
    <row r="2594" customFormat="1" x14ac:dyDescent="0.35"/>
    <row r="2595" customFormat="1" x14ac:dyDescent="0.35"/>
    <row r="2596" customFormat="1" x14ac:dyDescent="0.35"/>
    <row r="2597" customFormat="1" x14ac:dyDescent="0.35"/>
    <row r="2598" customFormat="1" x14ac:dyDescent="0.35"/>
    <row r="2599" customFormat="1" x14ac:dyDescent="0.35"/>
    <row r="2600" customFormat="1" x14ac:dyDescent="0.35"/>
    <row r="2601" customFormat="1" x14ac:dyDescent="0.35"/>
    <row r="2602" customFormat="1" x14ac:dyDescent="0.35"/>
    <row r="2603" customFormat="1" x14ac:dyDescent="0.35"/>
    <row r="2604" customFormat="1" x14ac:dyDescent="0.35"/>
    <row r="2605" customFormat="1" x14ac:dyDescent="0.35"/>
    <row r="2606" customFormat="1" x14ac:dyDescent="0.35"/>
    <row r="2607" customFormat="1" x14ac:dyDescent="0.35"/>
    <row r="2608" customFormat="1" x14ac:dyDescent="0.35"/>
    <row r="2609" customFormat="1" x14ac:dyDescent="0.35"/>
    <row r="2610" customFormat="1" x14ac:dyDescent="0.35"/>
    <row r="2611" customFormat="1" x14ac:dyDescent="0.35"/>
    <row r="2612" customFormat="1" x14ac:dyDescent="0.35"/>
    <row r="2613" customFormat="1" x14ac:dyDescent="0.35"/>
    <row r="2614" customFormat="1" x14ac:dyDescent="0.35"/>
    <row r="2615" customFormat="1" x14ac:dyDescent="0.35"/>
    <row r="2616" customFormat="1" x14ac:dyDescent="0.35"/>
    <row r="2617" customFormat="1" x14ac:dyDescent="0.35"/>
    <row r="2618" customFormat="1" x14ac:dyDescent="0.35"/>
    <row r="2619" customFormat="1" x14ac:dyDescent="0.35"/>
    <row r="2620" customFormat="1" x14ac:dyDescent="0.35"/>
    <row r="2621" customFormat="1" x14ac:dyDescent="0.35"/>
    <row r="2622" customFormat="1" x14ac:dyDescent="0.35"/>
    <row r="2623" customFormat="1" x14ac:dyDescent="0.35"/>
    <row r="2624" customFormat="1" x14ac:dyDescent="0.35"/>
    <row r="2625" customFormat="1" x14ac:dyDescent="0.35"/>
    <row r="2626" customFormat="1" x14ac:dyDescent="0.35"/>
    <row r="2627" customFormat="1" x14ac:dyDescent="0.35"/>
    <row r="2628" customFormat="1" x14ac:dyDescent="0.35"/>
    <row r="2629" customFormat="1" x14ac:dyDescent="0.35"/>
    <row r="2630" customFormat="1" x14ac:dyDescent="0.35"/>
    <row r="2631" customFormat="1" x14ac:dyDescent="0.35"/>
    <row r="2632" customFormat="1" x14ac:dyDescent="0.35"/>
    <row r="2633" customFormat="1" x14ac:dyDescent="0.35"/>
    <row r="2634" customFormat="1" x14ac:dyDescent="0.35"/>
    <row r="2635" customFormat="1" x14ac:dyDescent="0.35"/>
    <row r="2636" customFormat="1" x14ac:dyDescent="0.35"/>
    <row r="2637" customFormat="1" x14ac:dyDescent="0.35"/>
    <row r="2638" customFormat="1" x14ac:dyDescent="0.35"/>
    <row r="2639" customFormat="1" x14ac:dyDescent="0.35"/>
    <row r="2640" customFormat="1" x14ac:dyDescent="0.35"/>
    <row r="2641" customFormat="1" x14ac:dyDescent="0.35"/>
    <row r="2642" customFormat="1" x14ac:dyDescent="0.35"/>
    <row r="2643" customFormat="1" x14ac:dyDescent="0.35"/>
    <row r="2644" customFormat="1" x14ac:dyDescent="0.35"/>
    <row r="2645" customFormat="1" x14ac:dyDescent="0.35"/>
    <row r="2646" customFormat="1" x14ac:dyDescent="0.35"/>
    <row r="2647" customFormat="1" x14ac:dyDescent="0.35"/>
    <row r="2648" customFormat="1" x14ac:dyDescent="0.35"/>
    <row r="2649" customFormat="1" x14ac:dyDescent="0.35"/>
    <row r="2650" customFormat="1" x14ac:dyDescent="0.35"/>
    <row r="2651" customFormat="1" x14ac:dyDescent="0.35"/>
    <row r="2652" customFormat="1" x14ac:dyDescent="0.35"/>
    <row r="2653" customFormat="1" x14ac:dyDescent="0.35"/>
    <row r="2654" customFormat="1" x14ac:dyDescent="0.35"/>
    <row r="2655" customFormat="1" x14ac:dyDescent="0.35"/>
    <row r="2656" customFormat="1" x14ac:dyDescent="0.35"/>
    <row r="2657" customFormat="1" x14ac:dyDescent="0.35"/>
    <row r="2658" customFormat="1" x14ac:dyDescent="0.35"/>
    <row r="2659" customFormat="1" x14ac:dyDescent="0.35"/>
    <row r="2660" customFormat="1" x14ac:dyDescent="0.35"/>
    <row r="2661" customFormat="1" x14ac:dyDescent="0.35"/>
    <row r="2662" customFormat="1" x14ac:dyDescent="0.35"/>
    <row r="2663" customFormat="1" x14ac:dyDescent="0.35"/>
    <row r="2664" customFormat="1" x14ac:dyDescent="0.35"/>
    <row r="2665" customFormat="1" x14ac:dyDescent="0.35"/>
    <row r="2666" customFormat="1" x14ac:dyDescent="0.35"/>
    <row r="2667" customFormat="1" x14ac:dyDescent="0.35"/>
    <row r="2668" customFormat="1" x14ac:dyDescent="0.35"/>
    <row r="2669" customFormat="1" x14ac:dyDescent="0.35"/>
    <row r="2670" customFormat="1" x14ac:dyDescent="0.35"/>
    <row r="2671" customFormat="1" x14ac:dyDescent="0.35"/>
    <row r="2672" customFormat="1" x14ac:dyDescent="0.35"/>
    <row r="2673" customFormat="1" x14ac:dyDescent="0.35"/>
    <row r="2674" customFormat="1" x14ac:dyDescent="0.35"/>
    <row r="2675" customFormat="1" x14ac:dyDescent="0.35"/>
    <row r="2676" customFormat="1" x14ac:dyDescent="0.35"/>
    <row r="2677" customFormat="1" x14ac:dyDescent="0.35"/>
    <row r="2678" customFormat="1" x14ac:dyDescent="0.35"/>
    <row r="2679" customFormat="1" x14ac:dyDescent="0.35"/>
    <row r="2680" customFormat="1" x14ac:dyDescent="0.35"/>
    <row r="2681" customFormat="1" x14ac:dyDescent="0.35"/>
    <row r="2682" customFormat="1" x14ac:dyDescent="0.35"/>
    <row r="2683" customFormat="1" x14ac:dyDescent="0.35"/>
    <row r="2684" customFormat="1" x14ac:dyDescent="0.35"/>
    <row r="2685" customFormat="1" x14ac:dyDescent="0.35"/>
    <row r="2686" customFormat="1" x14ac:dyDescent="0.35"/>
    <row r="2687" customFormat="1" x14ac:dyDescent="0.35"/>
    <row r="2688" customFormat="1" x14ac:dyDescent="0.35"/>
    <row r="2689" customFormat="1" x14ac:dyDescent="0.35"/>
    <row r="2690" customFormat="1" x14ac:dyDescent="0.35"/>
    <row r="2691" customFormat="1" x14ac:dyDescent="0.35"/>
    <row r="2692" customFormat="1" x14ac:dyDescent="0.35"/>
    <row r="2693" customFormat="1" x14ac:dyDescent="0.35"/>
    <row r="2694" customFormat="1" x14ac:dyDescent="0.35"/>
    <row r="2695" customFormat="1" x14ac:dyDescent="0.35"/>
    <row r="2696" customFormat="1" x14ac:dyDescent="0.35"/>
    <row r="2697" customFormat="1" x14ac:dyDescent="0.35"/>
    <row r="2698" customFormat="1" x14ac:dyDescent="0.35"/>
    <row r="2699" customFormat="1" x14ac:dyDescent="0.35"/>
    <row r="2700" customFormat="1" x14ac:dyDescent="0.35"/>
    <row r="2701" customFormat="1" x14ac:dyDescent="0.35"/>
    <row r="2702" customFormat="1" x14ac:dyDescent="0.35"/>
    <row r="2703" customFormat="1" x14ac:dyDescent="0.35"/>
    <row r="2704" customFormat="1" x14ac:dyDescent="0.35"/>
    <row r="2705" customFormat="1" x14ac:dyDescent="0.35"/>
    <row r="2706" customFormat="1" x14ac:dyDescent="0.35"/>
    <row r="2707" customFormat="1" x14ac:dyDescent="0.35"/>
    <row r="2708" customFormat="1" x14ac:dyDescent="0.35"/>
    <row r="2709" customFormat="1" x14ac:dyDescent="0.35"/>
    <row r="2710" customFormat="1" x14ac:dyDescent="0.35"/>
    <row r="2711" customFormat="1" x14ac:dyDescent="0.35"/>
    <row r="2712" customFormat="1" x14ac:dyDescent="0.35"/>
    <row r="2713" customFormat="1" x14ac:dyDescent="0.35"/>
    <row r="2714" customFormat="1" x14ac:dyDescent="0.35"/>
    <row r="2715" customFormat="1" x14ac:dyDescent="0.35"/>
    <row r="2716" customFormat="1" x14ac:dyDescent="0.35"/>
    <row r="2717" customFormat="1" x14ac:dyDescent="0.35"/>
    <row r="2718" customFormat="1" x14ac:dyDescent="0.35"/>
    <row r="2719" customFormat="1" x14ac:dyDescent="0.35"/>
    <row r="2720" customFormat="1" x14ac:dyDescent="0.35"/>
    <row r="2721" spans="2:14" customFormat="1" x14ac:dyDescent="0.35"/>
    <row r="2722" spans="2:14" customFormat="1" x14ac:dyDescent="0.35"/>
    <row r="2723" spans="2:14" customFormat="1" x14ac:dyDescent="0.35"/>
    <row r="2724" spans="2:14" customFormat="1" x14ac:dyDescent="0.35"/>
    <row r="2725" spans="2:14" customFormat="1" x14ac:dyDescent="0.35"/>
    <row r="2726" spans="2:14" customFormat="1" x14ac:dyDescent="0.35"/>
    <row r="2727" spans="2:14" customFormat="1" x14ac:dyDescent="0.35"/>
    <row r="2728" spans="2:14" customFormat="1" x14ac:dyDescent="0.35"/>
    <row r="2729" spans="2:14" customFormat="1" x14ac:dyDescent="0.35"/>
    <row r="2730" spans="2:14" customFormat="1" x14ac:dyDescent="0.35"/>
    <row r="2731" spans="2:14" x14ac:dyDescent="0.35">
      <c r="B2731"/>
      <c r="C2731"/>
      <c r="D2731"/>
      <c r="E2731"/>
      <c r="F2731"/>
      <c r="G2731"/>
      <c r="H2731"/>
      <c r="I2731"/>
      <c r="J2731"/>
      <c r="K2731"/>
      <c r="L2731"/>
      <c r="M2731"/>
      <c r="N2731"/>
    </row>
    <row r="2732" spans="2:14" x14ac:dyDescent="0.35">
      <c r="B2732"/>
      <c r="C2732"/>
      <c r="D2732"/>
      <c r="E2732"/>
      <c r="F2732"/>
      <c r="G2732"/>
      <c r="H2732"/>
      <c r="I2732"/>
      <c r="J2732"/>
      <c r="K2732"/>
      <c r="L2732"/>
      <c r="M2732"/>
      <c r="N2732"/>
    </row>
    <row r="2733" spans="2:14" x14ac:dyDescent="0.35">
      <c r="B2733"/>
      <c r="C2733"/>
      <c r="D2733"/>
      <c r="E2733"/>
      <c r="F2733"/>
      <c r="G2733"/>
      <c r="H2733"/>
      <c r="I2733"/>
      <c r="J2733"/>
      <c r="K2733"/>
      <c r="L2733"/>
      <c r="M2733"/>
      <c r="N2733"/>
    </row>
    <row r="2734" spans="2:14" x14ac:dyDescent="0.35">
      <c r="B2734"/>
      <c r="C2734"/>
      <c r="D2734"/>
      <c r="E2734"/>
      <c r="F2734"/>
      <c r="G2734"/>
      <c r="H2734"/>
      <c r="I2734"/>
      <c r="J2734"/>
      <c r="K2734"/>
      <c r="L2734"/>
      <c r="M2734"/>
      <c r="N2734"/>
    </row>
    <row r="2735" spans="2:14" x14ac:dyDescent="0.35">
      <c r="B2735"/>
      <c r="C2735"/>
      <c r="D2735"/>
      <c r="E2735"/>
      <c r="F2735"/>
      <c r="G2735"/>
      <c r="H2735"/>
      <c r="I2735"/>
      <c r="J2735"/>
      <c r="K2735"/>
      <c r="L2735"/>
      <c r="M2735"/>
      <c r="N2735"/>
    </row>
    <row r="2736" spans="2:14" x14ac:dyDescent="0.35">
      <c r="B2736"/>
      <c r="C2736"/>
      <c r="D2736"/>
      <c r="E2736"/>
      <c r="F2736"/>
      <c r="G2736"/>
      <c r="H2736"/>
      <c r="I2736"/>
      <c r="J2736"/>
      <c r="K2736"/>
      <c r="L2736"/>
      <c r="M2736"/>
      <c r="N2736"/>
    </row>
    <row r="2737" spans="2:14" x14ac:dyDescent="0.35">
      <c r="B2737"/>
      <c r="C2737"/>
      <c r="D2737"/>
      <c r="E2737"/>
      <c r="F2737"/>
      <c r="G2737"/>
      <c r="H2737"/>
      <c r="I2737"/>
      <c r="J2737"/>
      <c r="K2737"/>
      <c r="L2737"/>
      <c r="M2737"/>
      <c r="N2737"/>
    </row>
    <row r="2738" spans="2:14" x14ac:dyDescent="0.35">
      <c r="B2738"/>
      <c r="C2738"/>
      <c r="D2738"/>
      <c r="E2738"/>
      <c r="F2738"/>
      <c r="G2738"/>
      <c r="H2738"/>
      <c r="I2738"/>
      <c r="J2738"/>
      <c r="K2738"/>
      <c r="L2738"/>
      <c r="M2738"/>
      <c r="N2738"/>
    </row>
    <row r="2739" spans="2:14" x14ac:dyDescent="0.35">
      <c r="B2739"/>
      <c r="C2739"/>
      <c r="D2739"/>
      <c r="E2739"/>
      <c r="F2739"/>
      <c r="G2739"/>
      <c r="H2739"/>
      <c r="I2739"/>
      <c r="J2739"/>
      <c r="K2739"/>
      <c r="L2739"/>
      <c r="M2739"/>
      <c r="N2739"/>
    </row>
    <row r="2740" spans="2:14" x14ac:dyDescent="0.35">
      <c r="B2740"/>
      <c r="C2740"/>
      <c r="D2740"/>
      <c r="E2740"/>
      <c r="F2740"/>
      <c r="G2740"/>
      <c r="H2740"/>
      <c r="I2740"/>
      <c r="J2740"/>
      <c r="K2740"/>
      <c r="L2740"/>
      <c r="M2740"/>
      <c r="N2740"/>
    </row>
    <row r="2741" spans="2:14" x14ac:dyDescent="0.35">
      <c r="B2741"/>
      <c r="C2741"/>
      <c r="D2741"/>
      <c r="E2741"/>
      <c r="F2741"/>
      <c r="G2741"/>
      <c r="H2741"/>
      <c r="I2741"/>
      <c r="J2741"/>
      <c r="K2741"/>
      <c r="L2741"/>
      <c r="M2741"/>
      <c r="N2741"/>
    </row>
    <row r="2742" spans="2:14" x14ac:dyDescent="0.35">
      <c r="B2742"/>
      <c r="C2742"/>
      <c r="D2742"/>
      <c r="E2742"/>
      <c r="F2742"/>
      <c r="G2742"/>
      <c r="H2742"/>
      <c r="I2742"/>
      <c r="J2742"/>
      <c r="K2742"/>
      <c r="L2742"/>
      <c r="M2742"/>
      <c r="N2742"/>
    </row>
    <row r="2743" spans="2:14" x14ac:dyDescent="0.35">
      <c r="B2743"/>
      <c r="C2743"/>
      <c r="D2743"/>
      <c r="E2743"/>
      <c r="F2743"/>
      <c r="G2743"/>
      <c r="H2743"/>
      <c r="I2743"/>
      <c r="J2743"/>
      <c r="K2743"/>
      <c r="L2743"/>
      <c r="M2743"/>
      <c r="N2743"/>
    </row>
    <row r="2744" spans="2:14" x14ac:dyDescent="0.35">
      <c r="B2744"/>
      <c r="C2744"/>
      <c r="D2744"/>
      <c r="E2744"/>
      <c r="F2744"/>
      <c r="G2744"/>
      <c r="H2744"/>
      <c r="I2744"/>
      <c r="J2744"/>
      <c r="K2744"/>
      <c r="L2744"/>
      <c r="M2744"/>
      <c r="N2744"/>
    </row>
    <row r="2745" spans="2:14" x14ac:dyDescent="0.35">
      <c r="B2745"/>
      <c r="C2745"/>
      <c r="D2745"/>
      <c r="E2745"/>
      <c r="F2745"/>
      <c r="G2745"/>
      <c r="H2745"/>
      <c r="I2745"/>
      <c r="J2745"/>
      <c r="K2745"/>
      <c r="L2745"/>
      <c r="M2745"/>
      <c r="N2745"/>
    </row>
    <row r="2746" spans="2:14" x14ac:dyDescent="0.35">
      <c r="B2746"/>
      <c r="C2746"/>
      <c r="D2746"/>
      <c r="E2746"/>
      <c r="F2746"/>
      <c r="G2746"/>
      <c r="H2746"/>
      <c r="I2746"/>
      <c r="J2746"/>
      <c r="K2746"/>
      <c r="L2746"/>
      <c r="M2746"/>
      <c r="N2746"/>
    </row>
    <row r="2747" spans="2:14" x14ac:dyDescent="0.35">
      <c r="B2747"/>
      <c r="C2747"/>
      <c r="D2747"/>
      <c r="E2747"/>
      <c r="F2747"/>
      <c r="G2747"/>
      <c r="H2747"/>
      <c r="I2747"/>
      <c r="J2747"/>
      <c r="K2747"/>
      <c r="L2747"/>
      <c r="M2747"/>
      <c r="N2747"/>
    </row>
    <row r="2748" spans="2:14" x14ac:dyDescent="0.35">
      <c r="B2748"/>
      <c r="C2748"/>
      <c r="D2748"/>
      <c r="E2748"/>
      <c r="F2748"/>
      <c r="G2748"/>
      <c r="H2748"/>
      <c r="I2748"/>
      <c r="J2748"/>
      <c r="K2748"/>
      <c r="L2748"/>
      <c r="M2748"/>
      <c r="N2748"/>
    </row>
    <row r="2749" spans="2:14" x14ac:dyDescent="0.35">
      <c r="B2749"/>
      <c r="C2749"/>
      <c r="D2749"/>
      <c r="E2749"/>
      <c r="F2749"/>
      <c r="G2749"/>
      <c r="H2749"/>
      <c r="I2749"/>
      <c r="J2749"/>
      <c r="K2749"/>
      <c r="L2749"/>
      <c r="M2749"/>
      <c r="N2749"/>
    </row>
    <row r="2750" spans="2:14" x14ac:dyDescent="0.35">
      <c r="B2750"/>
      <c r="C2750"/>
      <c r="D2750"/>
      <c r="E2750"/>
      <c r="F2750"/>
      <c r="G2750"/>
      <c r="H2750"/>
      <c r="I2750"/>
      <c r="J2750"/>
      <c r="K2750"/>
      <c r="L2750"/>
      <c r="M2750"/>
      <c r="N2750"/>
    </row>
    <row r="2751" spans="2:14" x14ac:dyDescent="0.35">
      <c r="B2751"/>
      <c r="C2751"/>
      <c r="D2751"/>
      <c r="E2751"/>
      <c r="F2751"/>
      <c r="G2751"/>
      <c r="H2751"/>
      <c r="I2751"/>
      <c r="J2751"/>
      <c r="K2751"/>
      <c r="L2751"/>
      <c r="M2751"/>
      <c r="N2751"/>
    </row>
    <row r="2752" spans="2:14" x14ac:dyDescent="0.35">
      <c r="B2752"/>
      <c r="C2752"/>
      <c r="D2752"/>
      <c r="E2752"/>
      <c r="F2752"/>
      <c r="G2752"/>
      <c r="H2752"/>
      <c r="I2752"/>
      <c r="J2752"/>
      <c r="K2752"/>
      <c r="L2752"/>
      <c r="M2752"/>
      <c r="N2752"/>
    </row>
    <row r="2753" spans="2:14" x14ac:dyDescent="0.35">
      <c r="B2753"/>
      <c r="C2753"/>
      <c r="D2753"/>
      <c r="E2753"/>
      <c r="F2753"/>
      <c r="G2753"/>
      <c r="H2753"/>
      <c r="I2753"/>
      <c r="J2753"/>
      <c r="K2753"/>
      <c r="L2753"/>
      <c r="M2753"/>
      <c r="N2753"/>
    </row>
    <row r="2754" spans="2:14" x14ac:dyDescent="0.35">
      <c r="B2754"/>
      <c r="C2754"/>
      <c r="D2754"/>
      <c r="E2754"/>
      <c r="F2754"/>
      <c r="G2754"/>
      <c r="H2754"/>
      <c r="I2754"/>
      <c r="J2754"/>
      <c r="K2754"/>
      <c r="L2754"/>
      <c r="M2754"/>
      <c r="N2754"/>
    </row>
    <row r="2755" spans="2:14" x14ac:dyDescent="0.35">
      <c r="B2755"/>
      <c r="C2755"/>
      <c r="D2755"/>
      <c r="E2755"/>
      <c r="F2755"/>
      <c r="G2755"/>
      <c r="H2755"/>
      <c r="I2755"/>
      <c r="J2755"/>
      <c r="K2755"/>
      <c r="L2755"/>
      <c r="M2755"/>
      <c r="N2755"/>
    </row>
    <row r="2756" spans="2:14" x14ac:dyDescent="0.35">
      <c r="B2756"/>
      <c r="C2756"/>
      <c r="D2756"/>
      <c r="E2756"/>
      <c r="F2756"/>
      <c r="G2756"/>
      <c r="H2756"/>
      <c r="I2756"/>
      <c r="J2756"/>
      <c r="K2756"/>
      <c r="L2756"/>
      <c r="M2756"/>
      <c r="N2756"/>
    </row>
    <row r="2757" spans="2:14" x14ac:dyDescent="0.35">
      <c r="B2757"/>
      <c r="C2757"/>
      <c r="D2757"/>
      <c r="E2757"/>
      <c r="F2757"/>
      <c r="G2757"/>
      <c r="H2757"/>
      <c r="I2757"/>
      <c r="J2757"/>
      <c r="K2757"/>
      <c r="L2757"/>
      <c r="M2757"/>
      <c r="N2757"/>
    </row>
    <row r="2758" spans="2:14" x14ac:dyDescent="0.35">
      <c r="B2758"/>
      <c r="C2758"/>
      <c r="D2758"/>
      <c r="E2758"/>
      <c r="F2758"/>
      <c r="G2758"/>
      <c r="H2758"/>
      <c r="I2758"/>
      <c r="J2758"/>
      <c r="K2758"/>
      <c r="L2758"/>
      <c r="M2758"/>
      <c r="N2758"/>
    </row>
    <row r="2759" spans="2:14" x14ac:dyDescent="0.35">
      <c r="B2759"/>
      <c r="C2759"/>
      <c r="D2759"/>
      <c r="E2759"/>
      <c r="F2759"/>
      <c r="G2759"/>
      <c r="H2759"/>
      <c r="I2759"/>
      <c r="J2759"/>
      <c r="K2759"/>
      <c r="L2759"/>
      <c r="M2759"/>
      <c r="N2759"/>
    </row>
    <row r="2760" spans="2:14" x14ac:dyDescent="0.35">
      <c r="B2760"/>
      <c r="C2760"/>
      <c r="D2760"/>
      <c r="E2760"/>
      <c r="F2760"/>
      <c r="G2760"/>
      <c r="H2760"/>
      <c r="I2760"/>
      <c r="J2760"/>
      <c r="K2760"/>
      <c r="L2760"/>
      <c r="M2760"/>
      <c r="N2760"/>
    </row>
    <row r="2761" spans="2:14" x14ac:dyDescent="0.35">
      <c r="B2761"/>
      <c r="C2761"/>
      <c r="D2761"/>
      <c r="E2761"/>
      <c r="F2761"/>
      <c r="G2761"/>
      <c r="H2761"/>
      <c r="I2761"/>
      <c r="J2761"/>
      <c r="K2761"/>
      <c r="L2761"/>
      <c r="M2761"/>
      <c r="N2761"/>
    </row>
    <row r="2762" spans="2:14" x14ac:dyDescent="0.35">
      <c r="B2762"/>
      <c r="C2762"/>
      <c r="D2762"/>
      <c r="E2762"/>
      <c r="F2762"/>
      <c r="G2762"/>
      <c r="H2762"/>
      <c r="I2762"/>
      <c r="J2762"/>
      <c r="K2762"/>
      <c r="L2762"/>
      <c r="M2762"/>
      <c r="N2762"/>
    </row>
    <row r="2763" spans="2:14" x14ac:dyDescent="0.35">
      <c r="B2763"/>
      <c r="C2763"/>
      <c r="D2763"/>
      <c r="E2763"/>
      <c r="F2763"/>
      <c r="G2763"/>
      <c r="H2763"/>
      <c r="I2763"/>
      <c r="J2763"/>
      <c r="K2763"/>
      <c r="L2763"/>
      <c r="M2763"/>
      <c r="N2763"/>
    </row>
    <row r="2764" spans="2:14" x14ac:dyDescent="0.35">
      <c r="B2764"/>
      <c r="C2764"/>
      <c r="D2764"/>
      <c r="E2764"/>
      <c r="F2764"/>
      <c r="G2764"/>
      <c r="H2764"/>
      <c r="I2764"/>
      <c r="J2764"/>
      <c r="K2764"/>
      <c r="L2764"/>
      <c r="M2764"/>
      <c r="N2764"/>
    </row>
    <row r="2765" spans="2:14" x14ac:dyDescent="0.35">
      <c r="B2765"/>
      <c r="C2765"/>
      <c r="D2765"/>
      <c r="E2765"/>
      <c r="F2765"/>
      <c r="G2765"/>
      <c r="H2765"/>
      <c r="I2765"/>
      <c r="J2765"/>
      <c r="K2765"/>
      <c r="L2765"/>
      <c r="M2765"/>
      <c r="N2765"/>
    </row>
    <row r="2766" spans="2:14" x14ac:dyDescent="0.35">
      <c r="B2766"/>
      <c r="C2766"/>
      <c r="D2766"/>
      <c r="E2766"/>
      <c r="F2766"/>
      <c r="G2766"/>
      <c r="H2766"/>
      <c r="I2766"/>
      <c r="J2766"/>
      <c r="K2766"/>
      <c r="L2766"/>
      <c r="M2766"/>
      <c r="N2766"/>
    </row>
    <row r="2767" spans="2:14" x14ac:dyDescent="0.35">
      <c r="B2767"/>
      <c r="C2767"/>
      <c r="D2767"/>
      <c r="E2767"/>
      <c r="F2767"/>
      <c r="G2767"/>
      <c r="H2767"/>
      <c r="I2767"/>
      <c r="J2767"/>
      <c r="K2767"/>
      <c r="L2767"/>
      <c r="M2767"/>
      <c r="N2767"/>
    </row>
    <row r="2768" spans="2:14" x14ac:dyDescent="0.35">
      <c r="B2768"/>
      <c r="C2768"/>
      <c r="D2768"/>
      <c r="E2768"/>
      <c r="F2768"/>
      <c r="G2768"/>
      <c r="H2768"/>
      <c r="I2768"/>
      <c r="J2768"/>
      <c r="K2768"/>
      <c r="L2768"/>
      <c r="M2768"/>
      <c r="N2768"/>
    </row>
    <row r="2769" spans="2:14" x14ac:dyDescent="0.35">
      <c r="B2769"/>
      <c r="C2769"/>
      <c r="D2769"/>
      <c r="E2769"/>
      <c r="F2769"/>
      <c r="G2769"/>
      <c r="H2769"/>
      <c r="I2769"/>
      <c r="J2769"/>
      <c r="K2769"/>
      <c r="L2769"/>
      <c r="M2769"/>
      <c r="N2769"/>
    </row>
    <row r="2770" spans="2:14" x14ac:dyDescent="0.35">
      <c r="B2770"/>
      <c r="C2770"/>
      <c r="D2770"/>
      <c r="E2770"/>
      <c r="F2770"/>
      <c r="G2770"/>
      <c r="H2770"/>
      <c r="I2770"/>
      <c r="J2770"/>
      <c r="K2770"/>
      <c r="L2770"/>
      <c r="M2770"/>
      <c r="N2770"/>
    </row>
    <row r="2771" spans="2:14" x14ac:dyDescent="0.35">
      <c r="B2771"/>
      <c r="C2771"/>
      <c r="D2771"/>
      <c r="E2771"/>
      <c r="F2771"/>
      <c r="G2771"/>
      <c r="H2771"/>
      <c r="I2771"/>
      <c r="J2771"/>
      <c r="K2771"/>
      <c r="L2771"/>
      <c r="M2771"/>
      <c r="N2771"/>
    </row>
    <row r="2772" spans="2:14" x14ac:dyDescent="0.35">
      <c r="B2772"/>
      <c r="C2772"/>
      <c r="D2772"/>
      <c r="E2772"/>
      <c r="F2772"/>
      <c r="G2772"/>
      <c r="H2772"/>
      <c r="I2772"/>
      <c r="J2772"/>
      <c r="K2772"/>
      <c r="L2772"/>
      <c r="M2772"/>
      <c r="N2772"/>
    </row>
    <row r="2773" spans="2:14" x14ac:dyDescent="0.35">
      <c r="B2773"/>
      <c r="C2773"/>
      <c r="D2773"/>
      <c r="E2773"/>
      <c r="F2773"/>
      <c r="G2773"/>
      <c r="H2773"/>
      <c r="I2773"/>
      <c r="J2773"/>
      <c r="K2773"/>
      <c r="L2773"/>
      <c r="M2773"/>
      <c r="N2773"/>
    </row>
    <row r="2774" spans="2:14" x14ac:dyDescent="0.35">
      <c r="B2774"/>
      <c r="C2774"/>
      <c r="D2774"/>
      <c r="E2774"/>
      <c r="F2774"/>
      <c r="G2774"/>
      <c r="H2774"/>
      <c r="I2774"/>
      <c r="J2774"/>
      <c r="K2774"/>
      <c r="L2774"/>
      <c r="M2774"/>
      <c r="N2774"/>
    </row>
    <row r="2775" spans="2:14" x14ac:dyDescent="0.35">
      <c r="B2775"/>
      <c r="C2775"/>
      <c r="D2775"/>
      <c r="E2775"/>
      <c r="F2775"/>
      <c r="G2775"/>
      <c r="H2775"/>
      <c r="I2775"/>
      <c r="J2775"/>
      <c r="K2775"/>
      <c r="L2775"/>
      <c r="M2775"/>
      <c r="N2775"/>
    </row>
    <row r="2776" spans="2:14" x14ac:dyDescent="0.35">
      <c r="B2776"/>
      <c r="C2776"/>
      <c r="D2776"/>
      <c r="E2776"/>
      <c r="F2776"/>
      <c r="G2776"/>
      <c r="H2776"/>
      <c r="I2776"/>
      <c r="J2776"/>
      <c r="K2776"/>
      <c r="L2776"/>
      <c r="M2776"/>
      <c r="N2776"/>
    </row>
    <row r="2777" spans="2:14" x14ac:dyDescent="0.35">
      <c r="B2777"/>
      <c r="C2777"/>
      <c r="D2777"/>
      <c r="E2777"/>
      <c r="F2777"/>
      <c r="G2777"/>
      <c r="H2777"/>
      <c r="I2777"/>
      <c r="J2777"/>
      <c r="K2777"/>
      <c r="L2777"/>
      <c r="M2777"/>
      <c r="N2777"/>
    </row>
    <row r="2778" spans="2:14" x14ac:dyDescent="0.35">
      <c r="B2778"/>
      <c r="C2778"/>
      <c r="D2778"/>
      <c r="E2778"/>
      <c r="F2778"/>
      <c r="G2778"/>
      <c r="H2778"/>
      <c r="I2778"/>
      <c r="J2778"/>
      <c r="K2778"/>
      <c r="L2778"/>
      <c r="M2778"/>
      <c r="N2778"/>
    </row>
    <row r="2779" spans="2:14" x14ac:dyDescent="0.35">
      <c r="B2779"/>
      <c r="C2779"/>
      <c r="D2779"/>
      <c r="E2779"/>
      <c r="F2779"/>
      <c r="G2779"/>
      <c r="H2779"/>
      <c r="I2779"/>
      <c r="J2779"/>
      <c r="K2779"/>
      <c r="L2779"/>
      <c r="M2779"/>
      <c r="N2779"/>
    </row>
    <row r="2780" spans="2:14" x14ac:dyDescent="0.35">
      <c r="B2780"/>
      <c r="C2780"/>
      <c r="D2780"/>
      <c r="E2780"/>
      <c r="F2780"/>
      <c r="G2780"/>
      <c r="H2780"/>
      <c r="I2780"/>
      <c r="J2780"/>
      <c r="K2780"/>
      <c r="L2780"/>
      <c r="M2780"/>
      <c r="N2780"/>
    </row>
    <row r="2781" spans="2:14" x14ac:dyDescent="0.35">
      <c r="B2781"/>
      <c r="C2781"/>
      <c r="D2781"/>
      <c r="E2781"/>
      <c r="F2781"/>
      <c r="G2781"/>
      <c r="H2781"/>
      <c r="I2781"/>
      <c r="J2781"/>
      <c r="K2781"/>
      <c r="L2781"/>
      <c r="M2781"/>
      <c r="N2781"/>
    </row>
    <row r="2782" spans="2:14" x14ac:dyDescent="0.35">
      <c r="B2782"/>
      <c r="C2782"/>
      <c r="D2782"/>
      <c r="E2782"/>
      <c r="F2782"/>
      <c r="G2782"/>
      <c r="H2782"/>
      <c r="I2782"/>
      <c r="J2782"/>
      <c r="K2782"/>
      <c r="L2782"/>
      <c r="M2782"/>
      <c r="N2782"/>
    </row>
    <row r="2783" spans="2:14" x14ac:dyDescent="0.35">
      <c r="B2783"/>
      <c r="C2783"/>
      <c r="D2783"/>
      <c r="E2783"/>
      <c r="F2783"/>
      <c r="G2783"/>
      <c r="H2783"/>
      <c r="I2783"/>
      <c r="J2783"/>
      <c r="K2783"/>
      <c r="L2783"/>
      <c r="M2783"/>
      <c r="N2783"/>
    </row>
    <row r="2784" spans="2:14" x14ac:dyDescent="0.35">
      <c r="B2784"/>
      <c r="C2784"/>
      <c r="D2784"/>
      <c r="E2784"/>
      <c r="F2784"/>
      <c r="G2784"/>
      <c r="H2784"/>
      <c r="I2784"/>
      <c r="J2784"/>
      <c r="K2784"/>
      <c r="L2784"/>
      <c r="M2784"/>
      <c r="N2784"/>
    </row>
    <row r="2785" spans="2:14" x14ac:dyDescent="0.35">
      <c r="B2785"/>
      <c r="C2785"/>
      <c r="D2785"/>
      <c r="E2785"/>
      <c r="F2785"/>
      <c r="G2785"/>
      <c r="H2785"/>
      <c r="I2785"/>
      <c r="J2785"/>
      <c r="K2785"/>
      <c r="L2785"/>
      <c r="M2785"/>
      <c r="N2785"/>
    </row>
    <row r="2786" spans="2:14" x14ac:dyDescent="0.35">
      <c r="B2786"/>
      <c r="C2786"/>
      <c r="D2786"/>
      <c r="E2786"/>
      <c r="F2786"/>
      <c r="G2786"/>
      <c r="H2786"/>
      <c r="I2786"/>
      <c r="J2786"/>
      <c r="K2786"/>
      <c r="L2786"/>
      <c r="M2786"/>
      <c r="N2786"/>
    </row>
    <row r="2787" spans="2:14" x14ac:dyDescent="0.35">
      <c r="B2787"/>
      <c r="C2787"/>
      <c r="D2787"/>
      <c r="E2787"/>
      <c r="F2787"/>
      <c r="G2787"/>
      <c r="H2787"/>
      <c r="I2787"/>
      <c r="J2787"/>
      <c r="K2787"/>
      <c r="L2787"/>
      <c r="M2787"/>
      <c r="N2787"/>
    </row>
    <row r="2788" spans="2:14" x14ac:dyDescent="0.35">
      <c r="B2788"/>
      <c r="C2788"/>
      <c r="D2788"/>
      <c r="E2788"/>
      <c r="F2788"/>
      <c r="G2788"/>
      <c r="H2788"/>
      <c r="I2788"/>
      <c r="J2788"/>
      <c r="K2788"/>
      <c r="L2788"/>
      <c r="M2788"/>
      <c r="N2788"/>
    </row>
    <row r="2789" spans="2:14" x14ac:dyDescent="0.35">
      <c r="B2789"/>
      <c r="C2789"/>
      <c r="D2789"/>
      <c r="E2789"/>
      <c r="F2789"/>
      <c r="G2789"/>
      <c r="H2789"/>
      <c r="I2789"/>
      <c r="J2789"/>
      <c r="K2789"/>
      <c r="L2789"/>
      <c r="M2789"/>
      <c r="N2789"/>
    </row>
    <row r="2790" spans="2:14" x14ac:dyDescent="0.35">
      <c r="B2790"/>
      <c r="C2790"/>
      <c r="D2790"/>
      <c r="E2790"/>
      <c r="F2790"/>
      <c r="G2790"/>
      <c r="H2790"/>
      <c r="I2790"/>
      <c r="J2790"/>
      <c r="K2790"/>
      <c r="L2790"/>
      <c r="M2790"/>
      <c r="N2790"/>
    </row>
    <row r="2791" spans="2:14" x14ac:dyDescent="0.35">
      <c r="B2791"/>
      <c r="C2791"/>
      <c r="D2791"/>
      <c r="E2791"/>
      <c r="F2791"/>
      <c r="G2791"/>
      <c r="H2791"/>
      <c r="I2791"/>
      <c r="J2791"/>
      <c r="K2791"/>
      <c r="L2791"/>
      <c r="M2791"/>
      <c r="N2791"/>
    </row>
    <row r="2792" spans="2:14" x14ac:dyDescent="0.35">
      <c r="B2792"/>
      <c r="C2792"/>
      <c r="D2792"/>
      <c r="E2792"/>
      <c r="F2792"/>
      <c r="G2792"/>
      <c r="H2792"/>
      <c r="I2792"/>
      <c r="J2792"/>
      <c r="K2792"/>
      <c r="L2792"/>
      <c r="M2792"/>
      <c r="N2792"/>
    </row>
    <row r="2793" spans="2:14" x14ac:dyDescent="0.35">
      <c r="B2793"/>
      <c r="C2793"/>
      <c r="D2793"/>
      <c r="E2793"/>
      <c r="F2793"/>
      <c r="G2793"/>
      <c r="H2793"/>
      <c r="I2793"/>
      <c r="J2793"/>
      <c r="K2793"/>
      <c r="L2793"/>
      <c r="M2793"/>
      <c r="N2793"/>
    </row>
    <row r="2794" spans="2:14" x14ac:dyDescent="0.35">
      <c r="B2794"/>
      <c r="C2794"/>
      <c r="D2794"/>
      <c r="E2794"/>
      <c r="F2794"/>
      <c r="G2794"/>
      <c r="H2794"/>
      <c r="I2794"/>
      <c r="J2794"/>
      <c r="K2794"/>
      <c r="L2794"/>
      <c r="M2794"/>
      <c r="N2794"/>
    </row>
    <row r="2795" spans="2:14" x14ac:dyDescent="0.35">
      <c r="B2795"/>
      <c r="C2795"/>
      <c r="D2795"/>
      <c r="E2795"/>
      <c r="F2795"/>
      <c r="G2795"/>
      <c r="H2795"/>
      <c r="I2795"/>
      <c r="J2795"/>
      <c r="K2795"/>
      <c r="L2795"/>
      <c r="M2795"/>
      <c r="N2795"/>
    </row>
    <row r="2796" spans="2:14" x14ac:dyDescent="0.35">
      <c r="B2796"/>
      <c r="C2796"/>
      <c r="D2796"/>
      <c r="E2796"/>
      <c r="F2796"/>
      <c r="G2796"/>
      <c r="H2796"/>
      <c r="I2796"/>
      <c r="J2796"/>
      <c r="K2796"/>
      <c r="L2796"/>
      <c r="M2796"/>
      <c r="N2796"/>
    </row>
    <row r="2797" spans="2:14" x14ac:dyDescent="0.35">
      <c r="B2797"/>
      <c r="C2797"/>
      <c r="D2797"/>
      <c r="E2797"/>
      <c r="F2797"/>
      <c r="G2797"/>
      <c r="H2797"/>
      <c r="I2797"/>
      <c r="J2797"/>
      <c r="K2797"/>
      <c r="L2797"/>
      <c r="M2797"/>
      <c r="N2797"/>
    </row>
    <row r="2798" spans="2:14" x14ac:dyDescent="0.35">
      <c r="B2798"/>
      <c r="C2798"/>
      <c r="D2798"/>
      <c r="E2798"/>
      <c r="F2798"/>
      <c r="G2798"/>
      <c r="H2798"/>
      <c r="I2798"/>
      <c r="J2798"/>
      <c r="K2798"/>
      <c r="L2798"/>
      <c r="M2798"/>
      <c r="N2798"/>
    </row>
    <row r="2799" spans="2:14" x14ac:dyDescent="0.35">
      <c r="B2799"/>
      <c r="C2799"/>
      <c r="D2799"/>
      <c r="E2799"/>
      <c r="F2799"/>
      <c r="G2799"/>
      <c r="H2799"/>
      <c r="I2799"/>
      <c r="J2799"/>
      <c r="K2799"/>
      <c r="L2799"/>
      <c r="M2799"/>
      <c r="N2799"/>
    </row>
    <row r="2800" spans="2:14" x14ac:dyDescent="0.35">
      <c r="B2800"/>
      <c r="C2800"/>
      <c r="D2800"/>
      <c r="E2800"/>
      <c r="F2800"/>
      <c r="G2800"/>
      <c r="H2800"/>
      <c r="I2800"/>
      <c r="J2800"/>
      <c r="K2800"/>
      <c r="L2800"/>
      <c r="M2800"/>
      <c r="N2800"/>
    </row>
    <row r="2801" spans="2:14" x14ac:dyDescent="0.35">
      <c r="B2801"/>
      <c r="C2801"/>
      <c r="D2801"/>
      <c r="E2801"/>
      <c r="F2801"/>
      <c r="G2801"/>
      <c r="H2801"/>
      <c r="I2801"/>
      <c r="J2801"/>
      <c r="K2801"/>
      <c r="L2801"/>
      <c r="M2801"/>
      <c r="N2801"/>
    </row>
    <row r="2802" spans="2:14" x14ac:dyDescent="0.35">
      <c r="B2802"/>
      <c r="C2802"/>
      <c r="D2802"/>
      <c r="E2802"/>
      <c r="F2802"/>
      <c r="G2802"/>
      <c r="H2802"/>
      <c r="I2802"/>
      <c r="J2802"/>
      <c r="K2802"/>
      <c r="L2802"/>
      <c r="M2802"/>
      <c r="N2802"/>
    </row>
    <row r="2803" spans="2:14" x14ac:dyDescent="0.35">
      <c r="B2803"/>
      <c r="C2803"/>
      <c r="D2803"/>
      <c r="E2803"/>
      <c r="F2803"/>
      <c r="G2803"/>
      <c r="H2803"/>
      <c r="I2803"/>
      <c r="J2803"/>
      <c r="K2803"/>
      <c r="L2803"/>
      <c r="M2803"/>
      <c r="N2803"/>
    </row>
    <row r="2804" spans="2:14" x14ac:dyDescent="0.35">
      <c r="B2804"/>
      <c r="C2804"/>
      <c r="D2804"/>
      <c r="E2804"/>
      <c r="F2804"/>
      <c r="G2804"/>
      <c r="H2804"/>
      <c r="I2804"/>
      <c r="J2804"/>
      <c r="K2804"/>
      <c r="L2804"/>
      <c r="M2804"/>
      <c r="N2804"/>
    </row>
    <row r="2805" spans="2:14" x14ac:dyDescent="0.35">
      <c r="B2805"/>
      <c r="C2805"/>
      <c r="D2805"/>
      <c r="E2805"/>
      <c r="F2805"/>
      <c r="G2805"/>
      <c r="H2805"/>
      <c r="I2805"/>
      <c r="J2805"/>
      <c r="K2805"/>
      <c r="L2805"/>
      <c r="M2805"/>
      <c r="N2805"/>
    </row>
    <row r="2806" spans="2:14" x14ac:dyDescent="0.35">
      <c r="B2806"/>
      <c r="C2806"/>
      <c r="D2806"/>
      <c r="E2806"/>
      <c r="F2806"/>
      <c r="G2806"/>
      <c r="H2806"/>
      <c r="I2806"/>
      <c r="J2806"/>
      <c r="K2806"/>
      <c r="L2806"/>
      <c r="M2806"/>
      <c r="N2806"/>
    </row>
    <row r="2807" spans="2:14" x14ac:dyDescent="0.35">
      <c r="B2807"/>
      <c r="C2807"/>
      <c r="D2807"/>
      <c r="E2807"/>
      <c r="F2807"/>
      <c r="G2807"/>
      <c r="H2807"/>
      <c r="I2807"/>
      <c r="J2807"/>
      <c r="K2807"/>
      <c r="L2807"/>
      <c r="M2807"/>
      <c r="N2807"/>
    </row>
    <row r="2808" spans="2:14" x14ac:dyDescent="0.35">
      <c r="B2808"/>
      <c r="C2808"/>
      <c r="D2808"/>
      <c r="E2808"/>
      <c r="F2808"/>
      <c r="G2808"/>
      <c r="H2808"/>
      <c r="I2808"/>
      <c r="J2808"/>
      <c r="K2808"/>
      <c r="L2808"/>
      <c r="M2808"/>
      <c r="N2808"/>
    </row>
    <row r="2809" spans="2:14" x14ac:dyDescent="0.35">
      <c r="B2809"/>
      <c r="C2809"/>
      <c r="D2809"/>
      <c r="E2809"/>
      <c r="F2809"/>
      <c r="G2809"/>
      <c r="H2809"/>
      <c r="I2809"/>
      <c r="J2809"/>
      <c r="K2809"/>
      <c r="L2809"/>
      <c r="M2809"/>
      <c r="N2809"/>
    </row>
    <row r="2810" spans="2:14" x14ac:dyDescent="0.35">
      <c r="B2810"/>
      <c r="C2810"/>
      <c r="D2810"/>
      <c r="E2810"/>
      <c r="F2810"/>
      <c r="G2810"/>
      <c r="H2810"/>
      <c r="I2810"/>
      <c r="J2810"/>
      <c r="K2810"/>
      <c r="L2810"/>
      <c r="M2810"/>
      <c r="N2810"/>
    </row>
    <row r="2811" spans="2:14" x14ac:dyDescent="0.35">
      <c r="B2811"/>
      <c r="C2811"/>
      <c r="D2811"/>
      <c r="E2811"/>
      <c r="F2811"/>
      <c r="G2811"/>
      <c r="H2811"/>
      <c r="I2811"/>
      <c r="J2811"/>
      <c r="K2811"/>
      <c r="L2811"/>
      <c r="M2811"/>
      <c r="N2811"/>
    </row>
    <row r="2812" spans="2:14" x14ac:dyDescent="0.35">
      <c r="B2812"/>
      <c r="C2812"/>
      <c r="D2812"/>
      <c r="E2812"/>
      <c r="F2812"/>
      <c r="G2812"/>
      <c r="H2812"/>
      <c r="I2812"/>
      <c r="J2812"/>
      <c r="K2812"/>
      <c r="L2812"/>
      <c r="M2812"/>
      <c r="N2812"/>
    </row>
    <row r="2813" spans="2:14" x14ac:dyDescent="0.35">
      <c r="B2813"/>
      <c r="C2813"/>
      <c r="D2813"/>
      <c r="E2813"/>
      <c r="F2813"/>
      <c r="G2813"/>
      <c r="H2813"/>
      <c r="I2813"/>
      <c r="J2813"/>
      <c r="K2813"/>
      <c r="L2813"/>
      <c r="M2813"/>
      <c r="N2813"/>
    </row>
    <row r="2814" spans="2:14" x14ac:dyDescent="0.35">
      <c r="B2814"/>
      <c r="C2814"/>
      <c r="D2814"/>
      <c r="E2814"/>
      <c r="F2814"/>
      <c r="G2814"/>
      <c r="H2814"/>
      <c r="I2814"/>
      <c r="J2814"/>
      <c r="K2814"/>
      <c r="L2814"/>
      <c r="M2814"/>
      <c r="N2814"/>
    </row>
    <row r="2815" spans="2:14" x14ac:dyDescent="0.35">
      <c r="B2815"/>
      <c r="C2815"/>
      <c r="D2815"/>
      <c r="E2815"/>
      <c r="F2815"/>
      <c r="G2815"/>
      <c r="H2815"/>
      <c r="I2815"/>
      <c r="J2815"/>
      <c r="K2815"/>
      <c r="L2815"/>
      <c r="M2815"/>
      <c r="N2815"/>
    </row>
    <row r="2816" spans="2:14" x14ac:dyDescent="0.35">
      <c r="B2816"/>
      <c r="C2816"/>
      <c r="D2816"/>
      <c r="E2816"/>
      <c r="F2816"/>
      <c r="G2816"/>
      <c r="H2816"/>
      <c r="I2816"/>
      <c r="J2816"/>
      <c r="K2816"/>
      <c r="L2816"/>
      <c r="M2816"/>
      <c r="N2816"/>
    </row>
    <row r="2817" spans="2:14" x14ac:dyDescent="0.35">
      <c r="B2817"/>
      <c r="C2817"/>
      <c r="D2817"/>
      <c r="E2817"/>
      <c r="F2817"/>
      <c r="G2817"/>
      <c r="H2817"/>
      <c r="I2817"/>
      <c r="J2817"/>
      <c r="K2817"/>
      <c r="L2817"/>
      <c r="M2817"/>
      <c r="N2817"/>
    </row>
    <row r="2818" spans="2:14" x14ac:dyDescent="0.35">
      <c r="B2818"/>
      <c r="C2818"/>
      <c r="D2818"/>
      <c r="E2818"/>
      <c r="F2818"/>
      <c r="G2818"/>
      <c r="H2818"/>
      <c r="I2818"/>
      <c r="J2818"/>
      <c r="K2818"/>
      <c r="L2818"/>
      <c r="M2818"/>
      <c r="N2818"/>
    </row>
    <row r="2819" spans="2:14" x14ac:dyDescent="0.35">
      <c r="B2819"/>
      <c r="C2819"/>
      <c r="D2819"/>
      <c r="E2819"/>
      <c r="F2819"/>
      <c r="G2819"/>
      <c r="H2819"/>
      <c r="I2819"/>
      <c r="J2819"/>
      <c r="K2819"/>
      <c r="L2819"/>
      <c r="M2819"/>
      <c r="N2819"/>
    </row>
    <row r="2820" spans="2:14" x14ac:dyDescent="0.35">
      <c r="B2820"/>
      <c r="C2820"/>
      <c r="D2820"/>
      <c r="E2820"/>
      <c r="F2820"/>
      <c r="G2820"/>
      <c r="H2820"/>
      <c r="I2820"/>
      <c r="J2820"/>
      <c r="K2820"/>
      <c r="L2820"/>
      <c r="M2820"/>
      <c r="N2820"/>
    </row>
    <row r="2821" spans="2:14" x14ac:dyDescent="0.35">
      <c r="B2821"/>
      <c r="C2821"/>
      <c r="D2821"/>
      <c r="E2821"/>
      <c r="F2821"/>
      <c r="G2821"/>
      <c r="H2821"/>
      <c r="I2821"/>
      <c r="J2821"/>
      <c r="K2821"/>
      <c r="L2821"/>
      <c r="M2821"/>
      <c r="N2821"/>
    </row>
    <row r="2822" spans="2:14" x14ac:dyDescent="0.35">
      <c r="B2822"/>
      <c r="C2822"/>
      <c r="D2822"/>
      <c r="E2822"/>
      <c r="F2822"/>
      <c r="G2822"/>
      <c r="H2822"/>
      <c r="I2822"/>
      <c r="J2822"/>
      <c r="K2822"/>
      <c r="L2822"/>
      <c r="M2822"/>
      <c r="N2822"/>
    </row>
    <row r="2823" spans="2:14" x14ac:dyDescent="0.35">
      <c r="B2823"/>
      <c r="C2823"/>
      <c r="D2823"/>
      <c r="E2823"/>
      <c r="F2823"/>
      <c r="G2823"/>
      <c r="H2823"/>
      <c r="I2823"/>
      <c r="J2823"/>
      <c r="K2823"/>
      <c r="L2823"/>
      <c r="M2823"/>
      <c r="N2823"/>
    </row>
    <row r="2824" spans="2:14" x14ac:dyDescent="0.35">
      <c r="B2824"/>
      <c r="C2824"/>
      <c r="D2824"/>
      <c r="E2824"/>
      <c r="F2824"/>
      <c r="G2824"/>
      <c r="H2824"/>
      <c r="I2824"/>
      <c r="J2824"/>
      <c r="K2824"/>
      <c r="L2824"/>
      <c r="M2824"/>
      <c r="N2824"/>
    </row>
    <row r="2825" spans="2:14" x14ac:dyDescent="0.35">
      <c r="B2825"/>
      <c r="C2825"/>
      <c r="D2825"/>
      <c r="E2825"/>
      <c r="F2825"/>
      <c r="G2825"/>
      <c r="H2825"/>
      <c r="I2825"/>
      <c r="J2825"/>
      <c r="K2825"/>
      <c r="L2825"/>
      <c r="M2825"/>
      <c r="N2825"/>
    </row>
    <row r="2826" spans="2:14" x14ac:dyDescent="0.35">
      <c r="B2826"/>
      <c r="C2826"/>
      <c r="D2826"/>
      <c r="E2826"/>
      <c r="F2826"/>
      <c r="G2826"/>
      <c r="H2826"/>
      <c r="I2826"/>
      <c r="J2826"/>
      <c r="K2826"/>
      <c r="L2826"/>
      <c r="M2826"/>
      <c r="N2826"/>
    </row>
    <row r="2827" spans="2:14" x14ac:dyDescent="0.35">
      <c r="B2827"/>
      <c r="C2827"/>
      <c r="D2827"/>
      <c r="E2827"/>
      <c r="F2827"/>
      <c r="G2827"/>
      <c r="H2827"/>
      <c r="I2827"/>
      <c r="J2827"/>
      <c r="K2827"/>
      <c r="L2827"/>
      <c r="M2827"/>
      <c r="N2827"/>
    </row>
    <row r="2828" spans="2:14" x14ac:dyDescent="0.35">
      <c r="B2828"/>
      <c r="C2828"/>
      <c r="D2828"/>
      <c r="E2828"/>
      <c r="F2828"/>
      <c r="G2828"/>
      <c r="H2828"/>
      <c r="I2828"/>
      <c r="J2828"/>
      <c r="K2828"/>
      <c r="L2828"/>
      <c r="M2828"/>
      <c r="N2828"/>
    </row>
    <row r="2829" spans="2:14" x14ac:dyDescent="0.35">
      <c r="B2829"/>
      <c r="C2829"/>
      <c r="D2829"/>
      <c r="E2829"/>
      <c r="F2829"/>
      <c r="G2829"/>
      <c r="H2829"/>
      <c r="I2829"/>
      <c r="J2829"/>
      <c r="K2829"/>
      <c r="L2829"/>
      <c r="M2829"/>
      <c r="N2829"/>
    </row>
    <row r="2830" spans="2:14" x14ac:dyDescent="0.35">
      <c r="B2830"/>
      <c r="C2830"/>
      <c r="D2830"/>
      <c r="E2830"/>
      <c r="F2830"/>
      <c r="G2830"/>
      <c r="H2830"/>
      <c r="I2830"/>
      <c r="J2830"/>
      <c r="K2830"/>
      <c r="L2830"/>
      <c r="M2830"/>
      <c r="N2830"/>
    </row>
    <row r="2831" spans="2:14" x14ac:dyDescent="0.35">
      <c r="B2831"/>
      <c r="C2831"/>
      <c r="D2831"/>
      <c r="E2831"/>
      <c r="F2831"/>
      <c r="G2831"/>
      <c r="H2831"/>
      <c r="I2831"/>
      <c r="J2831"/>
      <c r="K2831"/>
      <c r="L2831"/>
      <c r="M2831"/>
      <c r="N2831"/>
    </row>
    <row r="2832" spans="2:14" x14ac:dyDescent="0.35">
      <c r="B2832"/>
      <c r="C2832"/>
      <c r="D2832"/>
      <c r="E2832"/>
      <c r="F2832"/>
      <c r="G2832"/>
      <c r="H2832"/>
      <c r="I2832"/>
      <c r="J2832"/>
      <c r="K2832"/>
      <c r="L2832"/>
      <c r="M2832"/>
      <c r="N2832"/>
    </row>
    <row r="2833" spans="2:14" x14ac:dyDescent="0.35">
      <c r="B2833"/>
      <c r="C2833"/>
      <c r="D2833"/>
      <c r="E2833"/>
      <c r="F2833"/>
      <c r="G2833"/>
      <c r="H2833"/>
      <c r="I2833"/>
      <c r="J2833"/>
      <c r="K2833"/>
      <c r="L2833"/>
      <c r="M2833"/>
      <c r="N2833"/>
    </row>
    <row r="2834" spans="2:14" x14ac:dyDescent="0.35">
      <c r="B2834"/>
      <c r="C2834"/>
      <c r="D2834"/>
      <c r="E2834"/>
      <c r="F2834"/>
      <c r="G2834"/>
      <c r="H2834"/>
      <c r="I2834"/>
      <c r="J2834"/>
      <c r="K2834"/>
      <c r="L2834"/>
      <c r="M2834"/>
      <c r="N2834"/>
    </row>
    <row r="2835" spans="2:14" x14ac:dyDescent="0.35">
      <c r="B2835"/>
      <c r="C2835"/>
      <c r="D2835"/>
      <c r="E2835"/>
      <c r="F2835"/>
      <c r="G2835"/>
      <c r="H2835"/>
      <c r="I2835"/>
      <c r="J2835"/>
      <c r="K2835"/>
      <c r="L2835"/>
      <c r="M2835"/>
      <c r="N2835"/>
    </row>
    <row r="2836" spans="2:14" x14ac:dyDescent="0.35">
      <c r="B2836"/>
      <c r="C2836"/>
      <c r="D2836"/>
      <c r="E2836"/>
      <c r="F2836"/>
      <c r="G2836"/>
      <c r="H2836"/>
      <c r="I2836"/>
      <c r="J2836"/>
      <c r="K2836"/>
      <c r="L2836"/>
      <c r="M2836"/>
      <c r="N2836"/>
    </row>
    <row r="2837" spans="2:14" x14ac:dyDescent="0.35">
      <c r="B2837"/>
      <c r="C2837"/>
      <c r="D2837"/>
      <c r="E2837"/>
      <c r="F2837"/>
      <c r="G2837"/>
      <c r="H2837"/>
      <c r="I2837"/>
      <c r="J2837"/>
      <c r="K2837"/>
      <c r="L2837"/>
      <c r="M2837"/>
      <c r="N2837"/>
    </row>
    <row r="2838" spans="2:14" x14ac:dyDescent="0.35">
      <c r="B2838"/>
      <c r="C2838"/>
      <c r="D2838"/>
      <c r="E2838"/>
      <c r="F2838"/>
      <c r="G2838"/>
      <c r="H2838"/>
      <c r="I2838"/>
      <c r="J2838"/>
      <c r="K2838"/>
      <c r="L2838"/>
      <c r="M2838"/>
      <c r="N2838"/>
    </row>
    <row r="2839" spans="2:14" x14ac:dyDescent="0.35">
      <c r="B2839"/>
      <c r="C2839"/>
      <c r="D2839"/>
      <c r="E2839"/>
      <c r="F2839"/>
      <c r="G2839"/>
      <c r="H2839"/>
      <c r="I2839"/>
      <c r="J2839"/>
      <c r="K2839"/>
      <c r="L2839"/>
      <c r="M2839"/>
      <c r="N2839"/>
    </row>
    <row r="2840" spans="2:14" x14ac:dyDescent="0.35">
      <c r="B2840"/>
      <c r="C2840"/>
      <c r="D2840"/>
      <c r="E2840"/>
      <c r="F2840"/>
      <c r="G2840"/>
      <c r="H2840"/>
      <c r="I2840"/>
      <c r="J2840"/>
      <c r="K2840"/>
      <c r="L2840"/>
      <c r="M2840"/>
      <c r="N2840"/>
    </row>
    <row r="2841" spans="2:14" x14ac:dyDescent="0.35">
      <c r="B2841"/>
      <c r="C2841"/>
      <c r="D2841"/>
      <c r="E2841"/>
      <c r="F2841"/>
      <c r="G2841"/>
      <c r="H2841"/>
      <c r="I2841"/>
      <c r="J2841"/>
      <c r="K2841"/>
      <c r="L2841"/>
      <c r="M2841"/>
      <c r="N2841"/>
    </row>
    <row r="2842" spans="2:14" x14ac:dyDescent="0.35">
      <c r="B2842"/>
      <c r="C2842"/>
      <c r="D2842"/>
      <c r="E2842"/>
      <c r="F2842"/>
      <c r="G2842"/>
      <c r="H2842"/>
      <c r="I2842"/>
      <c r="J2842"/>
      <c r="K2842"/>
      <c r="L2842"/>
      <c r="M2842"/>
      <c r="N2842"/>
    </row>
    <row r="2843" spans="2:14" x14ac:dyDescent="0.35">
      <c r="B2843"/>
      <c r="C2843"/>
      <c r="D2843"/>
      <c r="E2843"/>
      <c r="F2843"/>
      <c r="G2843"/>
      <c r="H2843"/>
      <c r="I2843"/>
      <c r="J2843"/>
      <c r="K2843"/>
      <c r="L2843"/>
      <c r="M2843"/>
      <c r="N2843"/>
    </row>
    <row r="2844" spans="2:14" x14ac:dyDescent="0.35">
      <c r="B2844"/>
      <c r="C2844"/>
      <c r="D2844"/>
      <c r="E2844"/>
      <c r="F2844"/>
      <c r="G2844"/>
      <c r="H2844"/>
      <c r="I2844"/>
      <c r="J2844"/>
      <c r="K2844"/>
      <c r="L2844"/>
      <c r="M2844"/>
      <c r="N2844"/>
    </row>
    <row r="2845" spans="2:14" x14ac:dyDescent="0.35">
      <c r="B2845"/>
      <c r="C2845"/>
      <c r="D2845"/>
      <c r="E2845"/>
      <c r="F2845"/>
      <c r="G2845"/>
      <c r="H2845"/>
      <c r="I2845"/>
      <c r="J2845"/>
      <c r="K2845"/>
      <c r="L2845"/>
      <c r="M2845"/>
      <c r="N2845"/>
    </row>
    <row r="2846" spans="2:14" x14ac:dyDescent="0.35">
      <c r="B2846"/>
      <c r="C2846"/>
      <c r="D2846"/>
      <c r="E2846"/>
      <c r="F2846"/>
      <c r="G2846"/>
      <c r="H2846"/>
      <c r="I2846"/>
      <c r="J2846"/>
      <c r="K2846"/>
      <c r="L2846"/>
      <c r="M2846"/>
      <c r="N2846"/>
    </row>
    <row r="2847" spans="2:14" x14ac:dyDescent="0.35">
      <c r="B2847"/>
      <c r="C2847"/>
      <c r="D2847"/>
      <c r="E2847"/>
      <c r="F2847"/>
      <c r="G2847"/>
      <c r="H2847"/>
      <c r="I2847"/>
      <c r="J2847"/>
      <c r="K2847"/>
      <c r="L2847"/>
      <c r="M2847"/>
      <c r="N2847"/>
    </row>
    <row r="2848" spans="2:14" x14ac:dyDescent="0.35">
      <c r="B2848"/>
      <c r="C2848"/>
      <c r="D2848"/>
      <c r="E2848"/>
      <c r="F2848"/>
      <c r="G2848"/>
      <c r="H2848"/>
      <c r="I2848"/>
      <c r="J2848"/>
      <c r="K2848"/>
      <c r="L2848"/>
      <c r="M2848"/>
      <c r="N2848"/>
    </row>
    <row r="2849" spans="2:14" x14ac:dyDescent="0.35">
      <c r="B2849"/>
      <c r="C2849"/>
      <c r="D2849"/>
      <c r="E2849"/>
      <c r="F2849"/>
      <c r="G2849"/>
      <c r="H2849"/>
      <c r="I2849"/>
      <c r="J2849"/>
      <c r="K2849"/>
      <c r="L2849"/>
      <c r="M2849"/>
      <c r="N2849"/>
    </row>
    <row r="2850" spans="2:14" x14ac:dyDescent="0.35">
      <c r="B2850"/>
      <c r="C2850"/>
      <c r="D2850"/>
      <c r="E2850"/>
      <c r="F2850"/>
      <c r="G2850"/>
      <c r="H2850"/>
      <c r="I2850"/>
      <c r="J2850"/>
      <c r="K2850"/>
      <c r="L2850"/>
      <c r="M2850"/>
      <c r="N2850"/>
    </row>
    <row r="2851" spans="2:14" x14ac:dyDescent="0.35">
      <c r="B2851"/>
      <c r="C2851"/>
      <c r="D2851"/>
      <c r="E2851"/>
      <c r="F2851"/>
      <c r="G2851"/>
      <c r="H2851"/>
      <c r="I2851"/>
      <c r="J2851"/>
      <c r="K2851"/>
      <c r="L2851"/>
      <c r="M2851"/>
      <c r="N2851"/>
    </row>
    <row r="2852" spans="2:14" x14ac:dyDescent="0.35">
      <c r="B2852"/>
      <c r="C2852"/>
      <c r="D2852"/>
      <c r="E2852"/>
      <c r="F2852"/>
      <c r="G2852"/>
      <c r="H2852"/>
      <c r="I2852"/>
      <c r="J2852"/>
      <c r="K2852"/>
      <c r="L2852"/>
      <c r="M2852"/>
      <c r="N2852"/>
    </row>
    <row r="2853" spans="2:14" x14ac:dyDescent="0.35">
      <c r="B2853"/>
      <c r="C2853"/>
      <c r="D2853"/>
      <c r="E2853"/>
      <c r="F2853"/>
      <c r="G2853"/>
      <c r="H2853"/>
      <c r="I2853"/>
      <c r="J2853"/>
      <c r="K2853"/>
      <c r="L2853"/>
      <c r="M2853"/>
      <c r="N2853"/>
    </row>
    <row r="2854" spans="2:14" x14ac:dyDescent="0.35">
      <c r="B2854"/>
      <c r="C2854"/>
      <c r="D2854"/>
      <c r="E2854"/>
      <c r="F2854"/>
      <c r="G2854"/>
      <c r="H2854"/>
      <c r="I2854"/>
      <c r="J2854"/>
      <c r="K2854"/>
      <c r="L2854"/>
      <c r="M2854"/>
      <c r="N2854"/>
    </row>
    <row r="2855" spans="2:14" x14ac:dyDescent="0.35">
      <c r="B2855"/>
      <c r="C2855"/>
      <c r="D2855"/>
      <c r="E2855"/>
      <c r="F2855"/>
      <c r="G2855"/>
      <c r="H2855"/>
      <c r="I2855"/>
      <c r="J2855"/>
      <c r="K2855"/>
      <c r="L2855"/>
      <c r="M2855"/>
      <c r="N2855"/>
    </row>
    <row r="2856" spans="2:14" x14ac:dyDescent="0.35">
      <c r="B2856"/>
      <c r="C2856"/>
      <c r="D2856"/>
      <c r="E2856"/>
      <c r="F2856"/>
      <c r="G2856"/>
      <c r="H2856"/>
      <c r="I2856"/>
      <c r="J2856"/>
      <c r="K2856"/>
      <c r="L2856"/>
      <c r="M2856"/>
      <c r="N2856"/>
    </row>
    <row r="2857" spans="2:14" x14ac:dyDescent="0.35">
      <c r="B2857"/>
      <c r="C2857"/>
      <c r="D2857"/>
      <c r="E2857"/>
      <c r="F2857"/>
      <c r="G2857"/>
      <c r="H2857"/>
      <c r="I2857"/>
      <c r="J2857"/>
      <c r="K2857"/>
      <c r="L2857"/>
      <c r="M2857"/>
      <c r="N2857"/>
    </row>
    <row r="2858" spans="2:14" x14ac:dyDescent="0.35">
      <c r="B2858"/>
      <c r="C2858"/>
      <c r="D2858"/>
      <c r="E2858"/>
      <c r="F2858"/>
      <c r="G2858"/>
      <c r="H2858"/>
      <c r="I2858"/>
      <c r="J2858"/>
      <c r="K2858"/>
      <c r="L2858"/>
      <c r="M2858"/>
      <c r="N2858"/>
    </row>
    <row r="2859" spans="2:14" x14ac:dyDescent="0.35">
      <c r="B2859"/>
      <c r="C2859"/>
      <c r="D2859"/>
      <c r="E2859"/>
      <c r="F2859"/>
      <c r="G2859"/>
      <c r="H2859"/>
      <c r="I2859"/>
      <c r="J2859"/>
      <c r="K2859"/>
      <c r="L2859"/>
      <c r="M2859"/>
      <c r="N2859"/>
    </row>
    <row r="2860" spans="2:14" x14ac:dyDescent="0.35">
      <c r="B2860"/>
      <c r="C2860"/>
      <c r="D2860"/>
      <c r="E2860"/>
      <c r="F2860"/>
      <c r="G2860"/>
      <c r="H2860"/>
      <c r="I2860"/>
      <c r="J2860"/>
      <c r="K2860"/>
      <c r="L2860"/>
      <c r="M2860"/>
      <c r="N2860"/>
    </row>
    <row r="2861" spans="2:14" x14ac:dyDescent="0.35">
      <c r="B2861"/>
      <c r="C2861"/>
      <c r="D2861"/>
      <c r="E2861"/>
      <c r="F2861"/>
      <c r="G2861"/>
      <c r="H2861"/>
      <c r="I2861"/>
      <c r="J2861"/>
      <c r="K2861"/>
      <c r="L2861"/>
      <c r="M2861"/>
      <c r="N2861"/>
    </row>
    <row r="2862" spans="2:14" x14ac:dyDescent="0.35">
      <c r="B2862"/>
      <c r="C2862"/>
      <c r="D2862"/>
      <c r="E2862"/>
      <c r="F2862"/>
      <c r="G2862"/>
      <c r="H2862"/>
      <c r="I2862"/>
      <c r="J2862"/>
      <c r="K2862"/>
      <c r="L2862"/>
      <c r="M2862"/>
      <c r="N2862"/>
    </row>
    <row r="2863" spans="2:14" x14ac:dyDescent="0.35">
      <c r="B2863"/>
      <c r="C2863"/>
      <c r="D2863"/>
      <c r="E2863"/>
      <c r="F2863"/>
      <c r="G2863"/>
      <c r="H2863"/>
      <c r="I2863"/>
      <c r="J2863"/>
      <c r="K2863"/>
      <c r="L2863"/>
      <c r="M2863"/>
      <c r="N2863"/>
    </row>
    <row r="2864" spans="2:14" x14ac:dyDescent="0.35">
      <c r="B2864"/>
      <c r="C2864"/>
      <c r="D2864"/>
      <c r="E2864"/>
      <c r="F2864"/>
      <c r="G2864"/>
      <c r="H2864"/>
      <c r="I2864"/>
      <c r="J2864"/>
      <c r="K2864"/>
      <c r="L2864"/>
      <c r="M2864"/>
      <c r="N2864"/>
    </row>
    <row r="2865" spans="2:14" x14ac:dyDescent="0.35">
      <c r="B2865"/>
      <c r="C2865"/>
      <c r="D2865"/>
      <c r="E2865"/>
      <c r="F2865"/>
      <c r="G2865"/>
      <c r="H2865"/>
      <c r="I2865"/>
      <c r="J2865"/>
      <c r="K2865"/>
      <c r="L2865"/>
      <c r="M2865"/>
      <c r="N2865"/>
    </row>
    <row r="2866" spans="2:14" x14ac:dyDescent="0.35">
      <c r="B2866"/>
      <c r="C2866"/>
      <c r="D2866"/>
      <c r="E2866"/>
      <c r="F2866"/>
      <c r="G2866"/>
      <c r="H2866"/>
      <c r="I2866"/>
      <c r="J2866"/>
      <c r="K2866"/>
      <c r="L2866"/>
      <c r="M2866"/>
      <c r="N2866"/>
    </row>
    <row r="2867" spans="2:14" x14ac:dyDescent="0.35">
      <c r="B2867"/>
      <c r="C2867"/>
      <c r="D2867"/>
      <c r="E2867"/>
      <c r="F2867"/>
      <c r="G2867"/>
      <c r="H2867"/>
      <c r="I2867"/>
      <c r="J2867"/>
      <c r="K2867"/>
      <c r="L2867"/>
      <c r="M2867"/>
      <c r="N2867"/>
    </row>
    <row r="2868" spans="2:14" x14ac:dyDescent="0.35">
      <c r="B2868"/>
      <c r="C2868"/>
      <c r="D2868"/>
      <c r="E2868"/>
      <c r="F2868"/>
      <c r="G2868"/>
      <c r="H2868"/>
      <c r="I2868"/>
      <c r="J2868"/>
      <c r="K2868"/>
      <c r="L2868"/>
      <c r="M2868"/>
      <c r="N2868"/>
    </row>
    <row r="2869" spans="2:14" x14ac:dyDescent="0.35">
      <c r="B2869"/>
      <c r="C2869"/>
      <c r="D2869"/>
      <c r="E2869"/>
      <c r="F2869"/>
      <c r="G2869"/>
      <c r="H2869"/>
      <c r="I2869"/>
      <c r="J2869"/>
      <c r="K2869"/>
      <c r="L2869"/>
      <c r="M2869"/>
      <c r="N2869"/>
    </row>
    <row r="2870" spans="2:14" x14ac:dyDescent="0.35">
      <c r="B2870"/>
      <c r="C2870"/>
      <c r="D2870"/>
      <c r="E2870"/>
      <c r="F2870"/>
      <c r="G2870"/>
      <c r="H2870"/>
      <c r="I2870"/>
      <c r="J2870"/>
      <c r="K2870"/>
      <c r="L2870"/>
      <c r="M2870"/>
      <c r="N2870"/>
    </row>
    <row r="2871" spans="2:14" x14ac:dyDescent="0.35">
      <c r="B2871"/>
      <c r="C2871"/>
      <c r="D2871"/>
      <c r="E2871"/>
      <c r="F2871"/>
      <c r="G2871"/>
      <c r="H2871"/>
      <c r="I2871"/>
      <c r="J2871"/>
      <c r="K2871"/>
      <c r="L2871"/>
      <c r="M2871"/>
      <c r="N2871"/>
    </row>
    <row r="2872" spans="2:14" x14ac:dyDescent="0.35">
      <c r="B2872"/>
      <c r="C2872"/>
      <c r="D2872"/>
      <c r="E2872"/>
      <c r="F2872"/>
      <c r="G2872"/>
      <c r="H2872"/>
      <c r="I2872"/>
      <c r="J2872"/>
      <c r="K2872"/>
      <c r="L2872"/>
      <c r="M2872"/>
      <c r="N2872"/>
    </row>
    <row r="2873" spans="2:14" x14ac:dyDescent="0.35">
      <c r="B2873"/>
      <c r="C2873"/>
      <c r="D2873"/>
      <c r="E2873"/>
      <c r="F2873"/>
      <c r="G2873"/>
      <c r="H2873"/>
      <c r="I2873"/>
      <c r="J2873"/>
      <c r="K2873"/>
      <c r="L2873"/>
      <c r="M2873"/>
      <c r="N2873"/>
    </row>
    <row r="2874" spans="2:14" x14ac:dyDescent="0.35">
      <c r="B2874"/>
      <c r="C2874"/>
      <c r="D2874"/>
      <c r="E2874"/>
      <c r="F2874"/>
      <c r="G2874"/>
      <c r="H2874"/>
      <c r="I2874"/>
      <c r="J2874"/>
      <c r="K2874"/>
      <c r="L2874"/>
      <c r="M2874"/>
      <c r="N2874"/>
    </row>
    <row r="2875" spans="2:14" x14ac:dyDescent="0.35">
      <c r="B2875"/>
      <c r="C2875"/>
      <c r="D2875"/>
      <c r="E2875"/>
      <c r="F2875"/>
      <c r="G2875"/>
      <c r="H2875"/>
      <c r="I2875"/>
      <c r="J2875"/>
      <c r="K2875"/>
      <c r="L2875"/>
      <c r="M2875"/>
      <c r="N2875"/>
    </row>
    <row r="2876" spans="2:14" x14ac:dyDescent="0.35">
      <c r="B2876"/>
      <c r="C2876"/>
      <c r="D2876"/>
      <c r="E2876"/>
      <c r="F2876"/>
      <c r="G2876"/>
      <c r="H2876"/>
      <c r="I2876"/>
      <c r="J2876"/>
      <c r="K2876"/>
      <c r="L2876"/>
      <c r="M2876"/>
      <c r="N2876"/>
    </row>
    <row r="2877" spans="2:14" x14ac:dyDescent="0.35">
      <c r="B2877"/>
      <c r="C2877"/>
      <c r="D2877"/>
      <c r="E2877"/>
      <c r="F2877"/>
      <c r="G2877"/>
      <c r="H2877"/>
      <c r="I2877"/>
      <c r="J2877"/>
      <c r="K2877"/>
      <c r="L2877"/>
      <c r="M2877"/>
      <c r="N2877"/>
    </row>
    <row r="2878" spans="2:14" x14ac:dyDescent="0.35">
      <c r="B2878"/>
      <c r="C2878"/>
      <c r="D2878"/>
      <c r="E2878"/>
      <c r="F2878"/>
      <c r="G2878"/>
      <c r="H2878"/>
      <c r="I2878"/>
      <c r="J2878"/>
      <c r="K2878"/>
      <c r="L2878"/>
      <c r="M2878"/>
      <c r="N2878"/>
    </row>
    <row r="2879" spans="2:14" x14ac:dyDescent="0.35">
      <c r="B2879"/>
      <c r="C2879"/>
      <c r="D2879"/>
      <c r="E2879"/>
      <c r="F2879"/>
      <c r="G2879"/>
      <c r="H2879"/>
      <c r="I2879"/>
      <c r="J2879"/>
      <c r="K2879"/>
      <c r="L2879"/>
      <c r="M2879"/>
      <c r="N2879"/>
    </row>
    <row r="2880" spans="2:14" x14ac:dyDescent="0.35">
      <c r="B2880"/>
      <c r="C2880"/>
      <c r="D2880"/>
      <c r="E2880"/>
      <c r="F2880"/>
      <c r="G2880"/>
      <c r="H2880"/>
      <c r="I2880"/>
      <c r="J2880"/>
      <c r="K2880"/>
      <c r="L2880"/>
      <c r="M2880"/>
      <c r="N2880"/>
    </row>
    <row r="2881" spans="2:14" x14ac:dyDescent="0.35">
      <c r="B2881"/>
      <c r="C2881"/>
      <c r="D2881"/>
      <c r="E2881"/>
      <c r="F2881"/>
      <c r="G2881"/>
      <c r="H2881"/>
      <c r="I2881"/>
      <c r="J2881"/>
      <c r="K2881"/>
      <c r="L2881"/>
      <c r="M2881"/>
      <c r="N2881"/>
    </row>
    <row r="2882" spans="2:14" x14ac:dyDescent="0.35">
      <c r="B2882"/>
      <c r="C2882"/>
      <c r="D2882"/>
      <c r="E2882"/>
      <c r="F2882"/>
      <c r="G2882"/>
      <c r="H2882"/>
      <c r="I2882"/>
      <c r="J2882"/>
      <c r="K2882"/>
      <c r="L2882"/>
      <c r="M2882"/>
      <c r="N2882"/>
    </row>
    <row r="2883" spans="2:14" x14ac:dyDescent="0.35">
      <c r="B2883"/>
      <c r="C2883"/>
      <c r="D2883"/>
      <c r="E2883"/>
      <c r="F2883"/>
      <c r="G2883"/>
      <c r="H2883"/>
      <c r="I2883"/>
      <c r="J2883"/>
      <c r="K2883"/>
      <c r="L2883"/>
      <c r="M2883"/>
      <c r="N2883"/>
    </row>
    <row r="2884" spans="2:14" x14ac:dyDescent="0.35">
      <c r="B2884"/>
      <c r="C2884"/>
      <c r="D2884"/>
      <c r="E2884"/>
      <c r="F2884"/>
      <c r="G2884"/>
      <c r="H2884"/>
      <c r="I2884"/>
      <c r="J2884"/>
      <c r="K2884"/>
      <c r="L2884"/>
      <c r="M2884"/>
      <c r="N2884"/>
    </row>
    <row r="2885" spans="2:14" x14ac:dyDescent="0.35">
      <c r="B2885"/>
      <c r="C2885"/>
      <c r="D2885"/>
      <c r="E2885"/>
      <c r="F2885"/>
      <c r="G2885"/>
      <c r="H2885"/>
      <c r="I2885"/>
      <c r="J2885"/>
      <c r="K2885"/>
      <c r="L2885"/>
      <c r="M2885"/>
      <c r="N2885"/>
    </row>
    <row r="2886" spans="2:14" x14ac:dyDescent="0.35">
      <c r="B2886"/>
      <c r="C2886"/>
      <c r="D2886"/>
      <c r="E2886"/>
      <c r="F2886"/>
      <c r="G2886"/>
      <c r="H2886"/>
      <c r="I2886"/>
      <c r="J2886"/>
      <c r="K2886"/>
      <c r="L2886"/>
      <c r="M2886"/>
      <c r="N2886"/>
    </row>
    <row r="2887" spans="2:14" x14ac:dyDescent="0.35">
      <c r="B2887"/>
      <c r="C2887"/>
      <c r="D2887"/>
      <c r="E2887"/>
      <c r="F2887"/>
      <c r="G2887"/>
      <c r="H2887"/>
      <c r="I2887"/>
      <c r="J2887"/>
      <c r="K2887"/>
      <c r="L2887"/>
      <c r="M2887"/>
      <c r="N2887"/>
    </row>
    <row r="2888" spans="2:14" x14ac:dyDescent="0.35">
      <c r="B2888"/>
      <c r="C2888"/>
      <c r="D2888"/>
      <c r="E2888"/>
      <c r="F2888"/>
      <c r="G2888"/>
      <c r="H2888"/>
      <c r="I2888"/>
      <c r="J2888"/>
      <c r="K2888"/>
      <c r="L2888"/>
      <c r="M2888"/>
      <c r="N2888"/>
    </row>
    <row r="2889" spans="2:14" x14ac:dyDescent="0.35">
      <c r="B2889"/>
      <c r="C2889"/>
      <c r="D2889"/>
      <c r="E2889"/>
      <c r="F2889"/>
      <c r="G2889"/>
      <c r="H2889"/>
      <c r="I2889"/>
      <c r="J2889"/>
      <c r="K2889"/>
      <c r="L2889"/>
      <c r="M2889"/>
      <c r="N2889"/>
    </row>
    <row r="2890" spans="2:14" x14ac:dyDescent="0.35">
      <c r="B2890"/>
      <c r="C2890"/>
      <c r="D2890"/>
      <c r="E2890"/>
      <c r="F2890"/>
      <c r="G2890"/>
      <c r="H2890"/>
      <c r="I2890"/>
      <c r="J2890"/>
      <c r="K2890"/>
      <c r="L2890"/>
      <c r="M2890"/>
      <c r="N2890"/>
    </row>
    <row r="2891" spans="2:14" x14ac:dyDescent="0.35">
      <c r="B2891"/>
      <c r="C2891"/>
      <c r="D2891"/>
      <c r="E2891"/>
      <c r="F2891"/>
      <c r="G2891"/>
      <c r="H2891"/>
      <c r="I2891"/>
      <c r="J2891"/>
      <c r="K2891"/>
      <c r="L2891"/>
      <c r="M2891"/>
      <c r="N2891"/>
    </row>
    <row r="2892" spans="2:14" x14ac:dyDescent="0.35">
      <c r="B2892"/>
      <c r="C2892"/>
      <c r="D2892"/>
      <c r="E2892"/>
      <c r="F2892"/>
      <c r="G2892"/>
      <c r="H2892"/>
      <c r="I2892"/>
      <c r="J2892"/>
      <c r="K2892"/>
      <c r="L2892"/>
      <c r="M2892"/>
      <c r="N2892"/>
    </row>
    <row r="2893" spans="2:14" x14ac:dyDescent="0.35">
      <c r="B2893"/>
      <c r="C2893"/>
      <c r="D2893"/>
      <c r="E2893"/>
      <c r="F2893"/>
      <c r="G2893"/>
      <c r="H2893"/>
      <c r="I2893"/>
      <c r="J2893"/>
      <c r="K2893"/>
      <c r="L2893"/>
      <c r="M2893"/>
      <c r="N2893"/>
    </row>
    <row r="2894" spans="2:14" x14ac:dyDescent="0.35">
      <c r="B2894"/>
      <c r="C2894"/>
      <c r="D2894"/>
      <c r="E2894"/>
      <c r="F2894"/>
      <c r="G2894"/>
      <c r="H2894"/>
      <c r="I2894"/>
      <c r="J2894"/>
      <c r="K2894"/>
      <c r="L2894"/>
      <c r="M2894"/>
      <c r="N2894"/>
    </row>
    <row r="2895" spans="2:14" x14ac:dyDescent="0.35">
      <c r="B2895"/>
      <c r="C2895"/>
      <c r="D2895"/>
      <c r="E2895"/>
      <c r="F2895"/>
      <c r="G2895"/>
      <c r="H2895"/>
      <c r="I2895"/>
      <c r="J2895"/>
      <c r="K2895"/>
      <c r="L2895"/>
      <c r="M2895"/>
      <c r="N2895"/>
    </row>
    <row r="2896" spans="2:14" x14ac:dyDescent="0.35">
      <c r="B2896"/>
      <c r="C2896"/>
      <c r="D2896"/>
      <c r="E2896"/>
      <c r="F2896"/>
      <c r="G2896"/>
      <c r="H2896"/>
      <c r="I2896"/>
      <c r="J2896"/>
      <c r="K2896"/>
      <c r="L2896"/>
      <c r="M2896"/>
      <c r="N2896"/>
    </row>
    <row r="2897" spans="2:14" x14ac:dyDescent="0.35">
      <c r="B2897"/>
      <c r="C2897"/>
      <c r="D2897"/>
      <c r="E2897"/>
      <c r="F2897"/>
      <c r="G2897"/>
      <c r="H2897"/>
      <c r="I2897"/>
      <c r="J2897"/>
      <c r="K2897"/>
      <c r="L2897"/>
      <c r="M2897"/>
      <c r="N2897"/>
    </row>
    <row r="2898" spans="2:14" x14ac:dyDescent="0.35">
      <c r="B2898"/>
      <c r="C2898"/>
      <c r="D2898"/>
      <c r="E2898"/>
      <c r="F2898"/>
      <c r="G2898"/>
      <c r="H2898"/>
      <c r="I2898"/>
      <c r="J2898"/>
      <c r="K2898"/>
      <c r="L2898"/>
      <c r="M2898"/>
      <c r="N2898"/>
    </row>
    <row r="2899" spans="2:14" x14ac:dyDescent="0.35">
      <c r="B2899"/>
      <c r="C2899"/>
      <c r="D2899"/>
      <c r="E2899"/>
      <c r="F2899"/>
      <c r="G2899"/>
      <c r="H2899"/>
      <c r="I2899"/>
      <c r="J2899"/>
      <c r="K2899"/>
      <c r="L2899"/>
      <c r="M2899"/>
      <c r="N2899"/>
    </row>
    <row r="2900" spans="2:14" x14ac:dyDescent="0.35">
      <c r="B2900"/>
      <c r="C2900"/>
      <c r="D2900"/>
      <c r="E2900"/>
      <c r="F2900"/>
      <c r="G2900"/>
      <c r="H2900"/>
      <c r="I2900"/>
      <c r="J2900"/>
      <c r="K2900"/>
      <c r="L2900"/>
      <c r="M2900"/>
      <c r="N2900"/>
    </row>
    <row r="2901" spans="2:14" x14ac:dyDescent="0.35">
      <c r="B2901"/>
      <c r="C2901"/>
      <c r="D2901"/>
      <c r="E2901"/>
      <c r="F2901"/>
      <c r="G2901"/>
      <c r="H2901"/>
      <c r="I2901"/>
      <c r="J2901"/>
      <c r="K2901"/>
      <c r="L2901"/>
      <c r="M2901"/>
      <c r="N2901"/>
    </row>
    <row r="2902" spans="2:14" x14ac:dyDescent="0.35">
      <c r="B2902"/>
      <c r="C2902"/>
      <c r="D2902"/>
      <c r="E2902"/>
      <c r="F2902"/>
      <c r="G2902"/>
      <c r="H2902"/>
      <c r="I2902"/>
      <c r="J2902"/>
      <c r="K2902"/>
      <c r="L2902"/>
      <c r="M2902"/>
      <c r="N2902"/>
    </row>
    <row r="2903" spans="2:14" x14ac:dyDescent="0.35">
      <c r="B2903"/>
      <c r="C2903"/>
      <c r="D2903"/>
      <c r="E2903"/>
      <c r="F2903"/>
      <c r="G2903"/>
      <c r="H2903"/>
      <c r="I2903"/>
      <c r="J2903"/>
      <c r="K2903"/>
      <c r="L2903"/>
      <c r="M2903"/>
      <c r="N2903"/>
    </row>
    <row r="2904" spans="2:14" x14ac:dyDescent="0.35">
      <c r="B2904"/>
      <c r="C2904"/>
      <c r="D2904"/>
      <c r="E2904"/>
      <c r="F2904"/>
      <c r="G2904"/>
      <c r="H2904"/>
      <c r="I2904"/>
      <c r="J2904"/>
      <c r="K2904"/>
      <c r="L2904"/>
      <c r="M2904"/>
      <c r="N2904"/>
    </row>
    <row r="2905" spans="2:14" x14ac:dyDescent="0.35">
      <c r="B2905"/>
      <c r="C2905"/>
      <c r="D2905"/>
      <c r="E2905"/>
      <c r="F2905"/>
      <c r="G2905"/>
      <c r="H2905"/>
      <c r="I2905"/>
      <c r="J2905"/>
      <c r="K2905"/>
      <c r="L2905"/>
      <c r="M2905"/>
      <c r="N2905"/>
    </row>
    <row r="2906" spans="2:14" x14ac:dyDescent="0.35">
      <c r="B2906"/>
      <c r="C2906"/>
      <c r="D2906"/>
      <c r="E2906"/>
      <c r="F2906"/>
      <c r="G2906"/>
      <c r="H2906"/>
      <c r="I2906"/>
      <c r="J2906"/>
      <c r="K2906"/>
      <c r="L2906"/>
      <c r="M2906"/>
      <c r="N2906"/>
    </row>
    <row r="2907" spans="2:14" x14ac:dyDescent="0.35">
      <c r="B2907"/>
      <c r="C2907"/>
      <c r="D2907"/>
      <c r="E2907"/>
      <c r="F2907"/>
      <c r="G2907"/>
      <c r="H2907"/>
      <c r="I2907"/>
      <c r="J2907"/>
      <c r="K2907"/>
      <c r="L2907"/>
      <c r="M2907"/>
      <c r="N2907"/>
    </row>
    <row r="2908" spans="2:14" x14ac:dyDescent="0.35">
      <c r="B2908"/>
      <c r="C2908"/>
      <c r="D2908"/>
      <c r="E2908"/>
      <c r="F2908"/>
      <c r="G2908"/>
      <c r="H2908"/>
      <c r="I2908"/>
      <c r="J2908"/>
      <c r="K2908"/>
      <c r="L2908"/>
      <c r="M2908"/>
      <c r="N2908"/>
    </row>
    <row r="2909" spans="2:14" x14ac:dyDescent="0.35">
      <c r="B2909"/>
      <c r="C2909"/>
      <c r="D2909"/>
      <c r="E2909"/>
      <c r="F2909"/>
      <c r="G2909"/>
      <c r="H2909"/>
      <c r="I2909"/>
      <c r="J2909"/>
      <c r="K2909"/>
      <c r="L2909"/>
      <c r="M2909"/>
      <c r="N2909"/>
    </row>
    <row r="2910" spans="2:14" x14ac:dyDescent="0.35">
      <c r="B2910"/>
      <c r="C2910"/>
      <c r="D2910"/>
      <c r="E2910"/>
      <c r="F2910"/>
      <c r="G2910"/>
      <c r="H2910"/>
      <c r="I2910"/>
      <c r="J2910"/>
      <c r="K2910"/>
      <c r="L2910"/>
      <c r="M2910"/>
      <c r="N2910"/>
    </row>
    <row r="2911" spans="2:14" x14ac:dyDescent="0.35">
      <c r="B2911"/>
      <c r="C2911"/>
      <c r="D2911"/>
      <c r="E2911"/>
      <c r="F2911"/>
      <c r="G2911"/>
      <c r="H2911"/>
      <c r="I2911"/>
      <c r="J2911"/>
      <c r="K2911"/>
      <c r="L2911"/>
      <c r="M2911"/>
      <c r="N2911"/>
    </row>
    <row r="2912" spans="2:14" x14ac:dyDescent="0.35">
      <c r="B2912"/>
      <c r="C2912"/>
      <c r="D2912"/>
      <c r="E2912"/>
      <c r="F2912"/>
      <c r="G2912"/>
      <c r="H2912"/>
      <c r="I2912"/>
      <c r="J2912"/>
      <c r="K2912"/>
      <c r="L2912"/>
      <c r="M2912"/>
      <c r="N2912"/>
    </row>
    <row r="2913" spans="2:14" x14ac:dyDescent="0.35">
      <c r="B2913"/>
      <c r="C2913"/>
      <c r="D2913"/>
      <c r="E2913"/>
      <c r="F2913"/>
      <c r="G2913"/>
      <c r="H2913"/>
      <c r="I2913"/>
      <c r="J2913"/>
      <c r="K2913"/>
      <c r="L2913"/>
      <c r="M2913"/>
      <c r="N2913"/>
    </row>
    <row r="2914" spans="2:14" x14ac:dyDescent="0.35">
      <c r="B2914"/>
      <c r="C2914"/>
      <c r="D2914"/>
      <c r="E2914"/>
      <c r="F2914"/>
      <c r="G2914"/>
      <c r="H2914"/>
      <c r="I2914"/>
      <c r="J2914"/>
      <c r="K2914"/>
      <c r="L2914"/>
      <c r="M2914"/>
      <c r="N2914"/>
    </row>
    <row r="2915" spans="2:14" x14ac:dyDescent="0.35">
      <c r="B2915"/>
      <c r="C2915"/>
      <c r="D2915"/>
      <c r="E2915"/>
      <c r="F2915"/>
      <c r="G2915"/>
      <c r="H2915"/>
      <c r="I2915"/>
      <c r="J2915"/>
      <c r="K2915"/>
      <c r="L2915"/>
      <c r="M2915"/>
      <c r="N2915"/>
    </row>
    <row r="2916" spans="2:14" x14ac:dyDescent="0.35">
      <c r="B2916"/>
      <c r="C2916"/>
      <c r="D2916"/>
      <c r="E2916"/>
      <c r="F2916"/>
      <c r="G2916"/>
      <c r="H2916"/>
      <c r="I2916"/>
      <c r="J2916"/>
      <c r="K2916"/>
      <c r="L2916"/>
      <c r="M2916"/>
      <c r="N2916"/>
    </row>
    <row r="2917" spans="2:14" x14ac:dyDescent="0.35">
      <c r="B2917"/>
      <c r="C2917"/>
      <c r="D2917"/>
      <c r="E2917"/>
      <c r="F2917"/>
      <c r="G2917"/>
      <c r="H2917"/>
      <c r="I2917"/>
      <c r="J2917"/>
      <c r="K2917"/>
      <c r="L2917"/>
      <c r="M2917"/>
      <c r="N2917"/>
    </row>
    <row r="2918" spans="2:14" x14ac:dyDescent="0.35">
      <c r="B2918"/>
      <c r="C2918"/>
      <c r="D2918"/>
      <c r="E2918"/>
      <c r="F2918"/>
      <c r="G2918"/>
      <c r="H2918"/>
      <c r="I2918"/>
      <c r="J2918"/>
      <c r="K2918"/>
      <c r="L2918"/>
      <c r="M2918"/>
      <c r="N2918"/>
    </row>
    <row r="2919" spans="2:14" x14ac:dyDescent="0.35">
      <c r="B2919"/>
      <c r="C2919"/>
      <c r="D2919"/>
      <c r="E2919"/>
      <c r="F2919"/>
      <c r="G2919"/>
      <c r="H2919"/>
      <c r="I2919"/>
      <c r="J2919"/>
      <c r="K2919"/>
      <c r="L2919"/>
      <c r="M2919"/>
      <c r="N2919"/>
    </row>
    <row r="2920" spans="2:14" x14ac:dyDescent="0.35">
      <c r="B2920"/>
      <c r="C2920"/>
      <c r="D2920"/>
      <c r="E2920"/>
      <c r="F2920"/>
      <c r="G2920"/>
      <c r="H2920"/>
      <c r="I2920"/>
      <c r="J2920"/>
      <c r="K2920"/>
      <c r="L2920"/>
      <c r="M2920"/>
      <c r="N2920"/>
    </row>
    <row r="2921" spans="2:14" x14ac:dyDescent="0.35">
      <c r="B2921"/>
      <c r="C2921"/>
      <c r="D2921"/>
      <c r="E2921"/>
      <c r="F2921"/>
      <c r="G2921"/>
      <c r="H2921"/>
      <c r="I2921"/>
      <c r="J2921"/>
      <c r="K2921"/>
      <c r="L2921"/>
      <c r="M2921"/>
      <c r="N2921"/>
    </row>
    <row r="2922" spans="2:14" x14ac:dyDescent="0.35">
      <c r="B2922"/>
      <c r="C2922"/>
      <c r="D2922"/>
      <c r="E2922"/>
      <c r="F2922"/>
      <c r="G2922"/>
      <c r="H2922"/>
      <c r="I2922"/>
      <c r="J2922"/>
      <c r="K2922"/>
      <c r="L2922"/>
      <c r="M2922"/>
      <c r="N2922"/>
    </row>
    <row r="2923" spans="2:14" x14ac:dyDescent="0.35">
      <c r="B2923"/>
      <c r="C2923"/>
      <c r="D2923"/>
      <c r="E2923"/>
      <c r="F2923"/>
      <c r="G2923"/>
      <c r="H2923"/>
      <c r="I2923"/>
      <c r="J2923"/>
      <c r="K2923"/>
      <c r="L2923"/>
      <c r="M2923"/>
      <c r="N2923"/>
    </row>
    <row r="2924" spans="2:14" x14ac:dyDescent="0.35">
      <c r="B2924"/>
      <c r="C2924"/>
      <c r="D2924"/>
      <c r="E2924"/>
      <c r="F2924"/>
      <c r="G2924"/>
      <c r="H2924"/>
      <c r="I2924"/>
      <c r="J2924"/>
      <c r="K2924"/>
      <c r="L2924"/>
      <c r="M2924"/>
      <c r="N2924"/>
    </row>
    <row r="2925" spans="2:14" x14ac:dyDescent="0.35">
      <c r="B2925"/>
      <c r="C2925"/>
      <c r="D2925"/>
      <c r="E2925"/>
      <c r="F2925"/>
      <c r="G2925"/>
      <c r="H2925"/>
      <c r="I2925"/>
      <c r="J2925"/>
      <c r="K2925"/>
      <c r="L2925"/>
      <c r="M2925"/>
      <c r="N2925"/>
    </row>
    <row r="2926" spans="2:14" x14ac:dyDescent="0.35">
      <c r="B2926"/>
      <c r="C2926"/>
      <c r="D2926"/>
      <c r="E2926"/>
      <c r="F2926"/>
      <c r="G2926"/>
      <c r="H2926"/>
      <c r="I2926"/>
      <c r="J2926"/>
      <c r="K2926"/>
      <c r="L2926"/>
      <c r="M2926"/>
      <c r="N2926"/>
    </row>
    <row r="2927" spans="2:14" x14ac:dyDescent="0.35">
      <c r="B2927"/>
      <c r="C2927"/>
      <c r="D2927"/>
      <c r="E2927"/>
      <c r="F2927"/>
      <c r="G2927"/>
      <c r="H2927"/>
      <c r="I2927"/>
      <c r="J2927"/>
      <c r="K2927"/>
      <c r="L2927"/>
      <c r="M2927"/>
      <c r="N2927"/>
    </row>
    <row r="2928" spans="2:14" x14ac:dyDescent="0.35">
      <c r="B2928"/>
      <c r="C2928"/>
      <c r="D2928"/>
      <c r="E2928"/>
      <c r="F2928"/>
      <c r="G2928"/>
      <c r="H2928"/>
      <c r="I2928"/>
      <c r="J2928"/>
      <c r="K2928"/>
      <c r="L2928"/>
      <c r="M2928"/>
      <c r="N2928"/>
    </row>
    <row r="2929" spans="2:14" x14ac:dyDescent="0.35">
      <c r="B2929"/>
      <c r="C2929"/>
      <c r="D2929"/>
      <c r="E2929"/>
      <c r="F2929"/>
      <c r="G2929"/>
      <c r="H2929"/>
      <c r="I2929"/>
      <c r="J2929"/>
      <c r="K2929"/>
      <c r="L2929"/>
      <c r="M2929"/>
      <c r="N2929"/>
    </row>
    <row r="2930" spans="2:14" x14ac:dyDescent="0.35">
      <c r="B2930"/>
      <c r="C2930"/>
      <c r="D2930"/>
      <c r="E2930"/>
      <c r="F2930"/>
      <c r="G2930"/>
      <c r="H2930"/>
      <c r="I2930"/>
      <c r="J2930"/>
      <c r="K2930"/>
      <c r="L2930"/>
      <c r="M2930"/>
      <c r="N2930"/>
    </row>
    <row r="2931" spans="2:14" x14ac:dyDescent="0.35">
      <c r="B2931"/>
      <c r="C2931"/>
      <c r="D2931"/>
      <c r="E2931"/>
      <c r="F2931"/>
      <c r="G2931"/>
      <c r="H2931"/>
      <c r="I2931"/>
      <c r="J2931"/>
      <c r="K2931"/>
      <c r="L2931"/>
      <c r="M2931"/>
      <c r="N2931"/>
    </row>
    <row r="2932" spans="2:14" x14ac:dyDescent="0.35">
      <c r="B2932"/>
      <c r="C2932"/>
      <c r="D2932"/>
      <c r="E2932"/>
      <c r="F2932"/>
      <c r="G2932"/>
      <c r="H2932"/>
      <c r="I2932"/>
      <c r="J2932"/>
      <c r="K2932"/>
      <c r="L2932"/>
      <c r="M2932"/>
      <c r="N2932"/>
    </row>
    <row r="2933" spans="2:14" x14ac:dyDescent="0.35">
      <c r="B2933"/>
      <c r="C2933"/>
      <c r="D2933"/>
      <c r="E2933"/>
      <c r="F2933"/>
      <c r="G2933"/>
      <c r="H2933"/>
      <c r="I2933"/>
      <c r="J2933"/>
      <c r="K2933"/>
      <c r="L2933"/>
      <c r="M2933"/>
      <c r="N2933"/>
    </row>
    <row r="2934" spans="2:14" x14ac:dyDescent="0.35">
      <c r="B2934"/>
      <c r="C2934"/>
      <c r="D2934"/>
      <c r="E2934"/>
      <c r="F2934"/>
      <c r="G2934"/>
      <c r="H2934"/>
      <c r="I2934"/>
      <c r="J2934"/>
      <c r="K2934"/>
      <c r="L2934"/>
      <c r="M2934"/>
      <c r="N2934"/>
    </row>
    <row r="2935" spans="2:14" x14ac:dyDescent="0.35">
      <c r="B2935"/>
      <c r="C2935"/>
      <c r="D2935"/>
      <c r="E2935"/>
      <c r="F2935"/>
      <c r="G2935"/>
      <c r="H2935"/>
      <c r="I2935"/>
      <c r="J2935"/>
      <c r="K2935"/>
      <c r="L2935"/>
      <c r="M2935"/>
      <c r="N2935"/>
    </row>
    <row r="2936" spans="2:14" x14ac:dyDescent="0.35">
      <c r="B2936"/>
      <c r="C2936"/>
      <c r="D2936"/>
      <c r="E2936"/>
      <c r="F2936"/>
      <c r="G2936"/>
      <c r="H2936"/>
      <c r="I2936"/>
      <c r="J2936"/>
      <c r="K2936"/>
      <c r="L2936"/>
      <c r="M2936"/>
      <c r="N2936"/>
    </row>
    <row r="2937" spans="2:14" x14ac:dyDescent="0.35">
      <c r="B2937"/>
      <c r="C2937"/>
      <c r="D2937"/>
      <c r="E2937"/>
      <c r="F2937"/>
      <c r="G2937"/>
      <c r="H2937"/>
      <c r="I2937"/>
      <c r="J2937"/>
      <c r="K2937"/>
      <c r="L2937"/>
      <c r="M2937"/>
      <c r="N2937"/>
    </row>
    <row r="2938" spans="2:14" x14ac:dyDescent="0.35">
      <c r="B2938"/>
      <c r="C2938"/>
      <c r="D2938"/>
      <c r="E2938"/>
      <c r="F2938"/>
      <c r="G2938"/>
      <c r="H2938"/>
      <c r="I2938"/>
      <c r="J2938"/>
      <c r="K2938"/>
      <c r="L2938"/>
      <c r="M2938"/>
      <c r="N2938"/>
    </row>
    <row r="2939" spans="2:14" x14ac:dyDescent="0.35">
      <c r="B2939"/>
      <c r="C2939"/>
      <c r="D2939"/>
      <c r="E2939"/>
      <c r="F2939"/>
      <c r="G2939"/>
      <c r="H2939"/>
      <c r="I2939"/>
      <c r="J2939"/>
      <c r="K2939"/>
      <c r="L2939"/>
      <c r="M2939"/>
      <c r="N2939"/>
    </row>
    <row r="2940" spans="2:14" x14ac:dyDescent="0.35">
      <c r="B2940"/>
      <c r="C2940"/>
      <c r="D2940"/>
      <c r="E2940"/>
      <c r="F2940"/>
      <c r="G2940"/>
      <c r="H2940"/>
      <c r="I2940"/>
      <c r="J2940"/>
      <c r="K2940"/>
      <c r="L2940"/>
      <c r="M2940"/>
      <c r="N2940"/>
    </row>
    <row r="2941" spans="2:14" x14ac:dyDescent="0.35">
      <c r="B2941"/>
      <c r="C2941"/>
      <c r="D2941"/>
      <c r="E2941"/>
      <c r="F2941"/>
      <c r="G2941"/>
      <c r="H2941"/>
      <c r="I2941"/>
      <c r="J2941"/>
      <c r="K2941"/>
      <c r="L2941"/>
      <c r="M2941"/>
      <c r="N2941"/>
    </row>
    <row r="2942" spans="2:14" x14ac:dyDescent="0.35">
      <c r="B2942"/>
      <c r="C2942"/>
      <c r="D2942"/>
      <c r="E2942"/>
      <c r="F2942"/>
      <c r="G2942"/>
      <c r="H2942"/>
      <c r="I2942"/>
      <c r="J2942"/>
      <c r="K2942"/>
      <c r="L2942"/>
      <c r="M2942"/>
      <c r="N2942"/>
    </row>
    <row r="2943" spans="2:14" x14ac:dyDescent="0.35">
      <c r="B2943"/>
      <c r="C2943"/>
      <c r="D2943"/>
      <c r="E2943"/>
      <c r="F2943"/>
      <c r="G2943"/>
      <c r="H2943"/>
      <c r="I2943"/>
      <c r="J2943"/>
      <c r="K2943"/>
      <c r="L2943"/>
      <c r="M2943"/>
      <c r="N2943"/>
    </row>
    <row r="2944" spans="2:14" x14ac:dyDescent="0.35">
      <c r="B2944"/>
      <c r="C2944"/>
      <c r="D2944"/>
      <c r="E2944"/>
      <c r="F2944"/>
      <c r="G2944"/>
      <c r="H2944"/>
      <c r="I2944"/>
      <c r="J2944"/>
      <c r="K2944"/>
      <c r="L2944"/>
      <c r="M2944"/>
      <c r="N2944"/>
    </row>
    <row r="2945" spans="2:14" x14ac:dyDescent="0.35">
      <c r="B2945"/>
      <c r="C2945"/>
      <c r="D2945"/>
      <c r="E2945"/>
      <c r="F2945"/>
      <c r="G2945"/>
      <c r="H2945"/>
      <c r="I2945"/>
      <c r="J2945"/>
      <c r="K2945"/>
      <c r="L2945"/>
      <c r="M2945"/>
      <c r="N2945"/>
    </row>
    <row r="2946" spans="2:14" x14ac:dyDescent="0.35">
      <c r="B2946"/>
      <c r="C2946"/>
      <c r="D2946"/>
      <c r="E2946"/>
      <c r="F2946"/>
      <c r="G2946"/>
      <c r="H2946"/>
      <c r="I2946"/>
      <c r="J2946"/>
      <c r="K2946"/>
      <c r="L2946"/>
      <c r="M2946"/>
      <c r="N2946"/>
    </row>
    <row r="2947" spans="2:14" x14ac:dyDescent="0.35">
      <c r="B2947"/>
      <c r="C2947"/>
      <c r="D2947"/>
      <c r="E2947"/>
      <c r="F2947"/>
      <c r="G2947"/>
      <c r="H2947"/>
      <c r="I2947"/>
      <c r="J2947"/>
      <c r="K2947"/>
      <c r="L2947"/>
      <c r="M2947"/>
      <c r="N2947"/>
    </row>
    <row r="2948" spans="2:14" x14ac:dyDescent="0.35">
      <c r="B2948"/>
      <c r="C2948"/>
      <c r="D2948"/>
      <c r="E2948"/>
      <c r="F2948"/>
      <c r="G2948"/>
      <c r="H2948"/>
      <c r="I2948"/>
      <c r="J2948"/>
      <c r="K2948"/>
      <c r="L2948"/>
      <c r="M2948"/>
      <c r="N2948"/>
    </row>
    <row r="2949" spans="2:14" x14ac:dyDescent="0.35">
      <c r="B2949"/>
      <c r="C2949"/>
      <c r="D2949"/>
      <c r="E2949"/>
      <c r="F2949"/>
      <c r="G2949"/>
      <c r="H2949"/>
      <c r="I2949"/>
      <c r="J2949"/>
      <c r="K2949"/>
      <c r="L2949"/>
      <c r="M2949"/>
      <c r="N2949"/>
    </row>
    <row r="2950" spans="2:14" x14ac:dyDescent="0.35">
      <c r="B2950"/>
      <c r="C2950"/>
      <c r="D2950"/>
      <c r="E2950"/>
      <c r="F2950"/>
      <c r="G2950"/>
      <c r="H2950"/>
      <c r="I2950"/>
      <c r="J2950"/>
      <c r="K2950"/>
      <c r="L2950"/>
      <c r="M2950"/>
      <c r="N2950"/>
    </row>
    <row r="2951" spans="2:14" x14ac:dyDescent="0.35">
      <c r="B2951"/>
      <c r="C2951"/>
      <c r="D2951"/>
      <c r="E2951"/>
      <c r="F2951"/>
      <c r="G2951"/>
      <c r="H2951"/>
      <c r="I2951"/>
      <c r="J2951"/>
      <c r="K2951"/>
      <c r="L2951"/>
      <c r="M2951"/>
      <c r="N2951"/>
    </row>
    <row r="2952" spans="2:14" x14ac:dyDescent="0.35">
      <c r="B2952"/>
      <c r="C2952"/>
      <c r="D2952"/>
      <c r="E2952"/>
      <c r="F2952"/>
      <c r="G2952"/>
      <c r="H2952"/>
      <c r="I2952"/>
      <c r="J2952"/>
      <c r="K2952"/>
      <c r="L2952"/>
      <c r="M2952"/>
      <c r="N2952"/>
    </row>
    <row r="2953" spans="2:14" x14ac:dyDescent="0.35">
      <c r="B2953"/>
      <c r="C2953"/>
      <c r="D2953"/>
      <c r="E2953"/>
      <c r="F2953"/>
      <c r="G2953"/>
      <c r="H2953"/>
      <c r="I2953"/>
      <c r="J2953"/>
      <c r="K2953"/>
      <c r="L2953"/>
      <c r="M2953"/>
      <c r="N2953"/>
    </row>
    <row r="2954" spans="2:14" x14ac:dyDescent="0.35">
      <c r="B2954"/>
      <c r="C2954"/>
      <c r="D2954"/>
      <c r="E2954"/>
      <c r="F2954"/>
      <c r="G2954"/>
      <c r="H2954"/>
      <c r="I2954"/>
      <c r="J2954"/>
      <c r="K2954"/>
      <c r="L2954"/>
      <c r="M2954"/>
      <c r="N2954"/>
    </row>
    <row r="2955" spans="2:14" x14ac:dyDescent="0.35">
      <c r="B2955"/>
      <c r="C2955"/>
      <c r="D2955"/>
      <c r="E2955"/>
      <c r="F2955"/>
      <c r="G2955"/>
      <c r="H2955"/>
      <c r="I2955"/>
      <c r="J2955"/>
      <c r="K2955"/>
      <c r="L2955"/>
      <c r="M2955"/>
      <c r="N2955"/>
    </row>
    <row r="2956" spans="2:14" x14ac:dyDescent="0.35">
      <c r="B2956"/>
      <c r="C2956"/>
      <c r="D2956"/>
      <c r="E2956"/>
      <c r="F2956"/>
      <c r="G2956"/>
      <c r="H2956"/>
      <c r="I2956"/>
      <c r="J2956"/>
      <c r="K2956"/>
      <c r="L2956"/>
      <c r="M2956"/>
      <c r="N2956"/>
    </row>
    <row r="2957" spans="2:14" x14ac:dyDescent="0.35">
      <c r="B2957"/>
      <c r="C2957"/>
      <c r="D2957"/>
      <c r="E2957"/>
      <c r="F2957"/>
      <c r="G2957"/>
      <c r="H2957"/>
      <c r="I2957"/>
      <c r="J2957"/>
      <c r="K2957"/>
      <c r="L2957"/>
      <c r="M2957"/>
      <c r="N2957"/>
    </row>
    <row r="2958" spans="2:14" x14ac:dyDescent="0.35">
      <c r="B2958"/>
      <c r="C2958"/>
      <c r="D2958"/>
      <c r="E2958"/>
      <c r="F2958"/>
      <c r="G2958"/>
      <c r="H2958"/>
      <c r="I2958"/>
      <c r="J2958"/>
      <c r="K2958"/>
      <c r="L2958"/>
      <c r="M2958"/>
      <c r="N2958"/>
    </row>
    <row r="2959" spans="2:14" x14ac:dyDescent="0.35">
      <c r="B2959"/>
      <c r="C2959"/>
      <c r="D2959"/>
      <c r="E2959"/>
      <c r="F2959"/>
      <c r="G2959"/>
      <c r="H2959"/>
      <c r="I2959"/>
      <c r="J2959"/>
      <c r="K2959"/>
      <c r="L2959"/>
      <c r="M2959"/>
      <c r="N2959"/>
    </row>
    <row r="2960" spans="2:14" x14ac:dyDescent="0.35">
      <c r="B2960"/>
      <c r="C2960"/>
      <c r="D2960"/>
      <c r="E2960"/>
      <c r="F2960"/>
      <c r="G2960"/>
      <c r="H2960"/>
      <c r="I2960"/>
      <c r="J2960"/>
      <c r="K2960"/>
      <c r="L2960"/>
      <c r="M2960"/>
      <c r="N2960"/>
    </row>
    <row r="2961" spans="2:14" x14ac:dyDescent="0.35">
      <c r="B2961"/>
      <c r="C2961"/>
      <c r="D2961"/>
      <c r="E2961"/>
      <c r="F2961"/>
      <c r="G2961"/>
      <c r="H2961"/>
      <c r="I2961"/>
      <c r="J2961"/>
      <c r="K2961"/>
      <c r="L2961"/>
      <c r="M2961"/>
      <c r="N2961"/>
    </row>
    <row r="2962" spans="2:14" x14ac:dyDescent="0.35">
      <c r="B2962"/>
      <c r="C2962"/>
      <c r="D2962"/>
      <c r="E2962"/>
      <c r="F2962"/>
      <c r="G2962"/>
      <c r="H2962"/>
      <c r="I2962"/>
      <c r="J2962"/>
      <c r="K2962"/>
      <c r="L2962"/>
      <c r="M2962"/>
      <c r="N2962"/>
    </row>
    <row r="2963" spans="2:14" x14ac:dyDescent="0.35">
      <c r="B2963"/>
      <c r="C2963"/>
      <c r="D2963"/>
      <c r="E2963"/>
      <c r="F2963"/>
      <c r="G2963"/>
      <c r="H2963"/>
      <c r="I2963"/>
      <c r="J2963"/>
      <c r="K2963"/>
      <c r="L2963"/>
      <c r="M2963"/>
      <c r="N2963"/>
    </row>
    <row r="2964" spans="2:14" x14ac:dyDescent="0.35">
      <c r="B2964"/>
      <c r="C2964"/>
      <c r="D2964"/>
      <c r="E2964"/>
      <c r="F2964"/>
      <c r="G2964"/>
      <c r="H2964"/>
      <c r="I2964"/>
      <c r="J2964"/>
      <c r="K2964"/>
      <c r="L2964"/>
      <c r="M2964"/>
      <c r="N2964"/>
    </row>
    <row r="2965" spans="2:14" x14ac:dyDescent="0.35">
      <c r="B2965"/>
      <c r="C2965"/>
      <c r="D2965"/>
      <c r="E2965"/>
      <c r="F2965"/>
      <c r="G2965"/>
      <c r="H2965"/>
      <c r="I2965"/>
      <c r="J2965"/>
      <c r="K2965"/>
      <c r="L2965"/>
      <c r="M2965"/>
      <c r="N2965"/>
    </row>
    <row r="2966" spans="2:14" x14ac:dyDescent="0.35">
      <c r="B2966"/>
      <c r="C2966"/>
      <c r="D2966"/>
      <c r="E2966"/>
      <c r="F2966"/>
      <c r="G2966"/>
      <c r="H2966"/>
      <c r="I2966"/>
      <c r="J2966"/>
      <c r="K2966"/>
      <c r="L2966"/>
      <c r="M2966"/>
      <c r="N2966"/>
    </row>
    <row r="2967" spans="2:14" x14ac:dyDescent="0.35">
      <c r="B2967"/>
      <c r="C2967"/>
      <c r="D2967"/>
      <c r="E2967"/>
      <c r="F2967"/>
      <c r="G2967"/>
      <c r="H2967"/>
      <c r="I2967"/>
      <c r="J2967"/>
      <c r="K2967"/>
      <c r="L2967"/>
      <c r="M2967"/>
      <c r="N2967"/>
    </row>
    <row r="2968" spans="2:14" x14ac:dyDescent="0.35">
      <c r="B2968"/>
      <c r="C2968"/>
      <c r="D2968"/>
      <c r="E2968"/>
      <c r="F2968"/>
      <c r="G2968"/>
      <c r="H2968"/>
      <c r="I2968"/>
      <c r="J2968"/>
      <c r="K2968"/>
      <c r="L2968"/>
      <c r="M2968"/>
      <c r="N2968"/>
    </row>
    <row r="2969" spans="2:14" x14ac:dyDescent="0.35">
      <c r="B2969"/>
      <c r="C2969"/>
      <c r="D2969"/>
      <c r="E2969"/>
      <c r="F2969"/>
      <c r="G2969"/>
      <c r="H2969"/>
      <c r="I2969"/>
      <c r="J2969"/>
      <c r="K2969"/>
      <c r="L2969"/>
      <c r="M2969"/>
      <c r="N2969"/>
    </row>
    <row r="2970" spans="2:14" x14ac:dyDescent="0.35">
      <c r="B2970"/>
      <c r="C2970"/>
      <c r="D2970"/>
      <c r="E2970"/>
      <c r="F2970"/>
      <c r="G2970"/>
      <c r="H2970"/>
      <c r="I2970"/>
      <c r="J2970"/>
      <c r="K2970"/>
      <c r="L2970"/>
      <c r="M2970"/>
      <c r="N2970"/>
    </row>
    <row r="2971" spans="2:14" x14ac:dyDescent="0.35">
      <c r="B2971"/>
      <c r="C2971"/>
      <c r="D2971"/>
      <c r="E2971"/>
      <c r="F2971"/>
      <c r="G2971"/>
      <c r="H2971"/>
      <c r="I2971"/>
      <c r="J2971"/>
      <c r="K2971"/>
      <c r="L2971"/>
      <c r="M2971"/>
      <c r="N2971"/>
    </row>
    <row r="2972" spans="2:14" x14ac:dyDescent="0.35">
      <c r="B2972"/>
      <c r="C2972"/>
      <c r="D2972"/>
      <c r="E2972"/>
      <c r="F2972"/>
      <c r="G2972"/>
      <c r="H2972"/>
      <c r="I2972"/>
      <c r="J2972"/>
      <c r="K2972"/>
      <c r="L2972"/>
      <c r="M2972"/>
      <c r="N2972"/>
    </row>
    <row r="2973" spans="2:14" x14ac:dyDescent="0.35">
      <c r="B2973"/>
      <c r="C2973"/>
      <c r="D2973"/>
      <c r="E2973"/>
      <c r="F2973"/>
      <c r="G2973"/>
      <c r="H2973"/>
      <c r="I2973"/>
      <c r="J2973"/>
      <c r="K2973"/>
      <c r="L2973"/>
      <c r="M2973"/>
      <c r="N2973"/>
    </row>
    <row r="2974" spans="2:14" x14ac:dyDescent="0.35">
      <c r="B2974"/>
      <c r="C2974"/>
      <c r="D2974"/>
      <c r="E2974"/>
      <c r="F2974"/>
      <c r="G2974"/>
      <c r="H2974"/>
      <c r="I2974"/>
      <c r="J2974"/>
      <c r="K2974"/>
      <c r="L2974"/>
      <c r="M2974"/>
      <c r="N2974"/>
    </row>
    <row r="2975" spans="2:14" x14ac:dyDescent="0.35">
      <c r="B2975"/>
      <c r="C2975"/>
      <c r="D2975"/>
      <c r="E2975"/>
      <c r="F2975"/>
      <c r="G2975"/>
      <c r="H2975"/>
      <c r="I2975"/>
      <c r="J2975"/>
      <c r="K2975"/>
      <c r="L2975"/>
      <c r="M2975"/>
      <c r="N2975"/>
    </row>
    <row r="2976" spans="2:14" x14ac:dyDescent="0.35">
      <c r="B2976"/>
      <c r="C2976"/>
      <c r="D2976"/>
      <c r="E2976"/>
      <c r="F2976"/>
      <c r="G2976"/>
      <c r="H2976"/>
      <c r="I2976"/>
      <c r="J2976"/>
      <c r="K2976"/>
      <c r="L2976"/>
      <c r="M2976"/>
      <c r="N2976"/>
    </row>
    <row r="2977" spans="2:14" x14ac:dyDescent="0.35">
      <c r="B2977"/>
      <c r="C2977"/>
      <c r="D2977"/>
      <c r="E2977"/>
      <c r="F2977"/>
      <c r="G2977"/>
      <c r="H2977"/>
      <c r="I2977"/>
      <c r="J2977"/>
      <c r="K2977"/>
      <c r="L2977"/>
      <c r="M2977"/>
      <c r="N2977"/>
    </row>
    <row r="2978" spans="2:14" x14ac:dyDescent="0.35">
      <c r="B2978"/>
      <c r="C2978"/>
      <c r="D2978"/>
      <c r="E2978"/>
      <c r="F2978"/>
      <c r="G2978"/>
      <c r="H2978"/>
      <c r="I2978"/>
      <c r="J2978"/>
      <c r="K2978"/>
      <c r="L2978"/>
      <c r="M2978"/>
      <c r="N2978"/>
    </row>
    <row r="2979" spans="2:14" x14ac:dyDescent="0.35">
      <c r="B2979"/>
      <c r="C2979"/>
      <c r="D2979"/>
      <c r="E2979"/>
      <c r="F2979"/>
      <c r="G2979"/>
      <c r="H2979"/>
      <c r="I2979"/>
      <c r="J2979"/>
      <c r="K2979"/>
      <c r="L2979"/>
      <c r="M2979"/>
      <c r="N2979"/>
    </row>
    <row r="2980" spans="2:14" x14ac:dyDescent="0.35">
      <c r="B2980"/>
      <c r="C2980"/>
      <c r="D2980"/>
      <c r="E2980"/>
      <c r="F2980"/>
      <c r="G2980"/>
      <c r="H2980"/>
      <c r="I2980"/>
      <c r="J2980"/>
      <c r="K2980"/>
      <c r="L2980"/>
      <c r="M2980"/>
      <c r="N2980"/>
    </row>
    <row r="2981" spans="2:14" x14ac:dyDescent="0.35">
      <c r="B2981"/>
      <c r="C2981"/>
      <c r="D2981"/>
      <c r="E2981"/>
      <c r="F2981"/>
      <c r="G2981"/>
      <c r="H2981"/>
      <c r="I2981"/>
      <c r="J2981"/>
      <c r="K2981"/>
      <c r="L2981"/>
      <c r="M2981"/>
      <c r="N2981"/>
    </row>
    <row r="2982" spans="2:14" x14ac:dyDescent="0.35">
      <c r="B2982"/>
      <c r="C2982"/>
      <c r="D2982"/>
      <c r="E2982"/>
      <c r="F2982"/>
      <c r="G2982"/>
      <c r="H2982"/>
      <c r="I2982"/>
      <c r="J2982"/>
      <c r="K2982"/>
      <c r="L2982"/>
      <c r="M2982"/>
      <c r="N2982"/>
    </row>
    <row r="2983" spans="2:14" x14ac:dyDescent="0.35">
      <c r="B2983"/>
      <c r="C2983"/>
      <c r="D2983"/>
      <c r="E2983"/>
      <c r="F2983"/>
      <c r="G2983"/>
      <c r="H2983"/>
      <c r="I2983"/>
      <c r="J2983"/>
      <c r="K2983"/>
      <c r="L2983"/>
      <c r="M2983"/>
      <c r="N2983"/>
    </row>
    <row r="2984" spans="2:14" x14ac:dyDescent="0.35">
      <c r="B2984"/>
      <c r="C2984"/>
      <c r="D2984"/>
      <c r="E2984"/>
      <c r="F2984"/>
      <c r="G2984"/>
      <c r="H2984"/>
      <c r="I2984"/>
      <c r="J2984"/>
      <c r="K2984"/>
      <c r="L2984"/>
      <c r="M2984"/>
      <c r="N2984"/>
    </row>
    <row r="2985" spans="2:14" x14ac:dyDescent="0.35">
      <c r="B2985"/>
      <c r="C2985"/>
      <c r="D2985"/>
      <c r="E2985"/>
      <c r="F2985"/>
      <c r="G2985"/>
      <c r="H2985"/>
      <c r="I2985"/>
      <c r="J2985"/>
      <c r="K2985"/>
      <c r="L2985"/>
      <c r="M2985"/>
      <c r="N2985"/>
    </row>
    <row r="2986" spans="2:14" x14ac:dyDescent="0.35">
      <c r="B2986"/>
      <c r="C2986"/>
      <c r="D2986"/>
      <c r="E2986"/>
      <c r="F2986"/>
      <c r="G2986"/>
      <c r="H2986"/>
      <c r="I2986"/>
      <c r="J2986"/>
      <c r="K2986"/>
      <c r="L2986"/>
      <c r="M2986"/>
      <c r="N2986"/>
    </row>
    <row r="2987" spans="2:14" x14ac:dyDescent="0.35">
      <c r="B2987"/>
      <c r="C2987"/>
      <c r="D2987"/>
      <c r="E2987"/>
      <c r="F2987"/>
      <c r="G2987"/>
      <c r="H2987"/>
      <c r="I2987"/>
      <c r="J2987"/>
      <c r="K2987"/>
      <c r="L2987"/>
      <c r="M2987"/>
      <c r="N2987"/>
    </row>
    <row r="2988" spans="2:14" x14ac:dyDescent="0.35">
      <c r="B2988"/>
      <c r="C2988"/>
      <c r="D2988"/>
      <c r="E2988"/>
      <c r="F2988"/>
      <c r="G2988"/>
      <c r="H2988"/>
      <c r="I2988"/>
      <c r="J2988"/>
      <c r="K2988"/>
      <c r="L2988"/>
      <c r="M2988"/>
      <c r="N2988"/>
    </row>
    <row r="2989" spans="2:14" x14ac:dyDescent="0.35">
      <c r="B2989"/>
      <c r="C2989"/>
      <c r="D2989"/>
      <c r="E2989"/>
      <c r="F2989"/>
      <c r="G2989"/>
      <c r="H2989"/>
      <c r="I2989"/>
      <c r="J2989"/>
      <c r="K2989"/>
      <c r="L2989"/>
      <c r="M2989"/>
      <c r="N2989"/>
    </row>
    <row r="2990" spans="2:14" x14ac:dyDescent="0.35">
      <c r="B2990"/>
      <c r="C2990"/>
      <c r="D2990"/>
      <c r="E2990"/>
      <c r="F2990"/>
      <c r="G2990"/>
      <c r="H2990"/>
      <c r="I2990"/>
      <c r="J2990"/>
      <c r="K2990"/>
      <c r="L2990"/>
      <c r="M2990"/>
      <c r="N2990"/>
    </row>
    <row r="2991" spans="2:14" x14ac:dyDescent="0.35">
      <c r="B2991"/>
      <c r="C2991"/>
      <c r="D2991"/>
      <c r="E2991"/>
      <c r="F2991"/>
      <c r="G2991"/>
      <c r="H2991"/>
      <c r="I2991"/>
      <c r="J2991"/>
      <c r="K2991"/>
      <c r="L2991"/>
      <c r="M2991"/>
      <c r="N2991"/>
    </row>
    <row r="2992" spans="2:14" x14ac:dyDescent="0.35">
      <c r="B2992"/>
      <c r="C2992"/>
      <c r="D2992"/>
      <c r="E2992"/>
      <c r="F2992"/>
      <c r="G2992"/>
      <c r="H2992"/>
      <c r="I2992"/>
      <c r="J2992"/>
      <c r="K2992"/>
      <c r="L2992"/>
      <c r="M2992"/>
      <c r="N2992"/>
    </row>
    <row r="2993" spans="2:14" x14ac:dyDescent="0.35">
      <c r="B2993"/>
      <c r="C2993"/>
      <c r="D2993"/>
      <c r="E2993"/>
      <c r="F2993"/>
      <c r="G2993"/>
      <c r="H2993"/>
      <c r="I2993"/>
      <c r="J2993"/>
      <c r="K2993"/>
      <c r="L2993"/>
      <c r="M2993"/>
      <c r="N2993"/>
    </row>
    <row r="2994" spans="2:14" x14ac:dyDescent="0.35">
      <c r="B2994"/>
      <c r="C2994"/>
      <c r="D2994"/>
      <c r="E2994"/>
      <c r="F2994"/>
      <c r="G2994"/>
      <c r="H2994"/>
      <c r="I2994"/>
      <c r="J2994"/>
      <c r="K2994"/>
      <c r="L2994"/>
      <c r="M2994"/>
      <c r="N2994"/>
    </row>
    <row r="2995" spans="2:14" x14ac:dyDescent="0.35">
      <c r="B2995"/>
      <c r="C2995"/>
      <c r="D2995"/>
      <c r="E2995"/>
      <c r="F2995"/>
      <c r="G2995"/>
      <c r="H2995"/>
      <c r="I2995"/>
      <c r="J2995"/>
      <c r="K2995"/>
      <c r="L2995"/>
      <c r="M2995"/>
      <c r="N2995"/>
    </row>
    <row r="2996" spans="2:14" x14ac:dyDescent="0.35">
      <c r="B2996"/>
      <c r="C2996"/>
      <c r="D2996"/>
      <c r="E2996"/>
      <c r="F2996"/>
      <c r="G2996"/>
      <c r="H2996"/>
      <c r="I2996"/>
      <c r="J2996"/>
      <c r="K2996"/>
      <c r="L2996"/>
      <c r="M2996"/>
      <c r="N2996"/>
    </row>
    <row r="2997" spans="2:14" x14ac:dyDescent="0.35">
      <c r="B2997"/>
      <c r="C2997"/>
      <c r="D2997"/>
      <c r="E2997"/>
      <c r="F2997"/>
      <c r="G2997"/>
      <c r="H2997"/>
      <c r="I2997"/>
      <c r="J2997"/>
      <c r="K2997"/>
      <c r="L2997"/>
      <c r="M2997"/>
      <c r="N2997"/>
    </row>
    <row r="2998" spans="2:14" x14ac:dyDescent="0.35">
      <c r="B2998"/>
      <c r="C2998"/>
      <c r="D2998"/>
      <c r="E2998"/>
      <c r="F2998"/>
      <c r="G2998"/>
      <c r="H2998"/>
      <c r="I2998"/>
      <c r="J2998"/>
      <c r="K2998"/>
      <c r="L2998"/>
      <c r="M2998"/>
      <c r="N2998"/>
    </row>
    <row r="2999" spans="2:14" x14ac:dyDescent="0.35">
      <c r="B2999"/>
      <c r="C2999"/>
      <c r="D2999"/>
      <c r="E2999"/>
      <c r="F2999"/>
      <c r="G2999"/>
      <c r="H2999"/>
      <c r="I2999"/>
      <c r="J2999"/>
      <c r="K2999"/>
      <c r="L2999"/>
      <c r="M2999"/>
      <c r="N2999"/>
    </row>
    <row r="3000" spans="2:14" x14ac:dyDescent="0.35">
      <c r="B3000"/>
      <c r="C3000"/>
      <c r="D3000"/>
      <c r="E3000"/>
      <c r="F3000"/>
      <c r="G3000"/>
      <c r="H3000"/>
      <c r="I3000"/>
      <c r="J3000"/>
      <c r="K3000"/>
      <c r="L3000"/>
      <c r="M3000"/>
      <c r="N3000"/>
    </row>
    <row r="3001" spans="2:14" x14ac:dyDescent="0.35">
      <c r="B3001"/>
      <c r="C3001"/>
      <c r="D3001"/>
      <c r="E3001"/>
      <c r="F3001"/>
      <c r="G3001"/>
      <c r="H3001"/>
      <c r="I3001"/>
      <c r="J3001"/>
      <c r="K3001"/>
      <c r="L3001"/>
      <c r="M3001"/>
      <c r="N3001"/>
    </row>
    <row r="3002" spans="2:14" x14ac:dyDescent="0.35">
      <c r="B3002"/>
      <c r="C3002"/>
      <c r="D3002"/>
      <c r="E3002"/>
      <c r="F3002"/>
      <c r="G3002"/>
      <c r="H3002"/>
      <c r="I3002"/>
      <c r="J3002"/>
      <c r="K3002"/>
      <c r="L3002"/>
      <c r="M3002"/>
      <c r="N3002"/>
    </row>
    <row r="3003" spans="2:14" x14ac:dyDescent="0.35">
      <c r="B3003"/>
      <c r="C3003"/>
      <c r="D3003"/>
      <c r="E3003"/>
      <c r="F3003"/>
      <c r="G3003"/>
      <c r="H3003"/>
      <c r="I3003"/>
      <c r="J3003"/>
      <c r="K3003"/>
      <c r="L3003"/>
      <c r="M3003"/>
      <c r="N3003"/>
    </row>
    <row r="3004" spans="2:14" x14ac:dyDescent="0.35">
      <c r="B3004"/>
      <c r="C3004"/>
      <c r="D3004"/>
      <c r="E3004"/>
      <c r="F3004"/>
      <c r="G3004"/>
      <c r="H3004"/>
      <c r="I3004"/>
      <c r="J3004"/>
      <c r="K3004"/>
      <c r="L3004"/>
      <c r="M3004"/>
      <c r="N3004"/>
    </row>
    <row r="3005" spans="2:14" x14ac:dyDescent="0.35">
      <c r="B3005"/>
      <c r="C3005"/>
      <c r="D3005"/>
      <c r="E3005"/>
      <c r="F3005"/>
      <c r="G3005"/>
      <c r="H3005"/>
      <c r="I3005"/>
      <c r="J3005"/>
      <c r="K3005"/>
      <c r="L3005"/>
      <c r="M3005"/>
      <c r="N3005"/>
    </row>
    <row r="3006" spans="2:14" x14ac:dyDescent="0.35">
      <c r="B3006"/>
      <c r="C3006"/>
      <c r="D3006"/>
      <c r="E3006"/>
      <c r="F3006"/>
      <c r="G3006"/>
      <c r="H3006"/>
      <c r="I3006"/>
      <c r="J3006"/>
      <c r="K3006"/>
      <c r="L3006"/>
      <c r="M3006"/>
      <c r="N3006"/>
    </row>
    <row r="3007" spans="2:14" x14ac:dyDescent="0.35">
      <c r="B3007"/>
      <c r="C3007"/>
      <c r="D3007"/>
      <c r="E3007"/>
      <c r="F3007"/>
      <c r="G3007"/>
      <c r="H3007"/>
      <c r="I3007"/>
      <c r="J3007"/>
      <c r="K3007"/>
      <c r="L3007"/>
      <c r="M3007"/>
      <c r="N3007"/>
    </row>
    <row r="3008" spans="2:14" x14ac:dyDescent="0.35">
      <c r="B3008"/>
      <c r="C3008"/>
      <c r="D3008"/>
      <c r="E3008"/>
      <c r="F3008"/>
      <c r="G3008"/>
      <c r="H3008"/>
      <c r="I3008"/>
      <c r="J3008"/>
      <c r="K3008"/>
      <c r="L3008"/>
      <c r="M3008"/>
      <c r="N3008"/>
    </row>
    <row r="3009" spans="2:14" x14ac:dyDescent="0.35">
      <c r="B3009"/>
      <c r="C3009"/>
      <c r="D3009"/>
      <c r="E3009"/>
      <c r="F3009"/>
      <c r="G3009"/>
      <c r="H3009"/>
      <c r="I3009"/>
      <c r="J3009"/>
      <c r="K3009"/>
      <c r="L3009"/>
      <c r="M3009"/>
      <c r="N3009"/>
    </row>
    <row r="3010" spans="2:14" x14ac:dyDescent="0.35">
      <c r="B3010"/>
      <c r="C3010"/>
      <c r="D3010"/>
      <c r="E3010"/>
      <c r="F3010"/>
      <c r="G3010"/>
      <c r="H3010"/>
      <c r="I3010"/>
      <c r="J3010"/>
      <c r="K3010"/>
      <c r="L3010"/>
      <c r="M3010"/>
      <c r="N3010"/>
    </row>
    <row r="3011" spans="2:14" x14ac:dyDescent="0.35">
      <c r="B3011"/>
      <c r="C3011"/>
      <c r="D3011"/>
      <c r="E3011"/>
      <c r="F3011"/>
      <c r="G3011"/>
      <c r="H3011"/>
      <c r="I3011"/>
      <c r="J3011"/>
      <c r="K3011"/>
      <c r="L3011"/>
      <c r="M3011"/>
      <c r="N3011"/>
    </row>
    <row r="3012" spans="2:14" x14ac:dyDescent="0.35">
      <c r="B3012"/>
      <c r="C3012"/>
      <c r="D3012"/>
      <c r="E3012"/>
      <c r="F3012"/>
      <c r="G3012"/>
      <c r="H3012"/>
      <c r="I3012"/>
      <c r="J3012"/>
      <c r="K3012"/>
      <c r="L3012"/>
      <c r="M3012"/>
      <c r="N3012"/>
    </row>
  </sheetData>
  <mergeCells count="1">
    <mergeCell ref="A1:Q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C2361-15A1-4877-BC5C-32169D0D04D5}">
  <sheetPr codeName="Sheet18"/>
  <dimension ref="A1:AD3193"/>
  <sheetViews>
    <sheetView showGridLines="0" topLeftCell="A938" workbookViewId="0">
      <selection activeCell="D6" sqref="D6"/>
    </sheetView>
  </sheetViews>
  <sheetFormatPr defaultRowHeight="14.5" x14ac:dyDescent="0.35"/>
  <cols>
    <col min="2" max="2" width="23.54296875" bestFit="1" customWidth="1"/>
    <col min="3" max="3" width="18.54296875" bestFit="1" customWidth="1"/>
    <col min="4" max="11" width="9.1796875" style="6"/>
  </cols>
  <sheetData>
    <row r="1" spans="1:18" ht="15" customHeight="1" x14ac:dyDescent="0.35">
      <c r="A1" s="41" t="s">
        <v>21</v>
      </c>
      <c r="B1" s="41"/>
      <c r="C1" s="41"/>
      <c r="D1" s="41"/>
      <c r="E1" s="41"/>
      <c r="F1" s="41"/>
      <c r="G1" s="41"/>
      <c r="H1" s="41"/>
      <c r="I1" s="41"/>
      <c r="J1" s="41"/>
      <c r="K1" s="41"/>
    </row>
    <row r="2" spans="1:18" ht="15" customHeight="1" x14ac:dyDescent="0.35">
      <c r="A2" s="41"/>
      <c r="B2" s="41"/>
      <c r="C2" s="41"/>
      <c r="D2" s="41"/>
      <c r="E2" s="41"/>
      <c r="F2" s="41"/>
      <c r="G2" s="41"/>
      <c r="H2" s="41"/>
      <c r="I2" s="41"/>
      <c r="J2" s="41"/>
      <c r="K2" s="41"/>
    </row>
    <row r="3" spans="1:18" ht="15" customHeight="1" x14ac:dyDescent="0.35">
      <c r="A3" s="41"/>
      <c r="B3" s="41"/>
      <c r="C3" s="41"/>
      <c r="D3" s="41"/>
      <c r="E3" s="41"/>
      <c r="F3" s="41"/>
      <c r="G3" s="41"/>
      <c r="H3" s="41"/>
      <c r="I3" s="41"/>
      <c r="J3" s="41"/>
      <c r="K3" s="41"/>
    </row>
    <row r="4" spans="1:18" x14ac:dyDescent="0.35">
      <c r="D4"/>
      <c r="E4"/>
      <c r="F4"/>
      <c r="G4"/>
      <c r="H4"/>
      <c r="I4"/>
      <c r="J4"/>
      <c r="K4"/>
    </row>
    <row r="5" spans="1:18" x14ac:dyDescent="0.35">
      <c r="A5" s="15">
        <f>COUNTA(A6:A9660)+5</f>
        <v>957</v>
      </c>
      <c r="B5" s="9" t="s">
        <v>16</v>
      </c>
      <c r="D5"/>
      <c r="E5"/>
      <c r="F5"/>
      <c r="G5"/>
      <c r="H5"/>
      <c r="I5"/>
      <c r="J5"/>
      <c r="K5"/>
    </row>
    <row r="6" spans="1:18" x14ac:dyDescent="0.35">
      <c r="A6" s="16" t="s">
        <v>13</v>
      </c>
      <c r="B6" s="5" t="s">
        <v>14</v>
      </c>
      <c r="C6" s="5" t="s">
        <v>15</v>
      </c>
      <c r="D6" s="5">
        <v>2021</v>
      </c>
      <c r="E6" s="5">
        <f>D6+1</f>
        <v>2022</v>
      </c>
      <c r="F6" s="5">
        <f t="shared" ref="F6" si="0">E6+1</f>
        <v>2023</v>
      </c>
      <c r="G6" s="5">
        <f t="shared" ref="G6" si="1">F6+1</f>
        <v>2024</v>
      </c>
      <c r="H6" s="5">
        <f t="shared" ref="H6" si="2">G6+1</f>
        <v>2025</v>
      </c>
      <c r="I6" s="5">
        <f t="shared" ref="I6" si="3">H6+1</f>
        <v>2026</v>
      </c>
      <c r="J6" s="5">
        <f t="shared" ref="J6" si="4">I6+1</f>
        <v>2027</v>
      </c>
      <c r="K6" s="5">
        <f t="shared" ref="K6" si="5">J6+1</f>
        <v>2028</v>
      </c>
      <c r="L6" s="5">
        <f t="shared" ref="L6" si="6">K6+1</f>
        <v>2029</v>
      </c>
      <c r="M6" s="5">
        <f t="shared" ref="M6" si="7">L6+1</f>
        <v>2030</v>
      </c>
      <c r="N6" s="5">
        <f t="shared" ref="N6" si="8">M6+1</f>
        <v>2031</v>
      </c>
      <c r="O6" s="5">
        <f t="shared" ref="O6" si="9">N6+1</f>
        <v>2032</v>
      </c>
      <c r="P6" s="5">
        <f t="shared" ref="P6" si="10">O6+1</f>
        <v>2033</v>
      </c>
    </row>
    <row r="7" spans="1:18" x14ac:dyDescent="0.35">
      <c r="A7" s="17" t="s">
        <v>20</v>
      </c>
      <c r="B7" s="35" t="s">
        <v>24</v>
      </c>
      <c r="C7" s="36" t="s">
        <v>25</v>
      </c>
      <c r="D7" s="24">
        <v>1960.8530599557987</v>
      </c>
      <c r="E7" s="24">
        <v>2059.7821116315154</v>
      </c>
      <c r="F7" s="24">
        <v>2168.1621663729738</v>
      </c>
      <c r="G7" s="24">
        <v>2284.4461754334993</v>
      </c>
      <c r="H7" s="24">
        <v>2409.3623523191936</v>
      </c>
      <c r="I7" s="24">
        <v>2544.6013364174846</v>
      </c>
      <c r="J7" s="24">
        <v>2689.7785785442265</v>
      </c>
      <c r="K7" s="24">
        <v>2848.2370088858961</v>
      </c>
      <c r="L7" s="24">
        <v>3020.0817085835101</v>
      </c>
      <c r="M7" s="24">
        <v>3206.7655345051539</v>
      </c>
      <c r="N7" s="24">
        <v>3410.382116187262</v>
      </c>
      <c r="O7" s="24">
        <v>3632.24371524863</v>
      </c>
      <c r="P7" s="24">
        <v>3875.0739803746592</v>
      </c>
    </row>
    <row r="8" spans="1:18" x14ac:dyDescent="0.35">
      <c r="A8" s="17" t="s">
        <v>20</v>
      </c>
      <c r="B8" s="35" t="s">
        <v>24</v>
      </c>
      <c r="C8" s="36" t="s">
        <v>26</v>
      </c>
      <c r="D8" s="24">
        <v>18967.076336197366</v>
      </c>
      <c r="E8" s="24">
        <v>20092.648622320346</v>
      </c>
      <c r="F8" s="24">
        <v>21329.966914902478</v>
      </c>
      <c r="G8" s="24">
        <v>22660.271982562972</v>
      </c>
      <c r="H8" s="24">
        <v>24096.203084220804</v>
      </c>
      <c r="I8" s="24">
        <v>25648.861655254663</v>
      </c>
      <c r="J8" s="24">
        <v>27326.586149581217</v>
      </c>
      <c r="K8" s="24">
        <v>29155.263611634404</v>
      </c>
      <c r="L8" s="24">
        <v>31145.853966255134</v>
      </c>
      <c r="M8" s="24">
        <v>33312.909090700319</v>
      </c>
      <c r="N8" s="24">
        <v>35678.005242163155</v>
      </c>
      <c r="O8" s="24">
        <v>38257.922481261994</v>
      </c>
      <c r="P8" s="24">
        <v>41087.366854820444</v>
      </c>
      <c r="Q8" s="21"/>
      <c r="R8" s="21"/>
    </row>
    <row r="9" spans="1:18" x14ac:dyDescent="0.35">
      <c r="A9" s="17" t="s">
        <v>20</v>
      </c>
      <c r="B9" s="35" t="s">
        <v>27</v>
      </c>
      <c r="C9" s="36" t="s">
        <v>28</v>
      </c>
      <c r="D9" s="24">
        <v>7152.7062948859093</v>
      </c>
      <c r="E9" s="24">
        <v>7515.8685522985134</v>
      </c>
      <c r="F9" s="24">
        <v>7918.1543436963157</v>
      </c>
      <c r="G9" s="24">
        <v>8345.2830110355044</v>
      </c>
      <c r="H9" s="24">
        <v>8802.3524062614433</v>
      </c>
      <c r="I9" s="24">
        <v>9288.8027694520297</v>
      </c>
      <c r="J9" s="24">
        <v>9807.226181951728</v>
      </c>
      <c r="K9" s="24">
        <v>10364.772850077823</v>
      </c>
      <c r="L9" s="24">
        <v>10963.104055904281</v>
      </c>
      <c r="M9" s="24">
        <v>11605.831974007386</v>
      </c>
      <c r="N9" s="24">
        <v>12295.544585315052</v>
      </c>
      <c r="O9" s="24">
        <v>13035.601530372976</v>
      </c>
      <c r="P9" s="24">
        <v>13833.309416945534</v>
      </c>
      <c r="Q9" s="21"/>
      <c r="R9" s="21"/>
    </row>
    <row r="10" spans="1:18" x14ac:dyDescent="0.35">
      <c r="A10" s="17" t="s">
        <v>20</v>
      </c>
      <c r="B10" s="35" t="s">
        <v>27</v>
      </c>
      <c r="C10" s="36" t="s">
        <v>29</v>
      </c>
      <c r="D10" s="24">
        <v>4510.066629586272</v>
      </c>
      <c r="E10" s="24">
        <v>4810.3670475844492</v>
      </c>
      <c r="F10" s="24">
        <v>5139.0634791909033</v>
      </c>
      <c r="G10" s="24">
        <v>5495.0964115004044</v>
      </c>
      <c r="H10" s="24">
        <v>5881.34977977982</v>
      </c>
      <c r="I10" s="24">
        <v>6302.325492355435</v>
      </c>
      <c r="J10" s="24">
        <v>6759.7775679032738</v>
      </c>
      <c r="K10" s="24">
        <v>7260.9841018026091</v>
      </c>
      <c r="L10" s="24">
        <v>7810.1954335635928</v>
      </c>
      <c r="M10" s="24">
        <v>8412.2017704803638</v>
      </c>
      <c r="N10" s="24">
        <v>9073.7112846332602</v>
      </c>
      <c r="O10" s="24">
        <v>9799.6490354811176</v>
      </c>
      <c r="P10" s="24">
        <v>10600.726640661534</v>
      </c>
      <c r="Q10" s="21"/>
      <c r="R10" s="21"/>
    </row>
    <row r="11" spans="1:18" x14ac:dyDescent="0.35">
      <c r="A11" s="17" t="s">
        <v>20</v>
      </c>
      <c r="B11" s="35" t="s">
        <v>27</v>
      </c>
      <c r="C11" s="36" t="s">
        <v>30</v>
      </c>
      <c r="D11" s="24">
        <v>3637.9798848389814</v>
      </c>
      <c r="E11" s="24">
        <v>3898.0214732381551</v>
      </c>
      <c r="F11" s="24">
        <v>4183.6338907560403</v>
      </c>
      <c r="G11" s="24">
        <v>4494.0644303937243</v>
      </c>
      <c r="H11" s="24">
        <v>4831.7621777765062</v>
      </c>
      <c r="I11" s="24">
        <v>5201.1555718327418</v>
      </c>
      <c r="J11" s="24">
        <v>5604.0994461667869</v>
      </c>
      <c r="K11" s="24">
        <v>6046.7395576073659</v>
      </c>
      <c r="L11" s="24">
        <v>6533.6544259734319</v>
      </c>
      <c r="M11" s="24">
        <v>7069.0397040988846</v>
      </c>
      <c r="N11" s="24">
        <v>7659.5177329216358</v>
      </c>
      <c r="O11" s="24">
        <v>8310.1838580949789</v>
      </c>
      <c r="P11" s="24">
        <v>9031.0942921250789</v>
      </c>
      <c r="Q11" s="21"/>
      <c r="R11" s="21"/>
    </row>
    <row r="12" spans="1:18" x14ac:dyDescent="0.35">
      <c r="A12" s="17" t="s">
        <v>20</v>
      </c>
      <c r="B12" s="35" t="s">
        <v>27</v>
      </c>
      <c r="C12" s="36" t="s">
        <v>31</v>
      </c>
      <c r="D12" s="24">
        <v>2749.6289992465154</v>
      </c>
      <c r="E12" s="24">
        <v>2913.8789434499022</v>
      </c>
      <c r="F12" s="24">
        <v>3094.099997374155</v>
      </c>
      <c r="G12" s="24">
        <v>3287.9975310922559</v>
      </c>
      <c r="H12" s="24">
        <v>3497.3572546348578</v>
      </c>
      <c r="I12" s="24">
        <v>3724.677886521099</v>
      </c>
      <c r="J12" s="24">
        <v>3971.4036243286232</v>
      </c>
      <c r="K12" s="24">
        <v>4242.3430729579941</v>
      </c>
      <c r="L12" s="24">
        <v>4537.575101358515</v>
      </c>
      <c r="M12" s="24">
        <v>4859.3199543477131</v>
      </c>
      <c r="N12" s="24">
        <v>5212.3508080319352</v>
      </c>
      <c r="O12" s="24">
        <v>5599.5717249723621</v>
      </c>
      <c r="P12" s="24">
        <v>6026.6181406133801</v>
      </c>
      <c r="Q12" s="21"/>
      <c r="R12" s="21"/>
    </row>
    <row r="13" spans="1:18" x14ac:dyDescent="0.35">
      <c r="A13" s="17" t="s">
        <v>20</v>
      </c>
      <c r="B13" s="35" t="s">
        <v>27</v>
      </c>
      <c r="C13" s="36" t="s">
        <v>32</v>
      </c>
      <c r="D13" s="24">
        <v>1778.1332939811532</v>
      </c>
      <c r="E13" s="24">
        <v>1855.328303537168</v>
      </c>
      <c r="F13" s="24">
        <v>1938.7030285404878</v>
      </c>
      <c r="G13" s="24">
        <v>2027.3874811449305</v>
      </c>
      <c r="H13" s="24">
        <v>2122.0890912672066</v>
      </c>
      <c r="I13" s="24">
        <v>2223.8104509242103</v>
      </c>
      <c r="J13" s="24">
        <v>2332.6154997227204</v>
      </c>
      <c r="K13" s="24">
        <v>2450.7313373813126</v>
      </c>
      <c r="L13" s="24">
        <v>2578.4502921181929</v>
      </c>
      <c r="M13" s="24">
        <v>2716.1409978709348</v>
      </c>
      <c r="N13" s="24">
        <v>2865.6593264428175</v>
      </c>
      <c r="O13" s="24">
        <v>3027.524299852862</v>
      </c>
      <c r="P13" s="24">
        <v>3203.6662006898014</v>
      </c>
      <c r="Q13" s="21"/>
      <c r="R13" s="21"/>
    </row>
    <row r="14" spans="1:18" x14ac:dyDescent="0.35">
      <c r="A14" s="17" t="s">
        <v>20</v>
      </c>
      <c r="B14" s="35" t="s">
        <v>27</v>
      </c>
      <c r="C14" s="36" t="s">
        <v>33</v>
      </c>
      <c r="D14" s="24">
        <v>1099.4142936143344</v>
      </c>
      <c r="E14" s="24">
        <v>1158.9664138436717</v>
      </c>
      <c r="F14" s="24">
        <v>1224.4743417175519</v>
      </c>
      <c r="G14" s="24">
        <v>1294.8892928296498</v>
      </c>
      <c r="H14" s="24">
        <v>1370.6547268201662</v>
      </c>
      <c r="I14" s="24">
        <v>1452.6908205866314</v>
      </c>
      <c r="J14" s="24">
        <v>1541.2424080523115</v>
      </c>
      <c r="K14" s="24">
        <v>1637.9297006931904</v>
      </c>
      <c r="L14" s="24">
        <v>1742.9563659206319</v>
      </c>
      <c r="M14" s="24">
        <v>1857.1402244001936</v>
      </c>
      <c r="N14" s="24">
        <v>1981.6036210057164</v>
      </c>
      <c r="O14" s="24">
        <v>2117.6357477363204</v>
      </c>
      <c r="P14" s="24">
        <v>2267.0261441597663</v>
      </c>
      <c r="Q14" s="21"/>
      <c r="R14" s="21"/>
    </row>
    <row r="15" spans="1:18" x14ac:dyDescent="0.35">
      <c r="A15" s="17" t="s">
        <v>20</v>
      </c>
      <c r="B15" s="35" t="s">
        <v>34</v>
      </c>
      <c r="C15" s="36" t="s">
        <v>35</v>
      </c>
      <c r="D15" s="24">
        <v>7045.1952164498962</v>
      </c>
      <c r="E15" s="24">
        <v>7405.3159187939182</v>
      </c>
      <c r="F15" s="24">
        <v>7799.5431660069717</v>
      </c>
      <c r="G15" s="24">
        <v>8217.4170071841072</v>
      </c>
      <c r="H15" s="24">
        <v>8664.658749321532</v>
      </c>
      <c r="I15" s="24">
        <v>9140.0277323039591</v>
      </c>
      <c r="J15" s="24">
        <v>9647.3759348007006</v>
      </c>
      <c r="K15" s="24">
        <v>10191.630932727969</v>
      </c>
      <c r="L15" s="24">
        <v>10777.499158377668</v>
      </c>
      <c r="M15" s="24">
        <v>11407.263448189256</v>
      </c>
      <c r="N15" s="24">
        <v>12085.85331194289</v>
      </c>
      <c r="O15" s="24">
        <v>12811.683888119207</v>
      </c>
      <c r="P15" s="24">
        <v>13593.575927403521</v>
      </c>
      <c r="Q15" s="21"/>
      <c r="R15" s="21"/>
    </row>
    <row r="16" spans="1:18" x14ac:dyDescent="0.35">
      <c r="A16" s="17" t="s">
        <v>20</v>
      </c>
      <c r="B16" s="35" t="s">
        <v>34</v>
      </c>
      <c r="C16" s="36" t="s">
        <v>36</v>
      </c>
      <c r="D16" s="24">
        <v>7330.9063405950656</v>
      </c>
      <c r="E16" s="24">
        <v>7819.1266445930287</v>
      </c>
      <c r="F16" s="24">
        <v>8357.1594116545202</v>
      </c>
      <c r="G16" s="24">
        <v>8939.9817622341652</v>
      </c>
      <c r="H16" s="24">
        <v>9572.420197201347</v>
      </c>
      <c r="I16" s="24">
        <v>10261.503923803308</v>
      </c>
      <c r="J16" s="24">
        <v>11010.662410920484</v>
      </c>
      <c r="K16" s="24">
        <v>11832.239612597503</v>
      </c>
      <c r="L16" s="24">
        <v>12732.00687363922</v>
      </c>
      <c r="M16" s="24">
        <v>13717.225612453014</v>
      </c>
      <c r="N16" s="24">
        <v>14798.123140795891</v>
      </c>
      <c r="O16" s="24">
        <v>15986.282022576666</v>
      </c>
      <c r="P16" s="24">
        <v>17298.370049671557</v>
      </c>
      <c r="Q16" s="14"/>
      <c r="R16" s="14"/>
    </row>
    <row r="17" spans="1:18" x14ac:dyDescent="0.35">
      <c r="A17" s="17" t="s">
        <v>20</v>
      </c>
      <c r="B17" s="35" t="s">
        <v>34</v>
      </c>
      <c r="C17" s="36" t="s">
        <v>37</v>
      </c>
      <c r="D17" s="24">
        <v>4614.4752786484269</v>
      </c>
      <c r="E17" s="24">
        <v>4888.6988372616324</v>
      </c>
      <c r="F17" s="24">
        <v>5189.9490417885609</v>
      </c>
      <c r="G17" s="24">
        <v>5515.2662784001577</v>
      </c>
      <c r="H17" s="24">
        <v>5866.7033078017967</v>
      </c>
      <c r="I17" s="24">
        <v>6249.5216814690721</v>
      </c>
      <c r="J17" s="24">
        <v>6664.2257627039135</v>
      </c>
      <c r="K17" s="24">
        <v>7119.4350391824246</v>
      </c>
      <c r="L17" s="24">
        <v>7616.0207845822661</v>
      </c>
      <c r="M17" s="24">
        <v>8158.4205622063173</v>
      </c>
      <c r="N17" s="24">
        <v>8753.4012078091509</v>
      </c>
      <c r="O17" s="24">
        <v>9407.0037111437468</v>
      </c>
      <c r="P17" s="24">
        <v>10127.857322869</v>
      </c>
      <c r="Q17" s="14"/>
      <c r="R17" s="14"/>
    </row>
    <row r="18" spans="1:18" x14ac:dyDescent="0.35">
      <c r="A18" s="17" t="s">
        <v>20</v>
      </c>
      <c r="B18" s="35" t="s">
        <v>34</v>
      </c>
      <c r="C18" s="36" t="s">
        <v>38</v>
      </c>
      <c r="D18" s="24">
        <v>1937.3525604597748</v>
      </c>
      <c r="E18" s="24">
        <v>2039.2893333032789</v>
      </c>
      <c r="F18" s="24">
        <v>2151.4774618253987</v>
      </c>
      <c r="G18" s="24">
        <v>2272.0531101780421</v>
      </c>
      <c r="H18" s="24">
        <v>2401.7831822153266</v>
      </c>
      <c r="I18" s="24">
        <v>2542.4096540958103</v>
      </c>
      <c r="J18" s="24">
        <v>2694.1006197003453</v>
      </c>
      <c r="K18" s="24">
        <v>2860.1950360123992</v>
      </c>
      <c r="L18" s="24">
        <v>3040.4088582394879</v>
      </c>
      <c r="M18" s="24">
        <v>3236.7650023568872</v>
      </c>
      <c r="N18" s="24">
        <v>3451.0096978024881</v>
      </c>
      <c r="O18" s="24">
        <v>3685.1965746709975</v>
      </c>
      <c r="P18" s="24">
        <v>3942.6375352510204</v>
      </c>
      <c r="Q18" s="14"/>
      <c r="R18" s="14"/>
    </row>
    <row r="19" spans="1:18" x14ac:dyDescent="0.35">
      <c r="A19" s="17" t="s">
        <v>20</v>
      </c>
      <c r="B19" s="35" t="s">
        <v>22</v>
      </c>
      <c r="C19" s="36" t="s">
        <v>39</v>
      </c>
      <c r="D19" s="24">
        <v>5416.3542986608982</v>
      </c>
      <c r="E19" s="24">
        <v>5754.6646214040493</v>
      </c>
      <c r="F19" s="24">
        <v>6132.6917636985754</v>
      </c>
      <c r="G19" s="24">
        <v>6537.9363551061333</v>
      </c>
      <c r="H19" s="24">
        <v>6975.8396792164422</v>
      </c>
      <c r="I19" s="24">
        <v>7445.2547582641255</v>
      </c>
      <c r="J19" s="24">
        <v>7951.0759081909546</v>
      </c>
      <c r="K19" s="24">
        <v>8497.5836930999976</v>
      </c>
      <c r="L19" s="24">
        <v>9089.2408234787636</v>
      </c>
      <c r="M19" s="24">
        <v>9731.7465499212049</v>
      </c>
      <c r="N19" s="24">
        <v>10426.873957446704</v>
      </c>
      <c r="O19" s="24">
        <v>11177.699468917534</v>
      </c>
      <c r="P19" s="24">
        <v>11994.867862449124</v>
      </c>
      <c r="Q19" s="14"/>
      <c r="R19" s="14"/>
    </row>
    <row r="20" spans="1:18" x14ac:dyDescent="0.35">
      <c r="A20" s="17" t="s">
        <v>20</v>
      </c>
      <c r="B20" s="35" t="s">
        <v>22</v>
      </c>
      <c r="C20" s="36" t="s">
        <v>40</v>
      </c>
      <c r="D20" s="24">
        <v>5429.5673168173489</v>
      </c>
      <c r="E20" s="24">
        <v>5723.9389694147249</v>
      </c>
      <c r="F20" s="24">
        <v>6044.0314205042432</v>
      </c>
      <c r="G20" s="24">
        <v>6387.5770890694021</v>
      </c>
      <c r="H20" s="24">
        <v>6756.7812417893583</v>
      </c>
      <c r="I20" s="24">
        <v>7156.1266321835301</v>
      </c>
      <c r="J20" s="24">
        <v>7586.6770491993548</v>
      </c>
      <c r="K20" s="24">
        <v>8055.2105904177342</v>
      </c>
      <c r="L20" s="24">
        <v>8565.0199365721619</v>
      </c>
      <c r="M20" s="24">
        <v>9118.4582521808243</v>
      </c>
      <c r="N20" s="24">
        <v>9721.986911781798</v>
      </c>
      <c r="O20" s="24">
        <v>10379.990387832686</v>
      </c>
      <c r="P20" s="24">
        <v>11101.01754907555</v>
      </c>
      <c r="Q20" s="14"/>
      <c r="R20" s="14"/>
    </row>
    <row r="21" spans="1:18" x14ac:dyDescent="0.35">
      <c r="A21" s="17" t="s">
        <v>20</v>
      </c>
      <c r="B21" s="35" t="s">
        <v>22</v>
      </c>
      <c r="C21" s="36" t="s">
        <v>41</v>
      </c>
      <c r="D21" s="24">
        <v>3974.1821239699871</v>
      </c>
      <c r="E21" s="24">
        <v>4161.4004436787936</v>
      </c>
      <c r="F21" s="24">
        <v>4364.4823095160755</v>
      </c>
      <c r="G21" s="24">
        <v>4580.7554366581508</v>
      </c>
      <c r="H21" s="24">
        <v>4812.4076478131856</v>
      </c>
      <c r="I21" s="24">
        <v>5061.528080189777</v>
      </c>
      <c r="J21" s="24">
        <v>5328.7329308691205</v>
      </c>
      <c r="K21" s="24">
        <v>5619.3093085614937</v>
      </c>
      <c r="L21" s="24">
        <v>5933.8492154980659</v>
      </c>
      <c r="M21" s="24">
        <v>6273.5561992350204</v>
      </c>
      <c r="N21" s="24">
        <v>6643.1913715210485</v>
      </c>
      <c r="O21" s="24">
        <v>7043.6821787608369</v>
      </c>
      <c r="P21" s="24">
        <v>7480.3884954136302</v>
      </c>
      <c r="Q21" s="14"/>
      <c r="R21" s="14"/>
    </row>
    <row r="22" spans="1:18" x14ac:dyDescent="0.35">
      <c r="A22" s="17" t="s">
        <v>20</v>
      </c>
      <c r="B22" s="35" t="s">
        <v>22</v>
      </c>
      <c r="C22" s="36" t="s">
        <v>42</v>
      </c>
      <c r="D22" s="24">
        <v>6107.8256567049293</v>
      </c>
      <c r="E22" s="24">
        <v>6512.4266994542913</v>
      </c>
      <c r="F22" s="24">
        <v>6956.9235875565582</v>
      </c>
      <c r="G22" s="24">
        <v>7438.4492771627847</v>
      </c>
      <c r="H22" s="24">
        <v>7960.5368677210154</v>
      </c>
      <c r="I22" s="24">
        <v>8530.5535210347171</v>
      </c>
      <c r="J22" s="24">
        <v>9149.8788398660145</v>
      </c>
      <c r="K22" s="24">
        <v>9831.3970284410716</v>
      </c>
      <c r="L22" s="24">
        <v>10577.825699289657</v>
      </c>
      <c r="M22" s="24">
        <v>11395.913623868426</v>
      </c>
      <c r="N22" s="24">
        <v>12296.335117600869</v>
      </c>
      <c r="O22" s="24">
        <v>13288.794160999561</v>
      </c>
      <c r="P22" s="24">
        <v>14386.166928256793</v>
      </c>
      <c r="Q22" s="14"/>
      <c r="R22" s="14"/>
    </row>
    <row r="23" spans="1:18" x14ac:dyDescent="0.35">
      <c r="A23" s="17" t="s">
        <v>20</v>
      </c>
      <c r="B23" s="37" t="s">
        <v>18</v>
      </c>
      <c r="C23" s="38" t="s">
        <v>43</v>
      </c>
      <c r="D23" s="24">
        <v>3742.9927100607665</v>
      </c>
      <c r="E23" s="24">
        <v>3945.7056918012177</v>
      </c>
      <c r="F23" s="24">
        <v>4169.2538037470795</v>
      </c>
      <c r="G23" s="24">
        <v>4408.6559480949782</v>
      </c>
      <c r="H23" s="24">
        <v>4666.0797478491604</v>
      </c>
      <c r="I23" s="24">
        <v>4943.058885853543</v>
      </c>
      <c r="J23" s="24">
        <v>5240.9764152990574</v>
      </c>
      <c r="K23" s="24">
        <v>5564.6910347906523</v>
      </c>
      <c r="L23" s="24">
        <v>5915.096347065084</v>
      </c>
      <c r="M23" s="24">
        <v>6294.8085604300149</v>
      </c>
      <c r="N23" s="24">
        <v>6705.8286821517022</v>
      </c>
      <c r="O23" s="24">
        <v>7152.409253169255</v>
      </c>
      <c r="P23" s="24">
        <v>7641.4285489747508</v>
      </c>
      <c r="Q23" s="14"/>
      <c r="R23" s="14"/>
    </row>
    <row r="24" spans="1:18" x14ac:dyDescent="0.35">
      <c r="A24" s="17" t="s">
        <v>20</v>
      </c>
      <c r="B24" s="37" t="s">
        <v>18</v>
      </c>
      <c r="C24" s="38" t="s">
        <v>44</v>
      </c>
      <c r="D24" s="24">
        <v>4383.7920140810129</v>
      </c>
      <c r="E24" s="24">
        <v>4600.9093504712982</v>
      </c>
      <c r="F24" s="24">
        <v>4835.0403801464336</v>
      </c>
      <c r="G24" s="24">
        <v>5084.7964572565961</v>
      </c>
      <c r="H24" s="24">
        <v>5352.0237771464863</v>
      </c>
      <c r="I24" s="24">
        <v>5638.9207663991328</v>
      </c>
      <c r="J24" s="24">
        <v>5946.2171843967617</v>
      </c>
      <c r="K24" s="24">
        <v>6278.2700989088607</v>
      </c>
      <c r="L24" s="24">
        <v>6638.282912007794</v>
      </c>
      <c r="M24" s="24">
        <v>7026.6331862391171</v>
      </c>
      <c r="N24" s="24">
        <v>7447.5942038873527</v>
      </c>
      <c r="O24" s="24">
        <v>7903.3380027121793</v>
      </c>
      <c r="P24" s="24">
        <v>8399.0464309186518</v>
      </c>
      <c r="Q24" s="14"/>
      <c r="R24" s="14"/>
    </row>
    <row r="25" spans="1:18" x14ac:dyDescent="0.35">
      <c r="A25" s="17" t="s">
        <v>20</v>
      </c>
      <c r="B25" s="37" t="s">
        <v>18</v>
      </c>
      <c r="C25" s="38" t="s">
        <v>45</v>
      </c>
      <c r="D25" s="24">
        <v>7979.9410567211225</v>
      </c>
      <c r="E25" s="24">
        <v>8488.3284947371249</v>
      </c>
      <c r="F25" s="24">
        <v>9049.6550889682967</v>
      </c>
      <c r="G25" s="24">
        <v>9655.4073653091218</v>
      </c>
      <c r="H25" s="24">
        <v>10312.365311842064</v>
      </c>
      <c r="I25" s="24">
        <v>11026.47107206186</v>
      </c>
      <c r="J25" s="24">
        <v>11802.294008310344</v>
      </c>
      <c r="K25" s="24">
        <v>12654.32181824661</v>
      </c>
      <c r="L25" s="24">
        <v>13584.990528536677</v>
      </c>
      <c r="M25" s="24">
        <v>14602.590128537062</v>
      </c>
      <c r="N25" s="24">
        <v>15720.23240847456</v>
      </c>
      <c r="O25" s="24">
        <v>16945.816056439278</v>
      </c>
      <c r="P25" s="24">
        <v>18296.8469231405</v>
      </c>
      <c r="Q25" s="14"/>
      <c r="R25" s="14"/>
    </row>
    <row r="26" spans="1:18" x14ac:dyDescent="0.35">
      <c r="A26" s="17" t="s">
        <v>20</v>
      </c>
      <c r="B26" s="37" t="s">
        <v>18</v>
      </c>
      <c r="C26" s="38" t="s">
        <v>46</v>
      </c>
      <c r="D26" s="24">
        <v>565.58311663085203</v>
      </c>
      <c r="E26" s="24">
        <v>605.9752061678164</v>
      </c>
      <c r="F26" s="24">
        <v>650.64347452760558</v>
      </c>
      <c r="G26" s="24">
        <v>698.95844983354777</v>
      </c>
      <c r="H26" s="24">
        <v>751.35776437467371</v>
      </c>
      <c r="I26" s="24">
        <v>808.17360297068944</v>
      </c>
      <c r="J26" s="24">
        <v>869.77750889765457</v>
      </c>
      <c r="K26" s="24">
        <v>936.84997571324277</v>
      </c>
      <c r="L26" s="24">
        <v>1010.1037170239141</v>
      </c>
      <c r="M26" s="24">
        <v>1090.3479985580263</v>
      </c>
      <c r="N26" s="24">
        <v>1178.1797931207641</v>
      </c>
      <c r="O26" s="24">
        <v>1274.1490761399282</v>
      </c>
      <c r="P26" s="24">
        <v>1379.398524987407</v>
      </c>
      <c r="Q26" s="14"/>
      <c r="R26" s="14"/>
    </row>
    <row r="27" spans="1:18" x14ac:dyDescent="0.35">
      <c r="A27" s="17" t="s">
        <v>20</v>
      </c>
      <c r="B27" s="37" t="s">
        <v>18</v>
      </c>
      <c r="C27" s="38" t="s">
        <v>47</v>
      </c>
      <c r="D27" s="24">
        <v>4255.6204986594112</v>
      </c>
      <c r="E27" s="24">
        <v>4511.5119907744011</v>
      </c>
      <c r="F27" s="24">
        <v>4793.536333886037</v>
      </c>
      <c r="G27" s="24">
        <v>5096.8999375022277</v>
      </c>
      <c r="H27" s="24">
        <v>5423.7388353276165</v>
      </c>
      <c r="I27" s="24">
        <v>5776.8386643869208</v>
      </c>
      <c r="J27" s="24">
        <v>6157.0996112216262</v>
      </c>
      <c r="K27" s="24">
        <v>6569.367692860932</v>
      </c>
      <c r="L27" s="24">
        <v>7017.4621702051745</v>
      </c>
      <c r="M27" s="24">
        <v>7505.294751441259</v>
      </c>
      <c r="N27" s="24">
        <v>8036.5522707160408</v>
      </c>
      <c r="O27" s="24">
        <v>8614.4538080499788</v>
      </c>
      <c r="P27" s="24">
        <v>9245.7204071737942</v>
      </c>
      <c r="Q27" s="14"/>
      <c r="R27" s="14"/>
    </row>
    <row r="28" spans="1:18" x14ac:dyDescent="0.35">
      <c r="A28" s="37" t="s">
        <v>43</v>
      </c>
      <c r="B28" s="35" t="s">
        <v>24</v>
      </c>
      <c r="C28" s="36" t="s">
        <v>25</v>
      </c>
      <c r="D28" s="24">
        <v>353.66056095836041</v>
      </c>
      <c r="E28" s="24">
        <v>370.18445392591155</v>
      </c>
      <c r="F28" s="24">
        <v>388.31242330170983</v>
      </c>
      <c r="G28" s="24">
        <v>407.60135417397646</v>
      </c>
      <c r="H28" s="24">
        <v>428.21628637341627</v>
      </c>
      <c r="I28" s="24">
        <v>450.387167852527</v>
      </c>
      <c r="J28" s="24">
        <v>474.06485845046973</v>
      </c>
      <c r="K28" s="24">
        <v>500.0090206914748</v>
      </c>
      <c r="L28" s="24">
        <v>527.93139074316423</v>
      </c>
      <c r="M28" s="24">
        <v>558.13232213203855</v>
      </c>
      <c r="N28" s="24">
        <v>590.93005296812896</v>
      </c>
      <c r="O28" s="24">
        <v>626.59812659813451</v>
      </c>
      <c r="P28" s="24">
        <v>665.57773738930928</v>
      </c>
      <c r="Q28" s="14"/>
      <c r="R28" s="14"/>
    </row>
    <row r="29" spans="1:18" x14ac:dyDescent="0.35">
      <c r="A29" s="37" t="s">
        <v>43</v>
      </c>
      <c r="B29" s="35" t="s">
        <v>24</v>
      </c>
      <c r="C29" s="36" t="s">
        <v>26</v>
      </c>
      <c r="D29" s="24">
        <v>3389.3321491024067</v>
      </c>
      <c r="E29" s="24">
        <v>3575.5212378753058</v>
      </c>
      <c r="F29" s="24">
        <v>3780.9413804453702</v>
      </c>
      <c r="G29" s="24">
        <v>4001.054593921001</v>
      </c>
      <c r="H29" s="24">
        <v>4237.8634614757439</v>
      </c>
      <c r="I29" s="24">
        <v>4492.6717180010164</v>
      </c>
      <c r="J29" s="24">
        <v>4766.9115568485886</v>
      </c>
      <c r="K29" s="24">
        <v>5064.6820140991767</v>
      </c>
      <c r="L29" s="24">
        <v>5387.1649563219198</v>
      </c>
      <c r="M29" s="24">
        <v>5736.6762382979759</v>
      </c>
      <c r="N29" s="24">
        <v>6114.8986291835727</v>
      </c>
      <c r="O29" s="24">
        <v>6525.8111265711195</v>
      </c>
      <c r="P29" s="24">
        <v>6975.8508115854429</v>
      </c>
      <c r="Q29" s="14"/>
      <c r="R29" s="14"/>
    </row>
    <row r="30" spans="1:18" x14ac:dyDescent="0.35">
      <c r="A30" s="37" t="s">
        <v>43</v>
      </c>
      <c r="B30" s="35" t="s">
        <v>27</v>
      </c>
      <c r="C30" s="36" t="s">
        <v>28</v>
      </c>
      <c r="D30" s="24">
        <v>1290.2311621094877</v>
      </c>
      <c r="E30" s="24">
        <v>1350.4777644763012</v>
      </c>
      <c r="F30" s="24">
        <v>1418.2873310352402</v>
      </c>
      <c r="G30" s="24">
        <v>1489.8428372729231</v>
      </c>
      <c r="H30" s="24">
        <v>1566.1502437034119</v>
      </c>
      <c r="I30" s="24">
        <v>1646.4008145742848</v>
      </c>
      <c r="J30" s="24">
        <v>1732.0851279764129</v>
      </c>
      <c r="K30" s="24">
        <v>1823.3458632570391</v>
      </c>
      <c r="L30" s="24">
        <v>1920.7298374798929</v>
      </c>
      <c r="M30" s="24">
        <v>2024.9315895873888</v>
      </c>
      <c r="N30" s="24">
        <v>2134.7622281674553</v>
      </c>
      <c r="O30" s="24">
        <v>2251.6199848993274</v>
      </c>
      <c r="P30" s="24">
        <v>2378.4976109877748</v>
      </c>
      <c r="Q30" s="14"/>
      <c r="R30" s="14"/>
    </row>
    <row r="31" spans="1:18" x14ac:dyDescent="0.35">
      <c r="A31" s="37" t="s">
        <v>43</v>
      </c>
      <c r="B31" s="35" t="s">
        <v>27</v>
      </c>
      <c r="C31" s="36" t="s">
        <v>29</v>
      </c>
      <c r="D31" s="24">
        <v>812.32791646445003</v>
      </c>
      <c r="E31" s="24">
        <v>862.28326253079013</v>
      </c>
      <c r="F31" s="24">
        <v>917.10208647823924</v>
      </c>
      <c r="G31" s="24">
        <v>976.39985503100809</v>
      </c>
      <c r="H31" s="24">
        <v>1040.592004370257</v>
      </c>
      <c r="I31" s="24">
        <v>1110.4705696796805</v>
      </c>
      <c r="J31" s="24">
        <v>1185.8254954652939</v>
      </c>
      <c r="K31" s="24">
        <v>1268.4307243013388</v>
      </c>
      <c r="L31" s="24">
        <v>1358.4596085639216</v>
      </c>
      <c r="M31" s="24">
        <v>1456.6905242160133</v>
      </c>
      <c r="N31" s="24">
        <v>1564.1589871057618</v>
      </c>
      <c r="O31" s="24">
        <v>1681.9904887666337</v>
      </c>
      <c r="P31" s="24">
        <v>1811.6330089394137</v>
      </c>
      <c r="Q31" s="14"/>
      <c r="R31" s="14"/>
    </row>
    <row r="32" spans="1:18" x14ac:dyDescent="0.35">
      <c r="A32" s="37" t="s">
        <v>43</v>
      </c>
      <c r="B32" s="35" t="s">
        <v>27</v>
      </c>
      <c r="C32" s="36" t="s">
        <v>30</v>
      </c>
      <c r="D32" s="24">
        <v>638.83213095764131</v>
      </c>
      <c r="E32" s="24">
        <v>680.72081497879572</v>
      </c>
      <c r="F32" s="24">
        <v>726.90759039104046</v>
      </c>
      <c r="G32" s="24">
        <v>777.07527624472289</v>
      </c>
      <c r="H32" s="24">
        <v>831.4397005630002</v>
      </c>
      <c r="I32" s="24">
        <v>890.91141176163478</v>
      </c>
      <c r="J32" s="24">
        <v>955.3716189814229</v>
      </c>
      <c r="K32" s="24">
        <v>1026.3043393031915</v>
      </c>
      <c r="L32" s="24">
        <v>1103.8096195821115</v>
      </c>
      <c r="M32" s="24">
        <v>1188.8548905241323</v>
      </c>
      <c r="N32" s="24">
        <v>1282.2490574389285</v>
      </c>
      <c r="O32" s="24">
        <v>1385.1762104162181</v>
      </c>
      <c r="P32" s="24">
        <v>1498.8211684728446</v>
      </c>
      <c r="Q32" s="14"/>
      <c r="R32" s="14"/>
    </row>
    <row r="33" spans="1:18" x14ac:dyDescent="0.35">
      <c r="A33" s="37" t="s">
        <v>43</v>
      </c>
      <c r="B33" s="35" t="s">
        <v>27</v>
      </c>
      <c r="C33" s="36" t="s">
        <v>31</v>
      </c>
      <c r="D33" s="24">
        <v>491.50906684260622</v>
      </c>
      <c r="E33" s="24">
        <v>519.55909892924831</v>
      </c>
      <c r="F33" s="24">
        <v>549.79057049632456</v>
      </c>
      <c r="G33" s="24">
        <v>582.14847411133576</v>
      </c>
      <c r="H33" s="24">
        <v>617.03193588532395</v>
      </c>
      <c r="I33" s="24">
        <v>654.75240264126717</v>
      </c>
      <c r="J33" s="24">
        <v>695.38555291882835</v>
      </c>
      <c r="K33" s="24">
        <v>739.80339725841611</v>
      </c>
      <c r="L33" s="24">
        <v>788.08884267456131</v>
      </c>
      <c r="M33" s="24">
        <v>840.30562627632787</v>
      </c>
      <c r="N33" s="24">
        <v>897.36829320471111</v>
      </c>
      <c r="O33" s="24">
        <v>959.35295184863753</v>
      </c>
      <c r="P33" s="24">
        <v>1027.0626285169481</v>
      </c>
      <c r="Q33" s="21"/>
      <c r="R33" s="21"/>
    </row>
    <row r="34" spans="1:18" x14ac:dyDescent="0.35">
      <c r="A34" s="37" t="s">
        <v>43</v>
      </c>
      <c r="B34" s="35" t="s">
        <v>27</v>
      </c>
      <c r="C34" s="36" t="s">
        <v>32</v>
      </c>
      <c r="D34" s="24">
        <v>310.39437134328477</v>
      </c>
      <c r="E34" s="24">
        <v>322.68632380017391</v>
      </c>
      <c r="F34" s="24">
        <v>336.00780714497256</v>
      </c>
      <c r="G34" s="24">
        <v>350.03837045201408</v>
      </c>
      <c r="H34" s="24">
        <v>364.83239590443054</v>
      </c>
      <c r="I34" s="24">
        <v>380.57260677962006</v>
      </c>
      <c r="J34" s="24">
        <v>397.4815623158853</v>
      </c>
      <c r="K34" s="24">
        <v>415.8440925207351</v>
      </c>
      <c r="L34" s="24">
        <v>435.53103332727471</v>
      </c>
      <c r="M34" s="24">
        <v>456.65203821791897</v>
      </c>
      <c r="N34" s="24">
        <v>479.39070606800772</v>
      </c>
      <c r="O34" s="24">
        <v>504.06498730849836</v>
      </c>
      <c r="P34" s="24">
        <v>530.88617666799894</v>
      </c>
      <c r="Q34" s="21"/>
      <c r="R34" s="21"/>
    </row>
    <row r="35" spans="1:18" x14ac:dyDescent="0.35">
      <c r="A35" s="37" t="s">
        <v>43</v>
      </c>
      <c r="B35" s="35" t="s">
        <v>27</v>
      </c>
      <c r="C35" s="36" t="s">
        <v>33</v>
      </c>
      <c r="D35" s="24">
        <v>199.69806234329613</v>
      </c>
      <c r="E35" s="24">
        <v>209.97842708590827</v>
      </c>
      <c r="F35" s="24">
        <v>221.15841820126312</v>
      </c>
      <c r="G35" s="24">
        <v>233.15113498297382</v>
      </c>
      <c r="H35" s="24">
        <v>246.03346742273669</v>
      </c>
      <c r="I35" s="24">
        <v>259.95108041705623</v>
      </c>
      <c r="J35" s="24">
        <v>274.82705764121511</v>
      </c>
      <c r="K35" s="24">
        <v>290.96261814993159</v>
      </c>
      <c r="L35" s="24">
        <v>308.47740543732175</v>
      </c>
      <c r="M35" s="24">
        <v>327.37389160823358</v>
      </c>
      <c r="N35" s="24">
        <v>347.89941016683736</v>
      </c>
      <c r="O35" s="24">
        <v>370.20462992993959</v>
      </c>
      <c r="P35" s="24">
        <v>394.52795538977188</v>
      </c>
      <c r="Q35" s="21"/>
      <c r="R35" s="21"/>
    </row>
    <row r="36" spans="1:18" x14ac:dyDescent="0.35">
      <c r="A36" s="37" t="s">
        <v>43</v>
      </c>
      <c r="B36" s="35" t="s">
        <v>34</v>
      </c>
      <c r="C36" s="36" t="s">
        <v>35</v>
      </c>
      <c r="D36" s="24">
        <v>1227.8993667507357</v>
      </c>
      <c r="E36" s="24">
        <v>1279.7677452018693</v>
      </c>
      <c r="F36" s="24">
        <v>1339.2666442870691</v>
      </c>
      <c r="G36" s="24">
        <v>1402.5262254201975</v>
      </c>
      <c r="H36" s="24">
        <v>1470.7324435255723</v>
      </c>
      <c r="I36" s="24">
        <v>1543.5240034506116</v>
      </c>
      <c r="J36" s="24">
        <v>1620.023241948199</v>
      </c>
      <c r="K36" s="24">
        <v>1703.1027751490087</v>
      </c>
      <c r="L36" s="24">
        <v>1791.630201148485</v>
      </c>
      <c r="M36" s="24">
        <v>1887.0824215560463</v>
      </c>
      <c r="N36" s="24">
        <v>1988.994987505745</v>
      </c>
      <c r="O36" s="24">
        <v>2098.003759699217</v>
      </c>
      <c r="P36" s="24">
        <v>2216.8600046630318</v>
      </c>
      <c r="Q36" s="21"/>
      <c r="R36" s="21"/>
    </row>
    <row r="37" spans="1:18" x14ac:dyDescent="0.35">
      <c r="A37" s="37" t="s">
        <v>43</v>
      </c>
      <c r="B37" s="35" t="s">
        <v>34</v>
      </c>
      <c r="C37" s="36" t="s">
        <v>36</v>
      </c>
      <c r="D37" s="24">
        <v>1324.9840390800859</v>
      </c>
      <c r="E37" s="24">
        <v>1410.4551842705791</v>
      </c>
      <c r="F37" s="24">
        <v>1503.067580461872</v>
      </c>
      <c r="G37" s="24">
        <v>1602.8684905853984</v>
      </c>
      <c r="H37" s="24">
        <v>1710.4265257135878</v>
      </c>
      <c r="I37" s="24">
        <v>1826.7548798966118</v>
      </c>
      <c r="J37" s="24">
        <v>1952.9634449759399</v>
      </c>
      <c r="K37" s="24">
        <v>2090.0293412675956</v>
      </c>
      <c r="L37" s="24">
        <v>2239.7787889168908</v>
      </c>
      <c r="M37" s="24">
        <v>2402.365552930587</v>
      </c>
      <c r="N37" s="24">
        <v>2579.3143364560328</v>
      </c>
      <c r="O37" s="24">
        <v>2772.7920730844335</v>
      </c>
      <c r="P37" s="24">
        <v>2984.8871733850829</v>
      </c>
      <c r="Q37" s="21"/>
      <c r="R37" s="21"/>
    </row>
    <row r="38" spans="1:18" x14ac:dyDescent="0.35">
      <c r="A38" s="37" t="s">
        <v>43</v>
      </c>
      <c r="B38" s="35" t="s">
        <v>34</v>
      </c>
      <c r="C38" s="36" t="s">
        <v>37</v>
      </c>
      <c r="D38" s="24">
        <v>840.49489195850401</v>
      </c>
      <c r="E38" s="24">
        <v>888.18334860789673</v>
      </c>
      <c r="F38" s="24">
        <v>940.48863640863669</v>
      </c>
      <c r="G38" s="24">
        <v>996.41514971940842</v>
      </c>
      <c r="H38" s="24">
        <v>1056.2991258083482</v>
      </c>
      <c r="I38" s="24">
        <v>1120.7642249472772</v>
      </c>
      <c r="J38" s="24">
        <v>1190.7972936114495</v>
      </c>
      <c r="K38" s="24">
        <v>1267.1977614859725</v>
      </c>
      <c r="L38" s="24">
        <v>1349.9174681404943</v>
      </c>
      <c r="M38" s="24">
        <v>1439.6305921647865</v>
      </c>
      <c r="N38" s="24">
        <v>1537.1490495466403</v>
      </c>
      <c r="O38" s="24">
        <v>1643.7838192038896</v>
      </c>
      <c r="P38" s="24">
        <v>1760.8671425344658</v>
      </c>
      <c r="Q38" s="21"/>
      <c r="R38" s="21"/>
    </row>
    <row r="39" spans="1:18" x14ac:dyDescent="0.35">
      <c r="A39" s="37" t="s">
        <v>43</v>
      </c>
      <c r="B39" s="35" t="s">
        <v>34</v>
      </c>
      <c r="C39" s="36" t="s">
        <v>38</v>
      </c>
      <c r="D39" s="24">
        <v>349.61441227144098</v>
      </c>
      <c r="E39" s="24">
        <v>367.29941372087239</v>
      </c>
      <c r="F39" s="24">
        <v>386.43094258950151</v>
      </c>
      <c r="G39" s="24">
        <v>406.8460823699736</v>
      </c>
      <c r="H39" s="24">
        <v>428.62165280165209</v>
      </c>
      <c r="I39" s="24">
        <v>452.01577755904293</v>
      </c>
      <c r="J39" s="24">
        <v>477.19243476346981</v>
      </c>
      <c r="K39" s="24">
        <v>504.36115688807513</v>
      </c>
      <c r="L39" s="24">
        <v>533.76988885921412</v>
      </c>
      <c r="M39" s="24">
        <v>565.72999377859492</v>
      </c>
      <c r="N39" s="24">
        <v>600.37030864328369</v>
      </c>
      <c r="O39" s="24">
        <v>637.82960118171457</v>
      </c>
      <c r="P39" s="24">
        <v>678.81422839217089</v>
      </c>
      <c r="Q39" s="21"/>
      <c r="R39" s="21"/>
    </row>
    <row r="40" spans="1:18" x14ac:dyDescent="0.35">
      <c r="A40" s="37" t="s">
        <v>43</v>
      </c>
      <c r="B40" s="35" t="s">
        <v>22</v>
      </c>
      <c r="C40" s="36" t="s">
        <v>39</v>
      </c>
      <c r="D40" s="24">
        <v>973.06599419591066</v>
      </c>
      <c r="E40" s="24">
        <v>1025.9181705108811</v>
      </c>
      <c r="F40" s="24">
        <v>1085.803467740257</v>
      </c>
      <c r="G40" s="24">
        <v>1150.1211901417182</v>
      </c>
      <c r="H40" s="24">
        <v>1219.4525269314918</v>
      </c>
      <c r="I40" s="24">
        <v>1293.8307262382014</v>
      </c>
      <c r="J40" s="24">
        <v>1374.025956644959</v>
      </c>
      <c r="K40" s="24">
        <v>1461.3958873555252</v>
      </c>
      <c r="L40" s="24">
        <v>1555.3148974659239</v>
      </c>
      <c r="M40" s="24">
        <v>1657.3106416885403</v>
      </c>
      <c r="N40" s="24">
        <v>1766.6232638675008</v>
      </c>
      <c r="O40" s="24">
        <v>1885.6893144053427</v>
      </c>
      <c r="P40" s="24">
        <v>2016.8728680796414</v>
      </c>
      <c r="Q40" s="21"/>
      <c r="R40" s="21"/>
    </row>
    <row r="41" spans="1:18" x14ac:dyDescent="0.35">
      <c r="A41" s="37" t="s">
        <v>43</v>
      </c>
      <c r="B41" s="35" t="s">
        <v>22</v>
      </c>
      <c r="C41" s="36" t="s">
        <v>40</v>
      </c>
      <c r="D41" s="24">
        <v>955.80589828716018</v>
      </c>
      <c r="E41" s="24">
        <v>1004.8720273688737</v>
      </c>
      <c r="F41" s="24">
        <v>1057.8679469308615</v>
      </c>
      <c r="G41" s="24">
        <v>1114.4657350894415</v>
      </c>
      <c r="H41" s="24">
        <v>1175.1810699419052</v>
      </c>
      <c r="I41" s="24">
        <v>1240.5332655345767</v>
      </c>
      <c r="J41" s="24">
        <v>1310.3650291951899</v>
      </c>
      <c r="K41" s="24">
        <v>1385.7934840003302</v>
      </c>
      <c r="L41" s="24">
        <v>1467.7319015216819</v>
      </c>
      <c r="M41" s="24">
        <v>1555.836677261671</v>
      </c>
      <c r="N41" s="24">
        <v>1651.4629420346228</v>
      </c>
      <c r="O41" s="24">
        <v>1754.9266093388594</v>
      </c>
      <c r="P41" s="24">
        <v>1867.5425994553907</v>
      </c>
      <c r="Q41" s="21"/>
      <c r="R41" s="21"/>
    </row>
    <row r="42" spans="1:18" x14ac:dyDescent="0.35">
      <c r="A42" s="37" t="s">
        <v>43</v>
      </c>
      <c r="B42" s="35" t="s">
        <v>22</v>
      </c>
      <c r="C42" s="36" t="s">
        <v>41</v>
      </c>
      <c r="D42" s="24">
        <v>739.89162997496794</v>
      </c>
      <c r="E42" s="24">
        <v>772.11613254227541</v>
      </c>
      <c r="F42" s="24">
        <v>807.14778444030253</v>
      </c>
      <c r="G42" s="24">
        <v>844.13352517228134</v>
      </c>
      <c r="H42" s="24">
        <v>883.51532895971684</v>
      </c>
      <c r="I42" s="24">
        <v>925.64404290104596</v>
      </c>
      <c r="J42" s="24">
        <v>970.65215902661021</v>
      </c>
      <c r="K42" s="24">
        <v>1019.8389747049375</v>
      </c>
      <c r="L42" s="24">
        <v>1072.6974419323053</v>
      </c>
      <c r="M42" s="24">
        <v>1129.6617733901685</v>
      </c>
      <c r="N42" s="24">
        <v>1191.484750128624</v>
      </c>
      <c r="O42" s="24">
        <v>1258.3140269805078</v>
      </c>
      <c r="P42" s="24">
        <v>1331.1821831007264</v>
      </c>
      <c r="Q42" s="21"/>
      <c r="R42" s="21"/>
    </row>
    <row r="43" spans="1:18" x14ac:dyDescent="0.35">
      <c r="A43" s="37" t="s">
        <v>43</v>
      </c>
      <c r="B43" s="35" t="s">
        <v>22</v>
      </c>
      <c r="C43" s="36" t="s">
        <v>42</v>
      </c>
      <c r="D43" s="24">
        <v>1074.2291876027277</v>
      </c>
      <c r="E43" s="24">
        <v>1142.7993613791873</v>
      </c>
      <c r="F43" s="24">
        <v>1218.4346046356586</v>
      </c>
      <c r="G43" s="24">
        <v>1299.9354976915367</v>
      </c>
      <c r="H43" s="24">
        <v>1387.9308220160465</v>
      </c>
      <c r="I43" s="24">
        <v>1483.0508511797198</v>
      </c>
      <c r="J43" s="24">
        <v>1585.9332704322992</v>
      </c>
      <c r="K43" s="24">
        <v>1697.6626887298592</v>
      </c>
      <c r="L43" s="24">
        <v>1819.3521061451729</v>
      </c>
      <c r="M43" s="24">
        <v>1951.9994680896345</v>
      </c>
      <c r="N43" s="24">
        <v>2096.2577261209544</v>
      </c>
      <c r="O43" s="24">
        <v>2253.4793024445444</v>
      </c>
      <c r="P43" s="24">
        <v>2425.8308983389925</v>
      </c>
      <c r="Q43" s="21"/>
      <c r="R43" s="21"/>
    </row>
    <row r="44" spans="1:18" x14ac:dyDescent="0.35">
      <c r="A44" s="37" t="s">
        <v>43</v>
      </c>
      <c r="B44" s="37" t="s">
        <v>48</v>
      </c>
      <c r="C44" s="39" t="s">
        <v>49</v>
      </c>
      <c r="D44" s="24">
        <v>246.48382994357075</v>
      </c>
      <c r="E44" s="24">
        <v>256.97444000646726</v>
      </c>
      <c r="F44" s="24">
        <v>268.86815228858035</v>
      </c>
      <c r="G44" s="24">
        <v>281.50548506374349</v>
      </c>
      <c r="H44" s="24">
        <v>295.05563011564396</v>
      </c>
      <c r="I44" s="24">
        <v>309.5221964397852</v>
      </c>
      <c r="J44" s="24">
        <v>325.01711427843975</v>
      </c>
      <c r="K44" s="24">
        <v>341.88769528892499</v>
      </c>
      <c r="L44" s="24">
        <v>359.91105505658794</v>
      </c>
      <c r="M44" s="24">
        <v>379.41989247950096</v>
      </c>
      <c r="N44" s="24">
        <v>400.32882796288686</v>
      </c>
      <c r="O44" s="24">
        <v>422.87133494328793</v>
      </c>
      <c r="P44" s="24">
        <v>447.55653209666451</v>
      </c>
      <c r="Q44" s="21"/>
      <c r="R44" s="21"/>
    </row>
    <row r="45" spans="1:18" x14ac:dyDescent="0.35">
      <c r="A45" s="37" t="s">
        <v>43</v>
      </c>
      <c r="B45" s="37" t="s">
        <v>48</v>
      </c>
      <c r="C45" s="39" t="s">
        <v>50</v>
      </c>
      <c r="D45" s="24">
        <v>86.841438072523715</v>
      </c>
      <c r="E45" s="24">
        <v>89.858906762254719</v>
      </c>
      <c r="F45" s="24">
        <v>93.329431079212696</v>
      </c>
      <c r="G45" s="24">
        <v>96.999954540144017</v>
      </c>
      <c r="H45" s="24">
        <v>100.91902738531688</v>
      </c>
      <c r="I45" s="24">
        <v>105.07793020826098</v>
      </c>
      <c r="J45" s="24">
        <v>109.51168644298791</v>
      </c>
      <c r="K45" s="24">
        <v>114.31936000994202</v>
      </c>
      <c r="L45" s="24">
        <v>119.42675362357951</v>
      </c>
      <c r="M45" s="24">
        <v>124.94523519966414</v>
      </c>
      <c r="N45" s="24">
        <v>130.8189884201214</v>
      </c>
      <c r="O45" s="24">
        <v>137.12266561340883</v>
      </c>
      <c r="P45" s="24">
        <v>144.00828247253443</v>
      </c>
      <c r="Q45" s="21"/>
      <c r="R45" s="21"/>
    </row>
    <row r="46" spans="1:18" x14ac:dyDescent="0.35">
      <c r="A46" s="37" t="s">
        <v>43</v>
      </c>
      <c r="B46" s="37" t="s">
        <v>48</v>
      </c>
      <c r="C46" s="39" t="s">
        <v>51</v>
      </c>
      <c r="D46" s="24">
        <v>472.09904379592149</v>
      </c>
      <c r="E46" s="24">
        <v>496.22979730665116</v>
      </c>
      <c r="F46" s="24">
        <v>522.04657571409541</v>
      </c>
      <c r="G46" s="24">
        <v>549.53789973774349</v>
      </c>
      <c r="H46" s="24">
        <v>578.70911045732748</v>
      </c>
      <c r="I46" s="24">
        <v>609.83695102006084</v>
      </c>
      <c r="J46" s="24">
        <v>643.50931322381075</v>
      </c>
      <c r="K46" s="24">
        <v>679.65268314813159</v>
      </c>
      <c r="L46" s="24">
        <v>718.73569510793732</v>
      </c>
      <c r="M46" s="24">
        <v>760.77877601960688</v>
      </c>
      <c r="N46" s="24">
        <v>805.85570636020316</v>
      </c>
      <c r="O46" s="24">
        <v>854.73606600191715</v>
      </c>
      <c r="P46" s="24">
        <v>907.83104185825437</v>
      </c>
      <c r="Q46" s="21"/>
      <c r="R46" s="21"/>
    </row>
    <row r="47" spans="1:18" x14ac:dyDescent="0.35">
      <c r="A47" s="37" t="s">
        <v>43</v>
      </c>
      <c r="B47" s="37" t="s">
        <v>48</v>
      </c>
      <c r="C47" s="39" t="s">
        <v>52</v>
      </c>
      <c r="D47" s="24">
        <v>90.75474213663459</v>
      </c>
      <c r="E47" s="24">
        <v>94.644040145626491</v>
      </c>
      <c r="F47" s="24">
        <v>98.912184003897607</v>
      </c>
      <c r="G47" s="24">
        <v>103.4281815902109</v>
      </c>
      <c r="H47" s="24">
        <v>108.22040399495825</v>
      </c>
      <c r="I47" s="24">
        <v>113.29131357192236</v>
      </c>
      <c r="J47" s="24">
        <v>118.64403585228058</v>
      </c>
      <c r="K47" s="24">
        <v>124.31122665381334</v>
      </c>
      <c r="L47" s="24">
        <v>130.38438706609378</v>
      </c>
      <c r="M47" s="24">
        <v>136.93542380456051</v>
      </c>
      <c r="N47" s="24">
        <v>143.93820903667043</v>
      </c>
      <c r="O47" s="24">
        <v>151.3847765317322</v>
      </c>
      <c r="P47" s="24">
        <v>159.36323172408808</v>
      </c>
      <c r="Q47" s="21"/>
      <c r="R47" s="21"/>
    </row>
    <row r="48" spans="1:18" x14ac:dyDescent="0.35">
      <c r="A48" s="37" t="s">
        <v>43</v>
      </c>
      <c r="B48" s="37" t="s">
        <v>48</v>
      </c>
      <c r="C48" s="39" t="s">
        <v>53</v>
      </c>
      <c r="D48" s="24">
        <v>76.400363694834823</v>
      </c>
      <c r="E48" s="24">
        <v>78.4703280487103</v>
      </c>
      <c r="F48" s="24">
        <v>80.723144058142935</v>
      </c>
      <c r="G48" s="24">
        <v>83.186409985276001</v>
      </c>
      <c r="H48" s="24">
        <v>85.816179877702567</v>
      </c>
      <c r="I48" s="24">
        <v>88.745730746610491</v>
      </c>
      <c r="J48" s="24">
        <v>91.821736527128252</v>
      </c>
      <c r="K48" s="24">
        <v>95.226342994261486</v>
      </c>
      <c r="L48" s="24">
        <v>98.906949883122692</v>
      </c>
      <c r="M48" s="24">
        <v>102.89252768942131</v>
      </c>
      <c r="N48" s="24">
        <v>107.26356146156206</v>
      </c>
      <c r="O48" s="24">
        <v>112.06178447137093</v>
      </c>
      <c r="P48" s="24">
        <v>117.27511842975694</v>
      </c>
      <c r="Q48" s="21"/>
      <c r="R48" s="21"/>
    </row>
    <row r="49" spans="1:18" x14ac:dyDescent="0.35">
      <c r="A49" s="37" t="s">
        <v>43</v>
      </c>
      <c r="B49" s="37" t="s">
        <v>48</v>
      </c>
      <c r="C49" s="39" t="s">
        <v>54</v>
      </c>
      <c r="D49" s="24">
        <v>44.753331669062405</v>
      </c>
      <c r="E49" s="24">
        <v>45.850133450185233</v>
      </c>
      <c r="F49" s="24">
        <v>47.157622523027165</v>
      </c>
      <c r="G49" s="24">
        <v>48.536430758414781</v>
      </c>
      <c r="H49" s="24">
        <v>50.009428833160001</v>
      </c>
      <c r="I49" s="24">
        <v>51.568969789236021</v>
      </c>
      <c r="J49" s="24">
        <v>53.231024697563242</v>
      </c>
      <c r="K49" s="24">
        <v>55.043046880736995</v>
      </c>
      <c r="L49" s="24">
        <v>56.958191943221237</v>
      </c>
      <c r="M49" s="24">
        <v>59.028039045830113</v>
      </c>
      <c r="N49" s="24">
        <v>61.220256371332368</v>
      </c>
      <c r="O49" s="24">
        <v>63.568931892377933</v>
      </c>
      <c r="P49" s="24">
        <v>66.14263581644515</v>
      </c>
      <c r="Q49" s="14"/>
      <c r="R49" s="14"/>
    </row>
    <row r="50" spans="1:18" x14ac:dyDescent="0.35">
      <c r="A50" s="37" t="s">
        <v>43</v>
      </c>
      <c r="B50" s="37" t="s">
        <v>48</v>
      </c>
      <c r="C50" s="39" t="s">
        <v>55</v>
      </c>
      <c r="D50" s="24">
        <v>617.60152076174336</v>
      </c>
      <c r="E50" s="24">
        <v>650.35892432346043</v>
      </c>
      <c r="F50" s="24">
        <v>686.3948599308743</v>
      </c>
      <c r="G50" s="24">
        <v>725.02640610097683</v>
      </c>
      <c r="H50" s="24">
        <v>766.44450629701009</v>
      </c>
      <c r="I50" s="24">
        <v>811.27986266032315</v>
      </c>
      <c r="J50" s="24">
        <v>859.34382587395351</v>
      </c>
      <c r="K50" s="24">
        <v>911.33473058441564</v>
      </c>
      <c r="L50" s="24">
        <v>967.89982737608977</v>
      </c>
      <c r="M50" s="24">
        <v>1028.8253952745938</v>
      </c>
      <c r="N50" s="24">
        <v>1094.9481741788188</v>
      </c>
      <c r="O50" s="24">
        <v>1166.8144757350371</v>
      </c>
      <c r="P50" s="24">
        <v>1245.4575156706842</v>
      </c>
      <c r="Q50" s="14"/>
      <c r="R50" s="14"/>
    </row>
    <row r="51" spans="1:18" x14ac:dyDescent="0.35">
      <c r="A51" s="37" t="s">
        <v>43</v>
      </c>
      <c r="B51" s="37" t="s">
        <v>48</v>
      </c>
      <c r="C51" s="39" t="s">
        <v>56</v>
      </c>
      <c r="D51" s="24">
        <v>1284.0478734526662</v>
      </c>
      <c r="E51" s="24">
        <v>1360.0565679731767</v>
      </c>
      <c r="F51" s="24">
        <v>1445.772753323148</v>
      </c>
      <c r="G51" s="24">
        <v>1537.8494755653765</v>
      </c>
      <c r="H51" s="24">
        <v>1637.4087188553247</v>
      </c>
      <c r="I51" s="24">
        <v>1744.797001476476</v>
      </c>
      <c r="J51" s="24">
        <v>1861.0123108736771</v>
      </c>
      <c r="K51" s="24">
        <v>1988.5015689775205</v>
      </c>
      <c r="L51" s="24">
        <v>2126.2354182313084</v>
      </c>
      <c r="M51" s="24">
        <v>2276.7456131052845</v>
      </c>
      <c r="N51" s="24">
        <v>2439.9218100423627</v>
      </c>
      <c r="O51" s="24">
        <v>2617.9107494725768</v>
      </c>
      <c r="P51" s="24">
        <v>2814.3865056556992</v>
      </c>
      <c r="Q51" s="14"/>
      <c r="R51" s="14"/>
    </row>
    <row r="52" spans="1:18" x14ac:dyDescent="0.35">
      <c r="A52" s="37" t="s">
        <v>43</v>
      </c>
      <c r="B52" s="37" t="s">
        <v>48</v>
      </c>
      <c r="C52" s="39" t="s">
        <v>57</v>
      </c>
      <c r="D52" s="24">
        <v>824.01056653380931</v>
      </c>
      <c r="E52" s="24">
        <v>873.26255378468511</v>
      </c>
      <c r="F52" s="24">
        <v>926.0490808261012</v>
      </c>
      <c r="G52" s="24">
        <v>982.58570475309182</v>
      </c>
      <c r="H52" s="24">
        <v>1043.4967420327164</v>
      </c>
      <c r="I52" s="24">
        <v>1108.9389299408685</v>
      </c>
      <c r="J52" s="24">
        <v>1178.8853675292169</v>
      </c>
      <c r="K52" s="24">
        <v>1254.4143802529054</v>
      </c>
      <c r="L52" s="24">
        <v>1336.6380687771432</v>
      </c>
      <c r="M52" s="24">
        <v>1425.2376578115525</v>
      </c>
      <c r="N52" s="24">
        <v>1521.5331483177442</v>
      </c>
      <c r="O52" s="24">
        <v>1625.9384685075456</v>
      </c>
      <c r="P52" s="24">
        <v>1739.4076852506246</v>
      </c>
      <c r="Q52" s="14"/>
      <c r="R52" s="14"/>
    </row>
    <row r="53" spans="1:18" x14ac:dyDescent="0.35">
      <c r="A53" s="39" t="s">
        <v>49</v>
      </c>
      <c r="B53" s="35" t="s">
        <v>24</v>
      </c>
      <c r="C53" s="36" t="s">
        <v>25</v>
      </c>
      <c r="D53" s="24">
        <v>24.597646451144815</v>
      </c>
      <c r="E53" s="24">
        <v>25.50966360043682</v>
      </c>
      <c r="F53" s="24">
        <v>26.484569161373297</v>
      </c>
      <c r="G53" s="24">
        <v>27.514336017245753</v>
      </c>
      <c r="H53" s="24">
        <v>28.620396121217464</v>
      </c>
      <c r="I53" s="24">
        <v>29.811624008182136</v>
      </c>
      <c r="J53" s="24">
        <v>31.07890716033376</v>
      </c>
      <c r="K53" s="24">
        <v>32.467307268376921</v>
      </c>
      <c r="L53" s="24">
        <v>33.961589978420328</v>
      </c>
      <c r="M53" s="24">
        <v>35.556000000282587</v>
      </c>
      <c r="N53" s="24">
        <v>37.292908383484281</v>
      </c>
      <c r="O53" s="24">
        <v>39.15121240428951</v>
      </c>
      <c r="P53" s="24">
        <v>41.161119914128626</v>
      </c>
      <c r="Q53" s="14"/>
      <c r="R53" s="14"/>
    </row>
    <row r="54" spans="1:18" x14ac:dyDescent="0.35">
      <c r="A54" s="39" t="s">
        <v>49</v>
      </c>
      <c r="B54" s="35" t="s">
        <v>24</v>
      </c>
      <c r="C54" s="36" t="s">
        <v>26</v>
      </c>
      <c r="D54" s="24">
        <v>221.88618349242594</v>
      </c>
      <c r="E54" s="24">
        <v>231.46477640603047</v>
      </c>
      <c r="F54" s="24">
        <v>242.38358312720706</v>
      </c>
      <c r="G54" s="24">
        <v>253.99114904649772</v>
      </c>
      <c r="H54" s="24">
        <v>266.43523399442648</v>
      </c>
      <c r="I54" s="24">
        <v>279.71057243160305</v>
      </c>
      <c r="J54" s="24">
        <v>293.93820711810599</v>
      </c>
      <c r="K54" s="24">
        <v>309.42038802054805</v>
      </c>
      <c r="L54" s="24">
        <v>325.94946507816763</v>
      </c>
      <c r="M54" s="24">
        <v>343.86389247921835</v>
      </c>
      <c r="N54" s="24">
        <v>363.03591957940256</v>
      </c>
      <c r="O54" s="24">
        <v>383.72012253899845</v>
      </c>
      <c r="P54" s="24">
        <v>406.39541218253589</v>
      </c>
      <c r="Q54" s="14"/>
      <c r="R54" s="14"/>
    </row>
    <row r="55" spans="1:18" x14ac:dyDescent="0.35">
      <c r="A55" s="39" t="s">
        <v>49</v>
      </c>
      <c r="B55" s="35" t="s">
        <v>27</v>
      </c>
      <c r="C55" s="36" t="s">
        <v>28</v>
      </c>
      <c r="D55" s="24">
        <v>83.185160368366496</v>
      </c>
      <c r="E55" s="24">
        <v>85.547957064423684</v>
      </c>
      <c r="F55" s="24">
        <v>88.668602006289262</v>
      </c>
      <c r="G55" s="24">
        <v>91.987119119193096</v>
      </c>
      <c r="H55" s="24">
        <v>95.598024157468672</v>
      </c>
      <c r="I55" s="24">
        <v>99.400572701286052</v>
      </c>
      <c r="J55" s="24">
        <v>103.49830504152115</v>
      </c>
      <c r="K55" s="24">
        <v>107.91516764065909</v>
      </c>
      <c r="L55" s="24">
        <v>112.49059130050108</v>
      </c>
      <c r="M55" s="24">
        <v>117.49871373788</v>
      </c>
      <c r="N55" s="24">
        <v>122.63995057032764</v>
      </c>
      <c r="O55" s="24">
        <v>128.01422698717806</v>
      </c>
      <c r="P55" s="24">
        <v>133.98532530731427</v>
      </c>
      <c r="Q55" s="14"/>
      <c r="R55" s="14"/>
    </row>
    <row r="56" spans="1:18" x14ac:dyDescent="0.35">
      <c r="A56" s="39" t="s">
        <v>49</v>
      </c>
      <c r="B56" s="35" t="s">
        <v>27</v>
      </c>
      <c r="C56" s="36" t="s">
        <v>29</v>
      </c>
      <c r="D56" s="24">
        <v>52.386028890236403</v>
      </c>
      <c r="E56" s="24">
        <v>55.320273459844188</v>
      </c>
      <c r="F56" s="24">
        <v>58.434014943102447</v>
      </c>
      <c r="G56" s="24">
        <v>61.757028915241861</v>
      </c>
      <c r="H56" s="24">
        <v>65.325316507603574</v>
      </c>
      <c r="I56" s="24">
        <v>69.145728310028304</v>
      </c>
      <c r="J56" s="24">
        <v>73.208722135008742</v>
      </c>
      <c r="K56" s="24">
        <v>77.576076630763936</v>
      </c>
      <c r="L56" s="24">
        <v>82.324575023137996</v>
      </c>
      <c r="M56" s="24">
        <v>87.416737368495859</v>
      </c>
      <c r="N56" s="24">
        <v>92.939856201122154</v>
      </c>
      <c r="O56" s="24">
        <v>98.907691309795581</v>
      </c>
      <c r="P56" s="24">
        <v>105.36372590345314</v>
      </c>
      <c r="Q56" s="14"/>
      <c r="R56" s="14"/>
    </row>
    <row r="57" spans="1:18" x14ac:dyDescent="0.35">
      <c r="A57" s="39" t="s">
        <v>49</v>
      </c>
      <c r="B57" s="35" t="s">
        <v>27</v>
      </c>
      <c r="C57" s="36" t="s">
        <v>30</v>
      </c>
      <c r="D57" s="24">
        <v>45.86211491366241</v>
      </c>
      <c r="E57" s="24">
        <v>48.494600291814166</v>
      </c>
      <c r="F57" s="24">
        <v>51.380364455577322</v>
      </c>
      <c r="G57" s="24">
        <v>54.442390824244626</v>
      </c>
      <c r="H57" s="24">
        <v>57.712881250619958</v>
      </c>
      <c r="I57" s="24">
        <v>61.232518769011051</v>
      </c>
      <c r="J57" s="24">
        <v>65.014821037749854</v>
      </c>
      <c r="K57" s="24">
        <v>69.210626819311088</v>
      </c>
      <c r="L57" s="24">
        <v>73.734417260875929</v>
      </c>
      <c r="M57" s="24">
        <v>78.647612880643905</v>
      </c>
      <c r="N57" s="24">
        <v>84.026204346404839</v>
      </c>
      <c r="O57" s="24">
        <v>89.926066556394701</v>
      </c>
      <c r="P57" s="24">
        <v>96.411063054316841</v>
      </c>
      <c r="Q57" s="14"/>
      <c r="R57" s="14"/>
    </row>
    <row r="58" spans="1:18" x14ac:dyDescent="0.35">
      <c r="A58" s="39" t="s">
        <v>49</v>
      </c>
      <c r="B58" s="35" t="s">
        <v>27</v>
      </c>
      <c r="C58" s="36" t="s">
        <v>31</v>
      </c>
      <c r="D58" s="24">
        <v>30.252540844975723</v>
      </c>
      <c r="E58" s="24">
        <v>31.659549400205186</v>
      </c>
      <c r="F58" s="24">
        <v>33.198700258191337</v>
      </c>
      <c r="G58" s="24">
        <v>34.815610987304588</v>
      </c>
      <c r="H58" s="24">
        <v>36.527887008316725</v>
      </c>
      <c r="I58" s="24">
        <v>38.3577177509096</v>
      </c>
      <c r="J58" s="24">
        <v>40.309292327449832</v>
      </c>
      <c r="K58" s="24">
        <v>42.471680940879494</v>
      </c>
      <c r="L58" s="24">
        <v>44.785174141099013</v>
      </c>
      <c r="M58" s="24">
        <v>47.281609657234938</v>
      </c>
      <c r="N58" s="24">
        <v>50.000172809051804</v>
      </c>
      <c r="O58" s="24">
        <v>52.966349280568416</v>
      </c>
      <c r="P58" s="24">
        <v>56.209136211579782</v>
      </c>
      <c r="Q58" s="14"/>
      <c r="R58" s="14"/>
    </row>
    <row r="59" spans="1:18" x14ac:dyDescent="0.35">
      <c r="A59" s="39" t="s">
        <v>49</v>
      </c>
      <c r="B59" s="35" t="s">
        <v>27</v>
      </c>
      <c r="C59" s="36" t="s">
        <v>32</v>
      </c>
      <c r="D59" s="24">
        <v>23.100550708934158</v>
      </c>
      <c r="E59" s="24">
        <v>23.826531644651084</v>
      </c>
      <c r="F59" s="24">
        <v>24.598479931877996</v>
      </c>
      <c r="G59" s="24">
        <v>25.411081463326365</v>
      </c>
      <c r="H59" s="24">
        <v>26.259951080292311</v>
      </c>
      <c r="I59" s="24">
        <v>27.155611379938694</v>
      </c>
      <c r="J59" s="24">
        <v>28.12347566720095</v>
      </c>
      <c r="K59" s="24">
        <v>29.152581546993154</v>
      </c>
      <c r="L59" s="24">
        <v>30.257621689658727</v>
      </c>
      <c r="M59" s="24">
        <v>31.435399646436213</v>
      </c>
      <c r="N59" s="24">
        <v>32.68092816684922</v>
      </c>
      <c r="O59" s="24">
        <v>34.022736255002549</v>
      </c>
      <c r="P59" s="24">
        <v>35.470476086081582</v>
      </c>
      <c r="Q59" s="14"/>
      <c r="R59" s="14"/>
    </row>
    <row r="60" spans="1:18" x14ac:dyDescent="0.35">
      <c r="A60" s="39" t="s">
        <v>49</v>
      </c>
      <c r="B60" s="35" t="s">
        <v>27</v>
      </c>
      <c r="C60" s="36" t="s">
        <v>33</v>
      </c>
      <c r="D60" s="24">
        <v>11.697434217395571</v>
      </c>
      <c r="E60" s="24">
        <v>12.125528145528969</v>
      </c>
      <c r="F60" s="24">
        <v>12.587990693541986</v>
      </c>
      <c r="G60" s="24">
        <v>13.092253754432967</v>
      </c>
      <c r="H60" s="24">
        <v>13.631570111342752</v>
      </c>
      <c r="I60" s="24">
        <v>14.230047528611497</v>
      </c>
      <c r="J60" s="24">
        <v>14.86249806950922</v>
      </c>
      <c r="K60" s="24">
        <v>15.561561710318223</v>
      </c>
      <c r="L60" s="24">
        <v>16.318675641315192</v>
      </c>
      <c r="M60" s="24">
        <v>17.139819188810087</v>
      </c>
      <c r="N60" s="24">
        <v>18.041715869131238</v>
      </c>
      <c r="O60" s="24">
        <v>19.034264554348599</v>
      </c>
      <c r="P60" s="24">
        <v>20.116805533918853</v>
      </c>
      <c r="Q60" s="14"/>
      <c r="R60" s="14"/>
    </row>
    <row r="61" spans="1:18" x14ac:dyDescent="0.35">
      <c r="A61" s="39" t="s">
        <v>49</v>
      </c>
      <c r="B61" s="35" t="s">
        <v>34</v>
      </c>
      <c r="C61" s="36" t="s">
        <v>35</v>
      </c>
      <c r="D61" s="24">
        <v>91.159094389509193</v>
      </c>
      <c r="E61" s="24">
        <v>93.605909350537843</v>
      </c>
      <c r="F61" s="24">
        <v>96.873624758674737</v>
      </c>
      <c r="G61" s="24">
        <v>100.35205683045547</v>
      </c>
      <c r="H61" s="24">
        <v>104.12513186781075</v>
      </c>
      <c r="I61" s="24">
        <v>108.134067842608</v>
      </c>
      <c r="J61" s="24">
        <v>112.46977633767355</v>
      </c>
      <c r="K61" s="24">
        <v>117.23534351247929</v>
      </c>
      <c r="L61" s="24">
        <v>122.17125776449561</v>
      </c>
      <c r="M61" s="24">
        <v>127.61177838653876</v>
      </c>
      <c r="N61" s="24">
        <v>133.26631105940794</v>
      </c>
      <c r="O61" s="24">
        <v>139.2669014174005</v>
      </c>
      <c r="P61" s="24">
        <v>145.98672039060597</v>
      </c>
      <c r="Q61" s="14"/>
      <c r="R61" s="14"/>
    </row>
    <row r="62" spans="1:18" x14ac:dyDescent="0.35">
      <c r="A62" s="39" t="s">
        <v>49</v>
      </c>
      <c r="B62" s="35" t="s">
        <v>34</v>
      </c>
      <c r="C62" s="36" t="s">
        <v>36</v>
      </c>
      <c r="D62" s="24">
        <v>81.56239527977948</v>
      </c>
      <c r="E62" s="24">
        <v>86.217710008300074</v>
      </c>
      <c r="F62" s="24">
        <v>91.162337246349324</v>
      </c>
      <c r="G62" s="24">
        <v>96.443605064867626</v>
      </c>
      <c r="H62" s="24">
        <v>102.11875358302437</v>
      </c>
      <c r="I62" s="24">
        <v>108.19968314555535</v>
      </c>
      <c r="J62" s="24">
        <v>114.67268898410327</v>
      </c>
      <c r="K62" s="24">
        <v>121.63572537524375</v>
      </c>
      <c r="L62" s="24">
        <v>129.21066575482538</v>
      </c>
      <c r="M62" s="24">
        <v>137.34053191817748</v>
      </c>
      <c r="N62" s="24">
        <v>146.1641448187402</v>
      </c>
      <c r="O62" s="24">
        <v>155.70523698962126</v>
      </c>
      <c r="P62" s="24">
        <v>166.03442552138307</v>
      </c>
      <c r="Q62" s="21"/>
      <c r="R62" s="21"/>
    </row>
    <row r="63" spans="1:18" x14ac:dyDescent="0.35">
      <c r="A63" s="39" t="s">
        <v>49</v>
      </c>
      <c r="B63" s="35" t="s">
        <v>34</v>
      </c>
      <c r="C63" s="36" t="s">
        <v>37</v>
      </c>
      <c r="D63" s="24">
        <v>52.084411763858753</v>
      </c>
      <c r="E63" s="24">
        <v>54.548960920616373</v>
      </c>
      <c r="F63" s="24">
        <v>57.245058676355249</v>
      </c>
      <c r="G63" s="24">
        <v>60.079469223988383</v>
      </c>
      <c r="H63" s="24">
        <v>63.082893718724677</v>
      </c>
      <c r="I63" s="24">
        <v>66.294044326612948</v>
      </c>
      <c r="J63" s="24">
        <v>69.720642119648502</v>
      </c>
      <c r="K63" s="24">
        <v>73.517245337640446</v>
      </c>
      <c r="L63" s="24">
        <v>77.581353731560768</v>
      </c>
      <c r="M63" s="24">
        <v>81.968737952786967</v>
      </c>
      <c r="N63" s="24">
        <v>86.748077202440811</v>
      </c>
      <c r="O63" s="24">
        <v>91.964491992317761</v>
      </c>
      <c r="P63" s="24">
        <v>97.669336553132737</v>
      </c>
      <c r="Q63" s="21"/>
      <c r="R63" s="21"/>
    </row>
    <row r="64" spans="1:18" x14ac:dyDescent="0.35">
      <c r="A64" s="39" t="s">
        <v>49</v>
      </c>
      <c r="B64" s="35" t="s">
        <v>34</v>
      </c>
      <c r="C64" s="36" t="s">
        <v>38</v>
      </c>
      <c r="D64" s="24">
        <v>21.677928510423335</v>
      </c>
      <c r="E64" s="24">
        <v>22.601859727012975</v>
      </c>
      <c r="F64" s="24">
        <v>23.587131607201016</v>
      </c>
      <c r="G64" s="24">
        <v>24.630353944432002</v>
      </c>
      <c r="H64" s="24">
        <v>25.728850946084155</v>
      </c>
      <c r="I64" s="24">
        <v>26.894401125008887</v>
      </c>
      <c r="J64" s="24">
        <v>28.154006837014418</v>
      </c>
      <c r="K64" s="24">
        <v>29.499381063561501</v>
      </c>
      <c r="L64" s="24">
        <v>30.947777805706188</v>
      </c>
      <c r="M64" s="24">
        <v>32.498844221997757</v>
      </c>
      <c r="N64" s="24">
        <v>34.150294882297892</v>
      </c>
      <c r="O64" s="24">
        <v>35.934704543948406</v>
      </c>
      <c r="P64" s="24">
        <v>37.866049631542765</v>
      </c>
      <c r="Q64" s="21"/>
      <c r="R64" s="21"/>
    </row>
    <row r="65" spans="1:18" x14ac:dyDescent="0.35">
      <c r="A65" s="39" t="s">
        <v>49</v>
      </c>
      <c r="B65" s="35" t="s">
        <v>22</v>
      </c>
      <c r="C65" s="36" t="s">
        <v>39</v>
      </c>
      <c r="D65" s="24">
        <v>74.132776840583233</v>
      </c>
      <c r="E65" s="24">
        <v>76.638901114126213</v>
      </c>
      <c r="F65" s="24">
        <v>80.059351184359798</v>
      </c>
      <c r="G65" s="24">
        <v>83.716223548359011</v>
      </c>
      <c r="H65" s="24">
        <v>87.749544396392537</v>
      </c>
      <c r="I65" s="24">
        <v>92.087475408339344</v>
      </c>
      <c r="J65" s="24">
        <v>96.707889300533338</v>
      </c>
      <c r="K65" s="24">
        <v>101.95963398027979</v>
      </c>
      <c r="L65" s="24">
        <v>107.41412019533612</v>
      </c>
      <c r="M65" s="24">
        <v>113.39759117644854</v>
      </c>
      <c r="N65" s="24">
        <v>119.76182459216511</v>
      </c>
      <c r="O65" s="24">
        <v>126.64040124067918</v>
      </c>
      <c r="P65" s="24">
        <v>134.32911651124425</v>
      </c>
      <c r="Q65" s="21"/>
      <c r="R65" s="21"/>
    </row>
    <row r="66" spans="1:18" x14ac:dyDescent="0.35">
      <c r="A66" s="39" t="s">
        <v>49</v>
      </c>
      <c r="B66" s="35" t="s">
        <v>22</v>
      </c>
      <c r="C66" s="36" t="s">
        <v>40</v>
      </c>
      <c r="D66" s="24">
        <v>58.926422878895913</v>
      </c>
      <c r="E66" s="24">
        <v>61.470703359578508</v>
      </c>
      <c r="F66" s="24">
        <v>64.14919859953153</v>
      </c>
      <c r="G66" s="24">
        <v>66.965406975359983</v>
      </c>
      <c r="H66" s="24">
        <v>69.928184337407615</v>
      </c>
      <c r="I66" s="24">
        <v>73.067376713854657</v>
      </c>
      <c r="J66" s="24">
        <v>76.428981896180062</v>
      </c>
      <c r="K66" s="24">
        <v>79.989306787362537</v>
      </c>
      <c r="L66" s="24">
        <v>83.834867933729484</v>
      </c>
      <c r="M66" s="24">
        <v>87.996814184415342</v>
      </c>
      <c r="N66" s="24">
        <v>92.480858893480914</v>
      </c>
      <c r="O66" s="24">
        <v>97.255914725200157</v>
      </c>
      <c r="P66" s="24">
        <v>102.4477256430918</v>
      </c>
      <c r="Q66" s="21"/>
      <c r="R66" s="21"/>
    </row>
    <row r="67" spans="1:18" x14ac:dyDescent="0.35">
      <c r="A67" s="39" t="s">
        <v>49</v>
      </c>
      <c r="B67" s="35" t="s">
        <v>22</v>
      </c>
      <c r="C67" s="36" t="s">
        <v>41</v>
      </c>
      <c r="D67" s="24">
        <v>42.755666552574148</v>
      </c>
      <c r="E67" s="24">
        <v>44.315048001824415</v>
      </c>
      <c r="F67" s="24">
        <v>45.943434479257107</v>
      </c>
      <c r="G67" s="24">
        <v>47.65839990168481</v>
      </c>
      <c r="H67" s="24">
        <v>49.480829170393491</v>
      </c>
      <c r="I67" s="24">
        <v>51.40775238335403</v>
      </c>
      <c r="J67" s="24">
        <v>53.423955389923982</v>
      </c>
      <c r="K67" s="24">
        <v>55.567119396147085</v>
      </c>
      <c r="L67" s="24">
        <v>57.882646664163758</v>
      </c>
      <c r="M67" s="24">
        <v>60.331931308638055</v>
      </c>
      <c r="N67" s="24">
        <v>62.964903464589014</v>
      </c>
      <c r="O67" s="24">
        <v>65.777656078367926</v>
      </c>
      <c r="P67" s="24">
        <v>68.785884630692735</v>
      </c>
      <c r="Q67" s="21"/>
      <c r="R67" s="21"/>
    </row>
    <row r="68" spans="1:18" x14ac:dyDescent="0.35">
      <c r="A68" s="39" t="s">
        <v>49</v>
      </c>
      <c r="B68" s="35" t="s">
        <v>22</v>
      </c>
      <c r="C68" s="36" t="s">
        <v>42</v>
      </c>
      <c r="D68" s="24">
        <v>70.668963671517474</v>
      </c>
      <c r="E68" s="24">
        <v>74.549787530938119</v>
      </c>
      <c r="F68" s="24">
        <v>78.716168025431912</v>
      </c>
      <c r="G68" s="24">
        <v>83.165454638339696</v>
      </c>
      <c r="H68" s="24">
        <v>87.897072211450336</v>
      </c>
      <c r="I68" s="24">
        <v>92.959591934237196</v>
      </c>
      <c r="J68" s="24">
        <v>98.456287691802359</v>
      </c>
      <c r="K68" s="24">
        <v>104.37163512513558</v>
      </c>
      <c r="L68" s="24">
        <v>110.7794202633586</v>
      </c>
      <c r="M68" s="24">
        <v>117.69355580999903</v>
      </c>
      <c r="N68" s="24">
        <v>125.12124101265181</v>
      </c>
      <c r="O68" s="24">
        <v>133.19736289904068</v>
      </c>
      <c r="P68" s="24">
        <v>141.99380531163573</v>
      </c>
      <c r="Q68" s="21"/>
      <c r="R68" s="21"/>
    </row>
    <row r="69" spans="1:18" x14ac:dyDescent="0.35">
      <c r="A69" s="39" t="s">
        <v>50</v>
      </c>
      <c r="B69" s="35" t="s">
        <v>24</v>
      </c>
      <c r="C69" s="36" t="s">
        <v>25</v>
      </c>
      <c r="D69" s="24">
        <v>7.0592992293474399</v>
      </c>
      <c r="E69" s="24">
        <v>7.2842291787338231</v>
      </c>
      <c r="F69" s="24">
        <v>7.5338657440944816</v>
      </c>
      <c r="G69" s="24">
        <v>7.7963878673593259</v>
      </c>
      <c r="H69" s="24">
        <v>8.0735221908253507</v>
      </c>
      <c r="I69" s="24">
        <v>8.3645863155465925</v>
      </c>
      <c r="J69" s="24">
        <v>8.6688117582990856</v>
      </c>
      <c r="K69" s="24">
        <v>8.9885077986091879</v>
      </c>
      <c r="L69" s="24">
        <v>9.3294075745952671</v>
      </c>
      <c r="M69" s="24">
        <v>9.6960095669720765</v>
      </c>
      <c r="N69" s="24">
        <v>10.085305235874937</v>
      </c>
      <c r="O69" s="24">
        <v>10.496122929443878</v>
      </c>
      <c r="P69" s="24">
        <v>10.933104498454579</v>
      </c>
      <c r="Q69" s="21"/>
      <c r="R69" s="21"/>
    </row>
    <row r="70" spans="1:18" x14ac:dyDescent="0.35">
      <c r="A70" s="39" t="s">
        <v>50</v>
      </c>
      <c r="B70" s="35" t="s">
        <v>24</v>
      </c>
      <c r="C70" s="36" t="s">
        <v>26</v>
      </c>
      <c r="D70" s="24">
        <v>79.78213884317627</v>
      </c>
      <c r="E70" s="24">
        <v>82.574677583520895</v>
      </c>
      <c r="F70" s="24">
        <v>85.795565335118212</v>
      </c>
      <c r="G70" s="24">
        <v>89.203566672784689</v>
      </c>
      <c r="H70" s="24">
        <v>92.845505194491537</v>
      </c>
      <c r="I70" s="24">
        <v>96.713343892714391</v>
      </c>
      <c r="J70" s="24">
        <v>100.84287468468882</v>
      </c>
      <c r="K70" s="24">
        <v>105.33085221133283</v>
      </c>
      <c r="L70" s="24">
        <v>110.09734604898425</v>
      </c>
      <c r="M70" s="24">
        <v>115.24922563269206</v>
      </c>
      <c r="N70" s="24">
        <v>120.73368318424647</v>
      </c>
      <c r="O70" s="24">
        <v>126.62654268396496</v>
      </c>
      <c r="P70" s="24">
        <v>133.07517797407985</v>
      </c>
      <c r="Q70" s="21"/>
      <c r="R70" s="21"/>
    </row>
    <row r="71" spans="1:18" x14ac:dyDescent="0.35">
      <c r="A71" s="39" t="s">
        <v>50</v>
      </c>
      <c r="B71" s="35" t="s">
        <v>27</v>
      </c>
      <c r="C71" s="36" t="s">
        <v>28</v>
      </c>
      <c r="D71" s="24">
        <v>33.043072182838245</v>
      </c>
      <c r="E71" s="24">
        <v>33.831715755980127</v>
      </c>
      <c r="F71" s="24">
        <v>34.905757157112603</v>
      </c>
      <c r="G71" s="24">
        <v>36.03082062094439</v>
      </c>
      <c r="H71" s="24">
        <v>37.24921300792046</v>
      </c>
      <c r="I71" s="24">
        <v>38.499824903311278</v>
      </c>
      <c r="J71" s="24">
        <v>39.837233128685682</v>
      </c>
      <c r="K71" s="24">
        <v>41.265112263021834</v>
      </c>
      <c r="L71" s="24">
        <v>42.729061794372555</v>
      </c>
      <c r="M71" s="24">
        <v>44.312985202059096</v>
      </c>
      <c r="N71" s="24">
        <v>45.906841625685871</v>
      </c>
      <c r="O71" s="24">
        <v>47.556617801101567</v>
      </c>
      <c r="P71" s="24">
        <v>49.369684044598088</v>
      </c>
      <c r="Q71" s="14"/>
      <c r="R71" s="14"/>
    </row>
    <row r="72" spans="1:18" x14ac:dyDescent="0.35">
      <c r="A72" s="39" t="s">
        <v>50</v>
      </c>
      <c r="B72" s="35" t="s">
        <v>27</v>
      </c>
      <c r="C72" s="36" t="s">
        <v>29</v>
      </c>
      <c r="D72" s="24">
        <v>17.573490484262457</v>
      </c>
      <c r="E72" s="24">
        <v>18.361046323589566</v>
      </c>
      <c r="F72" s="24">
        <v>19.222581683031279</v>
      </c>
      <c r="G72" s="24">
        <v>20.126240174865138</v>
      </c>
      <c r="H72" s="24">
        <v>21.081984820792698</v>
      </c>
      <c r="I72" s="24">
        <v>22.102359106590665</v>
      </c>
      <c r="J72" s="24">
        <v>23.189452497152399</v>
      </c>
      <c r="K72" s="24">
        <v>24.394170886394285</v>
      </c>
      <c r="L72" s="24">
        <v>25.681637882919038</v>
      </c>
      <c r="M72" s="24">
        <v>27.069696340103611</v>
      </c>
      <c r="N72" s="24">
        <v>28.580279661760748</v>
      </c>
      <c r="O72" s="24">
        <v>30.227348134767308</v>
      </c>
      <c r="P72" s="24">
        <v>32.026774620852088</v>
      </c>
      <c r="Q72" s="14"/>
      <c r="R72" s="14"/>
    </row>
    <row r="73" spans="1:18" x14ac:dyDescent="0.35">
      <c r="A73" s="39" t="s">
        <v>50</v>
      </c>
      <c r="B73" s="35" t="s">
        <v>27</v>
      </c>
      <c r="C73" s="36" t="s">
        <v>30</v>
      </c>
      <c r="D73" s="24">
        <v>15.085536921692048</v>
      </c>
      <c r="E73" s="24">
        <v>15.768734369982452</v>
      </c>
      <c r="F73" s="24">
        <v>16.507193213219303</v>
      </c>
      <c r="G73" s="24">
        <v>17.311919719298032</v>
      </c>
      <c r="H73" s="24">
        <v>18.175516832095568</v>
      </c>
      <c r="I73" s="24">
        <v>19.131453941258702</v>
      </c>
      <c r="J73" s="24">
        <v>20.148017448383104</v>
      </c>
      <c r="K73" s="24">
        <v>21.270793896660368</v>
      </c>
      <c r="L73" s="24">
        <v>22.490542394219091</v>
      </c>
      <c r="M73" s="24">
        <v>23.817714777574757</v>
      </c>
      <c r="N73" s="24">
        <v>25.278001651259469</v>
      </c>
      <c r="O73" s="24">
        <v>26.888338960297517</v>
      </c>
      <c r="P73" s="24">
        <v>28.651253213387399</v>
      </c>
      <c r="Q73" s="14"/>
      <c r="R73" s="14"/>
    </row>
    <row r="74" spans="1:18" x14ac:dyDescent="0.35">
      <c r="A74" s="39" t="s">
        <v>50</v>
      </c>
      <c r="B74" s="35" t="s">
        <v>27</v>
      </c>
      <c r="C74" s="36" t="s">
        <v>31</v>
      </c>
      <c r="D74" s="24">
        <v>10.951296784408832</v>
      </c>
      <c r="E74" s="24">
        <v>11.413568243014508</v>
      </c>
      <c r="F74" s="24">
        <v>11.899875900221074</v>
      </c>
      <c r="G74" s="24">
        <v>12.410799955965627</v>
      </c>
      <c r="H74" s="24">
        <v>12.947911213536155</v>
      </c>
      <c r="I74" s="24">
        <v>13.516661044501005</v>
      </c>
      <c r="J74" s="24">
        <v>14.125468389359803</v>
      </c>
      <c r="K74" s="24">
        <v>14.769840750519412</v>
      </c>
      <c r="L74" s="24">
        <v>15.465651935109008</v>
      </c>
      <c r="M74" s="24">
        <v>16.218502903572453</v>
      </c>
      <c r="N74" s="24">
        <v>17.029285776792609</v>
      </c>
      <c r="O74" s="24">
        <v>17.892112672210502</v>
      </c>
      <c r="P74" s="24">
        <v>18.829969147728072</v>
      </c>
      <c r="Q74" s="14"/>
      <c r="R74" s="14"/>
    </row>
    <row r="75" spans="1:18" x14ac:dyDescent="0.35">
      <c r="A75" s="39" t="s">
        <v>50</v>
      </c>
      <c r="B75" s="35" t="s">
        <v>27</v>
      </c>
      <c r="C75" s="36" t="s">
        <v>32</v>
      </c>
      <c r="D75" s="24">
        <v>6.493212124439129</v>
      </c>
      <c r="E75" s="24">
        <v>6.6573862297225155</v>
      </c>
      <c r="F75" s="24">
        <v>6.8275337869270922</v>
      </c>
      <c r="G75" s="24">
        <v>7.0060041010200038</v>
      </c>
      <c r="H75" s="24">
        <v>7.1955266525730934</v>
      </c>
      <c r="I75" s="24">
        <v>7.3952374699595262</v>
      </c>
      <c r="J75" s="24">
        <v>7.6025397155744949</v>
      </c>
      <c r="K75" s="24">
        <v>7.8224674665480736</v>
      </c>
      <c r="L75" s="24">
        <v>8.0609185754389561</v>
      </c>
      <c r="M75" s="24">
        <v>8.3118283375065474</v>
      </c>
      <c r="N75" s="24">
        <v>8.5815760121059412</v>
      </c>
      <c r="O75" s="24">
        <v>8.8689196730598052</v>
      </c>
      <c r="P75" s="24">
        <v>9.1752993652093071</v>
      </c>
      <c r="Q75" s="14"/>
      <c r="R75" s="14"/>
    </row>
    <row r="76" spans="1:18" x14ac:dyDescent="0.35">
      <c r="A76" s="39" t="s">
        <v>50</v>
      </c>
      <c r="B76" s="35" t="s">
        <v>27</v>
      </c>
      <c r="C76" s="36" t="s">
        <v>33</v>
      </c>
      <c r="D76" s="24">
        <v>3.6948295748830016</v>
      </c>
      <c r="E76" s="24">
        <v>3.8264558399655479</v>
      </c>
      <c r="F76" s="24">
        <v>3.9664893387013413</v>
      </c>
      <c r="G76" s="24">
        <v>4.1141699680508248</v>
      </c>
      <c r="H76" s="24">
        <v>4.2688748583989042</v>
      </c>
      <c r="I76" s="24">
        <v>4.4323937426398103</v>
      </c>
      <c r="J76" s="24">
        <v>4.6089752638324164</v>
      </c>
      <c r="K76" s="24">
        <v>4.796974746798047</v>
      </c>
      <c r="L76" s="24">
        <v>4.9989410415208706</v>
      </c>
      <c r="M76" s="24">
        <v>5.2145076388476674</v>
      </c>
      <c r="N76" s="24">
        <v>5.4430036925167613</v>
      </c>
      <c r="O76" s="24">
        <v>5.689328371972123</v>
      </c>
      <c r="P76" s="24">
        <v>5.9553020807594823</v>
      </c>
      <c r="Q76" s="14"/>
      <c r="R76" s="14"/>
    </row>
    <row r="77" spans="1:18" x14ac:dyDescent="0.35">
      <c r="A77" s="39" t="s">
        <v>50</v>
      </c>
      <c r="B77" s="35" t="s">
        <v>34</v>
      </c>
      <c r="C77" s="36" t="s">
        <v>35</v>
      </c>
      <c r="D77" s="24">
        <v>27.095948983760692</v>
      </c>
      <c r="E77" s="24">
        <v>27.642364140867471</v>
      </c>
      <c r="F77" s="24">
        <v>28.468828451966615</v>
      </c>
      <c r="G77" s="24">
        <v>29.349080801662026</v>
      </c>
      <c r="H77" s="24">
        <v>30.295892021072135</v>
      </c>
      <c r="I77" s="24">
        <v>31.271048094102994</v>
      </c>
      <c r="J77" s="24">
        <v>32.296199414255767</v>
      </c>
      <c r="K77" s="24">
        <v>33.406813140447298</v>
      </c>
      <c r="L77" s="24">
        <v>34.53027748998683</v>
      </c>
      <c r="M77" s="24">
        <v>35.770956316896175</v>
      </c>
      <c r="N77" s="24">
        <v>36.995551956966594</v>
      </c>
      <c r="O77" s="24">
        <v>38.308997579873534</v>
      </c>
      <c r="P77" s="24">
        <v>39.772432317076721</v>
      </c>
      <c r="Q77" s="14"/>
      <c r="R77" s="14"/>
    </row>
    <row r="78" spans="1:18" x14ac:dyDescent="0.35">
      <c r="A78" s="39" t="s">
        <v>50</v>
      </c>
      <c r="B78" s="35" t="s">
        <v>34</v>
      </c>
      <c r="C78" s="36" t="s">
        <v>36</v>
      </c>
      <c r="D78" s="24">
        <v>31.900688531211113</v>
      </c>
      <c r="E78" s="24">
        <v>33.310890091861943</v>
      </c>
      <c r="F78" s="24">
        <v>34.821395183244498</v>
      </c>
      <c r="G78" s="24">
        <v>36.423539536862798</v>
      </c>
      <c r="H78" s="24">
        <v>38.147392351649778</v>
      </c>
      <c r="I78" s="24">
        <v>40.007086059252622</v>
      </c>
      <c r="J78" s="24">
        <v>41.992968791110478</v>
      </c>
      <c r="K78" s="24">
        <v>44.168287096414154</v>
      </c>
      <c r="L78" s="24">
        <v>46.515955353805722</v>
      </c>
      <c r="M78" s="24">
        <v>49.031353338103187</v>
      </c>
      <c r="N78" s="24">
        <v>51.776055628998002</v>
      </c>
      <c r="O78" s="24">
        <v>54.72514381078711</v>
      </c>
      <c r="P78" s="24">
        <v>57.92468327730284</v>
      </c>
      <c r="Q78" s="14"/>
      <c r="R78" s="14"/>
    </row>
    <row r="79" spans="1:18" x14ac:dyDescent="0.35">
      <c r="A79" s="39" t="s">
        <v>50</v>
      </c>
      <c r="B79" s="35" t="s">
        <v>34</v>
      </c>
      <c r="C79" s="36" t="s">
        <v>37</v>
      </c>
      <c r="D79" s="24">
        <v>18.848362347799995</v>
      </c>
      <c r="E79" s="24">
        <v>19.636898589248421</v>
      </c>
      <c r="F79" s="24">
        <v>20.4662056244503</v>
      </c>
      <c r="G79" s="24">
        <v>21.337236402347575</v>
      </c>
      <c r="H79" s="24">
        <v>22.252645538462371</v>
      </c>
      <c r="I79" s="24">
        <v>23.221753022402019</v>
      </c>
      <c r="J79" s="24">
        <v>24.258963676071261</v>
      </c>
      <c r="K79" s="24">
        <v>25.356487539259295</v>
      </c>
      <c r="L79" s="24">
        <v>26.541510137711942</v>
      </c>
      <c r="M79" s="24">
        <v>27.823548054141458</v>
      </c>
      <c r="N79" s="24">
        <v>29.204025945544892</v>
      </c>
      <c r="O79" s="24">
        <v>30.672739124160902</v>
      </c>
      <c r="P79" s="24">
        <v>32.26899560374423</v>
      </c>
      <c r="Q79" s="14"/>
      <c r="R79" s="14"/>
    </row>
    <row r="80" spans="1:18" x14ac:dyDescent="0.35">
      <c r="A80" s="39" t="s">
        <v>50</v>
      </c>
      <c r="B80" s="35" t="s">
        <v>34</v>
      </c>
      <c r="C80" s="36" t="s">
        <v>38</v>
      </c>
      <c r="D80" s="24">
        <v>8.9964382097519167</v>
      </c>
      <c r="E80" s="24">
        <v>9.268753940276877</v>
      </c>
      <c r="F80" s="24">
        <v>9.5730018195512852</v>
      </c>
      <c r="G80" s="24">
        <v>9.8900977992716115</v>
      </c>
      <c r="H80" s="24">
        <v>10.223097474132601</v>
      </c>
      <c r="I80" s="24">
        <v>10.578043032503341</v>
      </c>
      <c r="J80" s="24">
        <v>10.963554561550396</v>
      </c>
      <c r="K80" s="24">
        <v>11.387772233821268</v>
      </c>
      <c r="L80" s="24">
        <v>11.83901064207503</v>
      </c>
      <c r="M80" s="24">
        <v>12.319377490523326</v>
      </c>
      <c r="N80" s="24">
        <v>12.843354888611907</v>
      </c>
      <c r="O80" s="24">
        <v>13.415785098587278</v>
      </c>
      <c r="P80" s="24">
        <v>14.042171274410629</v>
      </c>
      <c r="Q80" s="14"/>
      <c r="R80" s="14"/>
    </row>
    <row r="81" spans="1:18" x14ac:dyDescent="0.35">
      <c r="A81" s="39" t="s">
        <v>50</v>
      </c>
      <c r="B81" s="35" t="s">
        <v>22</v>
      </c>
      <c r="C81" s="36" t="s">
        <v>39</v>
      </c>
      <c r="D81" s="24">
        <v>24.497402859111503</v>
      </c>
      <c r="E81" s="24">
        <v>25.246626126851581</v>
      </c>
      <c r="F81" s="24">
        <v>26.308432899051553</v>
      </c>
      <c r="G81" s="24">
        <v>27.43195381875104</v>
      </c>
      <c r="H81" s="24">
        <v>28.620636166475876</v>
      </c>
      <c r="I81" s="24">
        <v>29.854054631674231</v>
      </c>
      <c r="J81" s="24">
        <v>31.18998047217552</v>
      </c>
      <c r="K81" s="24">
        <v>32.638155885114884</v>
      </c>
      <c r="L81" s="24">
        <v>34.119165343058313</v>
      </c>
      <c r="M81" s="24">
        <v>35.775805227686547</v>
      </c>
      <c r="N81" s="24">
        <v>37.459338114575786</v>
      </c>
      <c r="O81" s="24">
        <v>39.276611685611925</v>
      </c>
      <c r="P81" s="24">
        <v>41.325680415070849</v>
      </c>
      <c r="Q81" s="14"/>
      <c r="R81" s="14"/>
    </row>
    <row r="82" spans="1:18" x14ac:dyDescent="0.35">
      <c r="A82" s="39" t="s">
        <v>50</v>
      </c>
      <c r="B82" s="35" t="s">
        <v>22</v>
      </c>
      <c r="C82" s="36" t="s">
        <v>40</v>
      </c>
      <c r="D82" s="24">
        <v>21.313748466811859</v>
      </c>
      <c r="E82" s="24">
        <v>21.987423555416882</v>
      </c>
      <c r="F82" s="24">
        <v>22.707450756650296</v>
      </c>
      <c r="G82" s="24">
        <v>23.466149579734825</v>
      </c>
      <c r="H82" s="24">
        <v>24.281117988907241</v>
      </c>
      <c r="I82" s="24">
        <v>25.15892323187283</v>
      </c>
      <c r="J82" s="24">
        <v>26.090805226138002</v>
      </c>
      <c r="K82" s="24">
        <v>27.11365638504607</v>
      </c>
      <c r="L82" s="24">
        <v>28.213233050477662</v>
      </c>
      <c r="M82" s="24">
        <v>29.383449423901734</v>
      </c>
      <c r="N82" s="24">
        <v>30.658105201744842</v>
      </c>
      <c r="O82" s="24">
        <v>32.018101158746916</v>
      </c>
      <c r="P82" s="24">
        <v>33.486680704358989</v>
      </c>
      <c r="Q82" s="14"/>
      <c r="R82" s="14"/>
    </row>
    <row r="83" spans="1:18" x14ac:dyDescent="0.35">
      <c r="A83" s="39" t="s">
        <v>50</v>
      </c>
      <c r="B83" s="35" t="s">
        <v>22</v>
      </c>
      <c r="C83" s="36" t="s">
        <v>41</v>
      </c>
      <c r="D83" s="24">
        <v>16.666382117396029</v>
      </c>
      <c r="E83" s="24">
        <v>17.076713930486129</v>
      </c>
      <c r="F83" s="24">
        <v>17.516610451252365</v>
      </c>
      <c r="G83" s="24">
        <v>17.979481299867828</v>
      </c>
      <c r="H83" s="24">
        <v>18.47827391425152</v>
      </c>
      <c r="I83" s="24">
        <v>19.017184571789294</v>
      </c>
      <c r="J83" s="24">
        <v>19.588700652451713</v>
      </c>
      <c r="K83" s="24">
        <v>20.219776166741038</v>
      </c>
      <c r="L83" s="24">
        <v>20.89849623769198</v>
      </c>
      <c r="M83" s="24">
        <v>21.619292963678085</v>
      </c>
      <c r="N83" s="24">
        <v>22.406080684757228</v>
      </c>
      <c r="O83" s="24">
        <v>23.243460246983862</v>
      </c>
      <c r="P83" s="24">
        <v>24.14716500214497</v>
      </c>
      <c r="Q83" s="14"/>
      <c r="R83" s="14"/>
    </row>
    <row r="84" spans="1:18" x14ac:dyDescent="0.35">
      <c r="A84" s="39" t="s">
        <v>50</v>
      </c>
      <c r="B84" s="35" t="s">
        <v>22</v>
      </c>
      <c r="C84" s="36" t="s">
        <v>42</v>
      </c>
      <c r="D84" s="24">
        <v>24.363904629204328</v>
      </c>
      <c r="E84" s="24">
        <v>25.548143149500124</v>
      </c>
      <c r="F84" s="24">
        <v>26.796936972258475</v>
      </c>
      <c r="G84" s="24">
        <v>28.12236984179032</v>
      </c>
      <c r="H84" s="24">
        <v>29.538999315682254</v>
      </c>
      <c r="I84" s="24">
        <v>31.047767772924637</v>
      </c>
      <c r="J84" s="24">
        <v>32.64220009222268</v>
      </c>
      <c r="K84" s="24">
        <v>34.347771573040013</v>
      </c>
      <c r="L84" s="24">
        <v>36.195858992351567</v>
      </c>
      <c r="M84" s="24">
        <v>38.166687584397778</v>
      </c>
      <c r="N84" s="24">
        <v>40.295464419043533</v>
      </c>
      <c r="O84" s="24">
        <v>42.584492522066128</v>
      </c>
      <c r="P84" s="24">
        <v>45.048756350959628</v>
      </c>
      <c r="Q84" s="14"/>
      <c r="R84" s="14"/>
    </row>
    <row r="85" spans="1:18" x14ac:dyDescent="0.35">
      <c r="A85" s="39" t="s">
        <v>51</v>
      </c>
      <c r="B85" s="35" t="s">
        <v>24</v>
      </c>
      <c r="C85" s="36" t="s">
        <v>25</v>
      </c>
      <c r="D85" s="24">
        <v>42.556732360863819</v>
      </c>
      <c r="E85" s="24">
        <v>44.492273190066314</v>
      </c>
      <c r="F85" s="24">
        <v>46.528025075649772</v>
      </c>
      <c r="G85" s="24">
        <v>48.684006210318032</v>
      </c>
      <c r="H85" s="24">
        <v>50.984272631290558</v>
      </c>
      <c r="I85" s="24">
        <v>53.429086997441331</v>
      </c>
      <c r="J85" s="24">
        <v>56.005935767172751</v>
      </c>
      <c r="K85" s="24">
        <v>58.757264409293249</v>
      </c>
      <c r="L85" s="24">
        <v>61.735101217702237</v>
      </c>
      <c r="M85" s="24">
        <v>64.903603588190478</v>
      </c>
      <c r="N85" s="24">
        <v>68.320839125888256</v>
      </c>
      <c r="O85" s="24">
        <v>71.988387394819938</v>
      </c>
      <c r="P85" s="24">
        <v>75.929232514618576</v>
      </c>
      <c r="Q85" s="14"/>
      <c r="R85" s="14"/>
    </row>
    <row r="86" spans="1:18" x14ac:dyDescent="0.35">
      <c r="A86" s="39" t="s">
        <v>51</v>
      </c>
      <c r="B86" s="35" t="s">
        <v>24</v>
      </c>
      <c r="C86" s="36" t="s">
        <v>26</v>
      </c>
      <c r="D86" s="24">
        <v>429.54231143505768</v>
      </c>
      <c r="E86" s="24">
        <v>451.73752411658484</v>
      </c>
      <c r="F86" s="24">
        <v>475.51855063844562</v>
      </c>
      <c r="G86" s="24">
        <v>500.85389352742544</v>
      </c>
      <c r="H86" s="24">
        <v>527.72483782603695</v>
      </c>
      <c r="I86" s="24">
        <v>556.40786402261949</v>
      </c>
      <c r="J86" s="24">
        <v>587.50337745663796</v>
      </c>
      <c r="K86" s="24">
        <v>620.89541873883832</v>
      </c>
      <c r="L86" s="24">
        <v>657.00059389023511</v>
      </c>
      <c r="M86" s="24">
        <v>695.87517243141644</v>
      </c>
      <c r="N86" s="24">
        <v>737.5348672343149</v>
      </c>
      <c r="O86" s="24">
        <v>782.74767860709721</v>
      </c>
      <c r="P86" s="24">
        <v>831.90180934363582</v>
      </c>
      <c r="Q86" s="21"/>
      <c r="R86" s="21"/>
    </row>
    <row r="87" spans="1:18" x14ac:dyDescent="0.35">
      <c r="A87" s="39" t="s">
        <v>51</v>
      </c>
      <c r="B87" s="35" t="s">
        <v>27</v>
      </c>
      <c r="C87" s="36" t="s">
        <v>28</v>
      </c>
      <c r="D87" s="24">
        <v>162.90816001775539</v>
      </c>
      <c r="E87" s="24">
        <v>170.83611719234921</v>
      </c>
      <c r="F87" s="24">
        <v>179.14951094281031</v>
      </c>
      <c r="G87" s="24">
        <v>187.79433074269878</v>
      </c>
      <c r="H87" s="24">
        <v>196.76109755549129</v>
      </c>
      <c r="I87" s="24">
        <v>205.93587097331221</v>
      </c>
      <c r="J87" s="24">
        <v>215.98624665232467</v>
      </c>
      <c r="K87" s="24">
        <v>226.3413934606603</v>
      </c>
      <c r="L87" s="24">
        <v>237.39760975202938</v>
      </c>
      <c r="M87" s="24">
        <v>249.07070860625561</v>
      </c>
      <c r="N87" s="24">
        <v>261.00003378069255</v>
      </c>
      <c r="O87" s="24">
        <v>273.56186683009378</v>
      </c>
      <c r="P87" s="24">
        <v>286.92998799274073</v>
      </c>
      <c r="Q87" s="21"/>
      <c r="R87" s="21"/>
    </row>
    <row r="88" spans="1:18" x14ac:dyDescent="0.35">
      <c r="A88" s="39" t="s">
        <v>51</v>
      </c>
      <c r="B88" s="35" t="s">
        <v>27</v>
      </c>
      <c r="C88" s="36" t="s">
        <v>29</v>
      </c>
      <c r="D88" s="24">
        <v>96.543262833456126</v>
      </c>
      <c r="E88" s="24">
        <v>101.63793234601307</v>
      </c>
      <c r="F88" s="24">
        <v>107.15821104823911</v>
      </c>
      <c r="G88" s="24">
        <v>113.18400155953051</v>
      </c>
      <c r="H88" s="24">
        <v>119.67704404257533</v>
      </c>
      <c r="I88" s="24">
        <v>126.86692626783206</v>
      </c>
      <c r="J88" s="24">
        <v>134.55738602711995</v>
      </c>
      <c r="K88" s="24">
        <v>143.06262395779311</v>
      </c>
      <c r="L88" s="24">
        <v>152.33686152071283</v>
      </c>
      <c r="M88" s="24">
        <v>162.46617298374235</v>
      </c>
      <c r="N88" s="24">
        <v>173.64279922127068</v>
      </c>
      <c r="O88" s="24">
        <v>186.00402898348017</v>
      </c>
      <c r="P88" s="24">
        <v>199.59104112746624</v>
      </c>
      <c r="Q88" s="21"/>
      <c r="R88" s="21"/>
    </row>
    <row r="89" spans="1:18" x14ac:dyDescent="0.35">
      <c r="A89" s="39" t="s">
        <v>51</v>
      </c>
      <c r="B89" s="35" t="s">
        <v>27</v>
      </c>
      <c r="C89" s="36" t="s">
        <v>30</v>
      </c>
      <c r="D89" s="24">
        <v>81.666312549131789</v>
      </c>
      <c r="E89" s="24">
        <v>86.924238822693482</v>
      </c>
      <c r="F89" s="24">
        <v>92.605149650944455</v>
      </c>
      <c r="G89" s="24">
        <v>98.716226151201738</v>
      </c>
      <c r="H89" s="24">
        <v>105.26718719218788</v>
      </c>
      <c r="I89" s="24">
        <v>112.32677483976254</v>
      </c>
      <c r="J89" s="24">
        <v>120.03210665062645</v>
      </c>
      <c r="K89" s="24">
        <v>128.38015571861342</v>
      </c>
      <c r="L89" s="24">
        <v>137.47735954742168</v>
      </c>
      <c r="M89" s="24">
        <v>147.35937705776155</v>
      </c>
      <c r="N89" s="24">
        <v>158.05441083379287</v>
      </c>
      <c r="O89" s="24">
        <v>169.75263195939112</v>
      </c>
      <c r="P89" s="24">
        <v>182.5703444272747</v>
      </c>
      <c r="Q89" s="21"/>
      <c r="R89" s="21"/>
    </row>
    <row r="90" spans="1:18" x14ac:dyDescent="0.35">
      <c r="A90" s="39" t="s">
        <v>51</v>
      </c>
      <c r="B90" s="35" t="s">
        <v>27</v>
      </c>
      <c r="C90" s="36" t="s">
        <v>31</v>
      </c>
      <c r="D90" s="24">
        <v>60.479405648574705</v>
      </c>
      <c r="E90" s="24">
        <v>63.803047044198244</v>
      </c>
      <c r="F90" s="24">
        <v>67.326805201336597</v>
      </c>
      <c r="G90" s="24">
        <v>71.084365499551325</v>
      </c>
      <c r="H90" s="24">
        <v>75.11644253736111</v>
      </c>
      <c r="I90" s="24">
        <v>79.430066399431908</v>
      </c>
      <c r="J90" s="24">
        <v>84.013405832326654</v>
      </c>
      <c r="K90" s="24">
        <v>88.936521241799056</v>
      </c>
      <c r="L90" s="24">
        <v>94.286392788153492</v>
      </c>
      <c r="M90" s="24">
        <v>100.01878538771808</v>
      </c>
      <c r="N90" s="24">
        <v>106.23239643586061</v>
      </c>
      <c r="O90" s="24">
        <v>112.94147756817449</v>
      </c>
      <c r="P90" s="24">
        <v>120.19416052798516</v>
      </c>
      <c r="Q90" s="21"/>
      <c r="R90" s="21"/>
    </row>
    <row r="91" spans="1:18" x14ac:dyDescent="0.35">
      <c r="A91" s="39" t="s">
        <v>51</v>
      </c>
      <c r="B91" s="35" t="s">
        <v>27</v>
      </c>
      <c r="C91" s="36" t="s">
        <v>32</v>
      </c>
      <c r="D91" s="24">
        <v>45.350879608368565</v>
      </c>
      <c r="E91" s="24">
        <v>46.834864133683659</v>
      </c>
      <c r="F91" s="24">
        <v>48.487109915384167</v>
      </c>
      <c r="G91" s="24">
        <v>50.212135395972972</v>
      </c>
      <c r="H91" s="24">
        <v>52.025949030113736</v>
      </c>
      <c r="I91" s="24">
        <v>53.959907929577689</v>
      </c>
      <c r="J91" s="24">
        <v>56.058813920899112</v>
      </c>
      <c r="K91" s="24">
        <v>58.365434986597272</v>
      </c>
      <c r="L91" s="24">
        <v>60.821325460428646</v>
      </c>
      <c r="M91" s="24">
        <v>63.438340576239121</v>
      </c>
      <c r="N91" s="24">
        <v>66.292164257791612</v>
      </c>
      <c r="O91" s="24">
        <v>69.409430746390541</v>
      </c>
      <c r="P91" s="24">
        <v>72.820435147142518</v>
      </c>
      <c r="Q91" s="21"/>
      <c r="R91" s="21"/>
    </row>
    <row r="92" spans="1:18" x14ac:dyDescent="0.35">
      <c r="A92" s="39" t="s">
        <v>51</v>
      </c>
      <c r="B92" s="35" t="s">
        <v>27</v>
      </c>
      <c r="C92" s="36" t="s">
        <v>33</v>
      </c>
      <c r="D92" s="24">
        <v>25.151023138634923</v>
      </c>
      <c r="E92" s="24">
        <v>26.193597767713456</v>
      </c>
      <c r="F92" s="24">
        <v>27.319788955380758</v>
      </c>
      <c r="G92" s="24">
        <v>28.546840388788155</v>
      </c>
      <c r="H92" s="24">
        <v>29.861390099598097</v>
      </c>
      <c r="I92" s="24">
        <v>31.317404610144411</v>
      </c>
      <c r="J92" s="24">
        <v>32.861354140513932</v>
      </c>
      <c r="K92" s="24">
        <v>34.566553782668457</v>
      </c>
      <c r="L92" s="24">
        <v>36.416146039191311</v>
      </c>
      <c r="M92" s="24">
        <v>38.425391407890174</v>
      </c>
      <c r="N92" s="24">
        <v>40.633901830794763</v>
      </c>
      <c r="O92" s="24">
        <v>43.066629914387001</v>
      </c>
      <c r="P92" s="24">
        <v>45.725072635644985</v>
      </c>
      <c r="Q92" s="21"/>
      <c r="R92" s="21"/>
    </row>
    <row r="93" spans="1:18" x14ac:dyDescent="0.35">
      <c r="A93" s="39" t="s">
        <v>51</v>
      </c>
      <c r="B93" s="35" t="s">
        <v>34</v>
      </c>
      <c r="C93" s="36" t="s">
        <v>35</v>
      </c>
      <c r="D93" s="24">
        <v>152.58171137225338</v>
      </c>
      <c r="E93" s="24">
        <v>159.624909532765</v>
      </c>
      <c r="F93" s="24">
        <v>166.9003212105373</v>
      </c>
      <c r="G93" s="24">
        <v>174.56207416607543</v>
      </c>
      <c r="H93" s="24">
        <v>182.58272434928682</v>
      </c>
      <c r="I93" s="24">
        <v>190.92260035511953</v>
      </c>
      <c r="J93" s="24">
        <v>199.87298512831853</v>
      </c>
      <c r="K93" s="24">
        <v>209.12206879609465</v>
      </c>
      <c r="L93" s="24">
        <v>219.08848369426335</v>
      </c>
      <c r="M93" s="24">
        <v>229.66036333874865</v>
      </c>
      <c r="N93" s="24">
        <v>240.58297499515493</v>
      </c>
      <c r="O93" s="24">
        <v>252.11635038070006</v>
      </c>
      <c r="P93" s="24">
        <v>264.34340066116249</v>
      </c>
      <c r="Q93" s="21"/>
      <c r="R93" s="21"/>
    </row>
    <row r="94" spans="1:18" x14ac:dyDescent="0.35">
      <c r="A94" s="39" t="s">
        <v>51</v>
      </c>
      <c r="B94" s="35" t="s">
        <v>34</v>
      </c>
      <c r="C94" s="36" t="s">
        <v>36</v>
      </c>
      <c r="D94" s="24">
        <v>171.58791582423962</v>
      </c>
      <c r="E94" s="24">
        <v>181.78168399965111</v>
      </c>
      <c r="F94" s="24">
        <v>192.75768295830554</v>
      </c>
      <c r="G94" s="24">
        <v>204.51899614089413</v>
      </c>
      <c r="H94" s="24">
        <v>217.07378733254353</v>
      </c>
      <c r="I94" s="24">
        <v>230.55165842797385</v>
      </c>
      <c r="J94" s="24">
        <v>245.22000980063538</v>
      </c>
      <c r="K94" s="24">
        <v>261.05480861873411</v>
      </c>
      <c r="L94" s="24">
        <v>278.25488135331193</v>
      </c>
      <c r="M94" s="24">
        <v>296.87192242573428</v>
      </c>
      <c r="N94" s="24">
        <v>316.94143655915934</v>
      </c>
      <c r="O94" s="24">
        <v>338.82283976266046</v>
      </c>
      <c r="P94" s="24">
        <v>362.72122025214878</v>
      </c>
      <c r="Q94" s="21"/>
      <c r="R94" s="21"/>
    </row>
    <row r="95" spans="1:18" x14ac:dyDescent="0.35">
      <c r="A95" s="39" t="s">
        <v>51</v>
      </c>
      <c r="B95" s="35" t="s">
        <v>34</v>
      </c>
      <c r="C95" s="36" t="s">
        <v>37</v>
      </c>
      <c r="D95" s="24">
        <v>101.91533963139528</v>
      </c>
      <c r="E95" s="24">
        <v>106.97858156763333</v>
      </c>
      <c r="F95" s="24">
        <v>112.56678865298166</v>
      </c>
      <c r="G95" s="24">
        <v>118.48054857154148</v>
      </c>
      <c r="H95" s="24">
        <v>124.76968421459982</v>
      </c>
      <c r="I95" s="24">
        <v>131.52365958784657</v>
      </c>
      <c r="J95" s="24">
        <v>138.87005607147461</v>
      </c>
      <c r="K95" s="24">
        <v>146.93910379197473</v>
      </c>
      <c r="L95" s="24">
        <v>155.61385921368984</v>
      </c>
      <c r="M95" s="24">
        <v>164.94858910069192</v>
      </c>
      <c r="N95" s="24">
        <v>175.16622414920423</v>
      </c>
      <c r="O95" s="24">
        <v>186.37366152577579</v>
      </c>
      <c r="P95" s="24">
        <v>198.69329896659443</v>
      </c>
      <c r="Q95" s="21"/>
      <c r="R95" s="21"/>
    </row>
    <row r="96" spans="1:18" x14ac:dyDescent="0.35">
      <c r="A96" s="39" t="s">
        <v>51</v>
      </c>
      <c r="B96" s="35" t="s">
        <v>34</v>
      </c>
      <c r="C96" s="36" t="s">
        <v>38</v>
      </c>
      <c r="D96" s="24">
        <v>46.014076968033251</v>
      </c>
      <c r="E96" s="24">
        <v>47.84462220660177</v>
      </c>
      <c r="F96" s="24">
        <v>49.821782892270903</v>
      </c>
      <c r="G96" s="24">
        <v>51.976280859232396</v>
      </c>
      <c r="H96" s="24">
        <v>54.282914560897318</v>
      </c>
      <c r="I96" s="24">
        <v>56.839032649120902</v>
      </c>
      <c r="J96" s="24">
        <v>59.546262223382172</v>
      </c>
      <c r="K96" s="24">
        <v>62.53670194132809</v>
      </c>
      <c r="L96" s="24">
        <v>65.778470846672249</v>
      </c>
      <c r="M96" s="24">
        <v>69.297901154431983</v>
      </c>
      <c r="N96" s="24">
        <v>73.165070656684577</v>
      </c>
      <c r="O96" s="24">
        <v>77.42321433278083</v>
      </c>
      <c r="P96" s="24">
        <v>82.073121978348652</v>
      </c>
      <c r="Q96" s="21"/>
      <c r="R96" s="21"/>
    </row>
    <row r="97" spans="1:18" x14ac:dyDescent="0.35">
      <c r="A97" s="39" t="s">
        <v>51</v>
      </c>
      <c r="B97" s="35" t="s">
        <v>22</v>
      </c>
      <c r="C97" s="36" t="s">
        <v>39</v>
      </c>
      <c r="D97" s="24">
        <v>127.51070815605203</v>
      </c>
      <c r="E97" s="24">
        <v>135.12163628376754</v>
      </c>
      <c r="F97" s="24">
        <v>142.93949814678115</v>
      </c>
      <c r="G97" s="24">
        <v>151.25292582746192</v>
      </c>
      <c r="H97" s="24">
        <v>159.89732721935957</v>
      </c>
      <c r="I97" s="24">
        <v>169.00241609756165</v>
      </c>
      <c r="J97" s="24">
        <v>178.93660925956647</v>
      </c>
      <c r="K97" s="24">
        <v>189.3040986171826</v>
      </c>
      <c r="L97" s="24">
        <v>200.56654925222279</v>
      </c>
      <c r="M97" s="24">
        <v>212.59924550840128</v>
      </c>
      <c r="N97" s="24">
        <v>225.28056510093847</v>
      </c>
      <c r="O97" s="24">
        <v>239.09743747857124</v>
      </c>
      <c r="P97" s="24">
        <v>253.96074183480209</v>
      </c>
      <c r="Q97" s="21"/>
      <c r="R97" s="21"/>
    </row>
    <row r="98" spans="1:18" x14ac:dyDescent="0.35">
      <c r="A98" s="39" t="s">
        <v>51</v>
      </c>
      <c r="B98" s="35" t="s">
        <v>22</v>
      </c>
      <c r="C98" s="36" t="s">
        <v>40</v>
      </c>
      <c r="D98" s="24">
        <v>117.36990520145724</v>
      </c>
      <c r="E98" s="24">
        <v>122.52954806055597</v>
      </c>
      <c r="F98" s="24">
        <v>128.05565754888789</v>
      </c>
      <c r="G98" s="24">
        <v>133.91610921389375</v>
      </c>
      <c r="H98" s="24">
        <v>140.22121746381043</v>
      </c>
      <c r="I98" s="24">
        <v>147.02261309593314</v>
      </c>
      <c r="J98" s="24">
        <v>154.28447312522511</v>
      </c>
      <c r="K98" s="24">
        <v>162.23884065212923</v>
      </c>
      <c r="L98" s="24">
        <v>170.8224658816616</v>
      </c>
      <c r="M98" s="24">
        <v>180.01793502727537</v>
      </c>
      <c r="N98" s="24">
        <v>190.05088346858787</v>
      </c>
      <c r="O98" s="24">
        <v>200.82925226059317</v>
      </c>
      <c r="P98" s="24">
        <v>212.52156255790948</v>
      </c>
      <c r="Q98" s="21"/>
      <c r="R98" s="21"/>
    </row>
    <row r="99" spans="1:18" x14ac:dyDescent="0.35">
      <c r="A99" s="39" t="s">
        <v>51</v>
      </c>
      <c r="B99" s="35" t="s">
        <v>22</v>
      </c>
      <c r="C99" s="36" t="s">
        <v>41</v>
      </c>
      <c r="D99" s="24">
        <v>89.618526566367606</v>
      </c>
      <c r="E99" s="24">
        <v>92.792043910901285</v>
      </c>
      <c r="F99" s="24">
        <v>96.449451653645028</v>
      </c>
      <c r="G99" s="24">
        <v>100.32013140434688</v>
      </c>
      <c r="H99" s="24">
        <v>104.45699443754761</v>
      </c>
      <c r="I99" s="24">
        <v>108.85131351052409</v>
      </c>
      <c r="J99" s="24">
        <v>113.54367707579596</v>
      </c>
      <c r="K99" s="24">
        <v>118.64337790549929</v>
      </c>
      <c r="L99" s="24">
        <v>124.06086399126484</v>
      </c>
      <c r="M99" s="24">
        <v>129.91693405340433</v>
      </c>
      <c r="N99" s="24">
        <v>136.15257638773207</v>
      </c>
      <c r="O99" s="24">
        <v>142.85374598170984</v>
      </c>
      <c r="P99" s="24">
        <v>150.18725084796799</v>
      </c>
      <c r="Q99" s="21"/>
      <c r="R99" s="21"/>
    </row>
    <row r="100" spans="1:18" x14ac:dyDescent="0.35">
      <c r="A100" s="39" t="s">
        <v>51</v>
      </c>
      <c r="B100" s="35" t="s">
        <v>22</v>
      </c>
      <c r="C100" s="36" t="s">
        <v>42</v>
      </c>
      <c r="D100" s="24">
        <v>137.59990387204459</v>
      </c>
      <c r="E100" s="24">
        <v>145.78656905142637</v>
      </c>
      <c r="F100" s="24">
        <v>154.6019683647813</v>
      </c>
      <c r="G100" s="24">
        <v>164.04873329204096</v>
      </c>
      <c r="H100" s="24">
        <v>174.13357133660983</v>
      </c>
      <c r="I100" s="24">
        <v>184.96060831604191</v>
      </c>
      <c r="J100" s="24">
        <v>196.74455376322322</v>
      </c>
      <c r="K100" s="24">
        <v>209.46636597332048</v>
      </c>
      <c r="L100" s="24">
        <v>223.28581598278817</v>
      </c>
      <c r="M100" s="24">
        <v>238.24466143052584</v>
      </c>
      <c r="N100" s="24">
        <v>254.37168140294477</v>
      </c>
      <c r="O100" s="24">
        <v>271.95563028104294</v>
      </c>
      <c r="P100" s="24">
        <v>291.16148661757478</v>
      </c>
      <c r="Q100" s="21"/>
      <c r="R100" s="21"/>
    </row>
    <row r="101" spans="1:18" x14ac:dyDescent="0.35">
      <c r="A101" s="39" t="s">
        <v>52</v>
      </c>
      <c r="B101" s="35" t="s">
        <v>24</v>
      </c>
      <c r="C101" s="36" t="s">
        <v>25</v>
      </c>
      <c r="D101" s="24">
        <v>7.6967706926844706</v>
      </c>
      <c r="E101" s="24">
        <v>7.9786567389446637</v>
      </c>
      <c r="F101" s="24">
        <v>8.274028361320438</v>
      </c>
      <c r="G101" s="24">
        <v>8.5830435207356128</v>
      </c>
      <c r="H101" s="24">
        <v>8.9065392487850641</v>
      </c>
      <c r="I101" s="24">
        <v>9.2480013176271356</v>
      </c>
      <c r="J101" s="24">
        <v>9.6128684220729035</v>
      </c>
      <c r="K101" s="24">
        <v>9.9976728344603973</v>
      </c>
      <c r="L101" s="24">
        <v>10.412802550036854</v>
      </c>
      <c r="M101" s="24">
        <v>10.861503410222694</v>
      </c>
      <c r="N101" s="24">
        <v>11.343793180837901</v>
      </c>
      <c r="O101" s="24">
        <v>11.855166883082617</v>
      </c>
      <c r="P101" s="24">
        <v>12.410340530027067</v>
      </c>
      <c r="Q101" s="21"/>
      <c r="R101" s="21"/>
    </row>
    <row r="102" spans="1:18" x14ac:dyDescent="0.35">
      <c r="A102" s="39" t="s">
        <v>52</v>
      </c>
      <c r="B102" s="35" t="s">
        <v>24</v>
      </c>
      <c r="C102" s="36" t="s">
        <v>26</v>
      </c>
      <c r="D102" s="24">
        <v>83.057971443950123</v>
      </c>
      <c r="E102" s="24">
        <v>86.665383406681826</v>
      </c>
      <c r="F102" s="24">
        <v>90.638155642577175</v>
      </c>
      <c r="G102" s="24">
        <v>94.845138069475283</v>
      </c>
      <c r="H102" s="24">
        <v>99.313864746173181</v>
      </c>
      <c r="I102" s="24">
        <v>104.04331225429522</v>
      </c>
      <c r="J102" s="24">
        <v>109.03116743020767</v>
      </c>
      <c r="K102" s="24">
        <v>114.31355381935293</v>
      </c>
      <c r="L102" s="24">
        <v>119.97158451605692</v>
      </c>
      <c r="M102" s="24">
        <v>126.07392039433782</v>
      </c>
      <c r="N102" s="24">
        <v>132.59441585583252</v>
      </c>
      <c r="O102" s="24">
        <v>139.5296096486496</v>
      </c>
      <c r="P102" s="24">
        <v>146.95289119406101</v>
      </c>
      <c r="Q102" s="14"/>
      <c r="R102" s="14"/>
    </row>
    <row r="103" spans="1:18" x14ac:dyDescent="0.35">
      <c r="A103" s="39" t="s">
        <v>52</v>
      </c>
      <c r="B103" s="35" t="s">
        <v>27</v>
      </c>
      <c r="C103" s="36" t="s">
        <v>28</v>
      </c>
      <c r="D103" s="24">
        <v>31.534016564032058</v>
      </c>
      <c r="E103" s="24">
        <v>32.690285053475016</v>
      </c>
      <c r="F103" s="24">
        <v>33.969044274382526</v>
      </c>
      <c r="G103" s="24">
        <v>35.306695257906782</v>
      </c>
      <c r="H103" s="24">
        <v>36.697538994690348</v>
      </c>
      <c r="I103" s="24">
        <v>38.140582024391435</v>
      </c>
      <c r="J103" s="24">
        <v>39.63568883811098</v>
      </c>
      <c r="K103" s="24">
        <v>41.15408159432873</v>
      </c>
      <c r="L103" s="24">
        <v>42.758437704834535</v>
      </c>
      <c r="M103" s="24">
        <v>44.494344000653982</v>
      </c>
      <c r="N103" s="24">
        <v>46.312131174623218</v>
      </c>
      <c r="O103" s="24">
        <v>48.184115269223398</v>
      </c>
      <c r="P103" s="24">
        <v>50.123738566373248</v>
      </c>
      <c r="Q103" s="14"/>
      <c r="R103" s="14"/>
    </row>
    <row r="104" spans="1:18" x14ac:dyDescent="0.35">
      <c r="A104" s="39" t="s">
        <v>52</v>
      </c>
      <c r="B104" s="35" t="s">
        <v>27</v>
      </c>
      <c r="C104" s="36" t="s">
        <v>29</v>
      </c>
      <c r="D104" s="24">
        <v>19.42845721109402</v>
      </c>
      <c r="E104" s="24">
        <v>20.441305702014738</v>
      </c>
      <c r="F104" s="24">
        <v>21.512552099815991</v>
      </c>
      <c r="G104" s="24">
        <v>22.652460239674308</v>
      </c>
      <c r="H104" s="24">
        <v>23.873421121287787</v>
      </c>
      <c r="I104" s="24">
        <v>25.176984238704534</v>
      </c>
      <c r="J104" s="24">
        <v>26.558699992644016</v>
      </c>
      <c r="K104" s="24">
        <v>28.040050011747574</v>
      </c>
      <c r="L104" s="24">
        <v>29.647617105765466</v>
      </c>
      <c r="M104" s="24">
        <v>31.366436275544856</v>
      </c>
      <c r="N104" s="24">
        <v>33.226520086784802</v>
      </c>
      <c r="O104" s="24">
        <v>35.23114390598775</v>
      </c>
      <c r="P104" s="24">
        <v>37.39410990134639</v>
      </c>
      <c r="Q104" s="14"/>
      <c r="R104" s="14"/>
    </row>
    <row r="105" spans="1:18" x14ac:dyDescent="0.35">
      <c r="A105" s="39" t="s">
        <v>52</v>
      </c>
      <c r="B105" s="35" t="s">
        <v>27</v>
      </c>
      <c r="C105" s="36" t="s">
        <v>30</v>
      </c>
      <c r="D105" s="24">
        <v>15.630740441601127</v>
      </c>
      <c r="E105" s="24">
        <v>16.435253569079322</v>
      </c>
      <c r="F105" s="24">
        <v>17.346976792529375</v>
      </c>
      <c r="G105" s="24">
        <v>18.321707321724329</v>
      </c>
      <c r="H105" s="24">
        <v>19.371452315097525</v>
      </c>
      <c r="I105" s="24">
        <v>20.497451787506517</v>
      </c>
      <c r="J105" s="24">
        <v>21.710215146954614</v>
      </c>
      <c r="K105" s="24">
        <v>23.03394196483756</v>
      </c>
      <c r="L105" s="24">
        <v>24.455607603722488</v>
      </c>
      <c r="M105" s="24">
        <v>26.002711763022408</v>
      </c>
      <c r="N105" s="24">
        <v>27.668333160570018</v>
      </c>
      <c r="O105" s="24">
        <v>29.47442846198657</v>
      </c>
      <c r="P105" s="24">
        <v>31.460836555383331</v>
      </c>
      <c r="Q105" s="14"/>
      <c r="R105" s="14"/>
    </row>
    <row r="106" spans="1:18" x14ac:dyDescent="0.35">
      <c r="A106" s="39" t="s">
        <v>52</v>
      </c>
      <c r="B106" s="35" t="s">
        <v>27</v>
      </c>
      <c r="C106" s="36" t="s">
        <v>31</v>
      </c>
      <c r="D106" s="24">
        <v>11.808340301178067</v>
      </c>
      <c r="E106" s="24">
        <v>12.34081416334754</v>
      </c>
      <c r="F106" s="24">
        <v>12.92701432170086</v>
      </c>
      <c r="G106" s="24">
        <v>13.548489706582213</v>
      </c>
      <c r="H106" s="24">
        <v>14.209339044538018</v>
      </c>
      <c r="I106" s="24">
        <v>14.909600755270523</v>
      </c>
      <c r="J106" s="24">
        <v>15.649128177685407</v>
      </c>
      <c r="K106" s="24">
        <v>16.433290019644645</v>
      </c>
      <c r="L106" s="24">
        <v>17.273956070066259</v>
      </c>
      <c r="M106" s="24">
        <v>18.181277796292289</v>
      </c>
      <c r="N106" s="24">
        <v>19.151797931208737</v>
      </c>
      <c r="O106" s="24">
        <v>20.185312971734927</v>
      </c>
      <c r="P106" s="24">
        <v>21.292735106711433</v>
      </c>
      <c r="Q106" s="14"/>
      <c r="R106" s="14"/>
    </row>
    <row r="107" spans="1:18" x14ac:dyDescent="0.35">
      <c r="A107" s="39" t="s">
        <v>52</v>
      </c>
      <c r="B107" s="35" t="s">
        <v>27</v>
      </c>
      <c r="C107" s="36" t="s">
        <v>32</v>
      </c>
      <c r="D107" s="24">
        <v>7.9759691254989349</v>
      </c>
      <c r="E107" s="24">
        <v>8.1983672851869809</v>
      </c>
      <c r="F107" s="24">
        <v>8.4467075315507874</v>
      </c>
      <c r="G107" s="24">
        <v>8.7074253466164091</v>
      </c>
      <c r="H107" s="24">
        <v>8.9822935315815347</v>
      </c>
      <c r="I107" s="24">
        <v>9.2703762540762682</v>
      </c>
      <c r="J107" s="24">
        <v>9.5706553237157266</v>
      </c>
      <c r="K107" s="24">
        <v>9.8855248688612569</v>
      </c>
      <c r="L107" s="24">
        <v>10.22110661189118</v>
      </c>
      <c r="M107" s="24">
        <v>10.58207431800858</v>
      </c>
      <c r="N107" s="24">
        <v>10.964835253178256</v>
      </c>
      <c r="O107" s="24">
        <v>11.367846499279063</v>
      </c>
      <c r="P107" s="24">
        <v>11.795883026845605</v>
      </c>
      <c r="Q107" s="14"/>
      <c r="R107" s="14"/>
    </row>
    <row r="108" spans="1:18" x14ac:dyDescent="0.35">
      <c r="A108" s="39" t="s">
        <v>52</v>
      </c>
      <c r="B108" s="35" t="s">
        <v>27</v>
      </c>
      <c r="C108" s="36" t="s">
        <v>33</v>
      </c>
      <c r="D108" s="24">
        <v>4.3772184932303873</v>
      </c>
      <c r="E108" s="24">
        <v>4.5380143725228947</v>
      </c>
      <c r="F108" s="24">
        <v>4.7098889839180726</v>
      </c>
      <c r="G108" s="24">
        <v>4.8914037177068526</v>
      </c>
      <c r="H108" s="24">
        <v>5.0863589877630391</v>
      </c>
      <c r="I108" s="24">
        <v>5.2963185119730678</v>
      </c>
      <c r="J108" s="24">
        <v>5.5196483731698454</v>
      </c>
      <c r="K108" s="24">
        <v>5.7643381943935799</v>
      </c>
      <c r="L108" s="24">
        <v>6.0276619698138658</v>
      </c>
      <c r="M108" s="24">
        <v>6.3085796510384018</v>
      </c>
      <c r="N108" s="24">
        <v>6.614591430305409</v>
      </c>
      <c r="O108" s="24">
        <v>6.9419294235204756</v>
      </c>
      <c r="P108" s="24">
        <v>7.2959285674280814</v>
      </c>
      <c r="Q108" s="14"/>
      <c r="R108" s="14"/>
    </row>
    <row r="109" spans="1:18" x14ac:dyDescent="0.35">
      <c r="A109" s="39" t="s">
        <v>52</v>
      </c>
      <c r="B109" s="35" t="s">
        <v>34</v>
      </c>
      <c r="C109" s="36" t="s">
        <v>35</v>
      </c>
      <c r="D109" s="24">
        <v>28.763453686466633</v>
      </c>
      <c r="E109" s="24">
        <v>29.735262763060902</v>
      </c>
      <c r="F109" s="24">
        <v>30.852629780834349</v>
      </c>
      <c r="G109" s="24">
        <v>32.021830634705267</v>
      </c>
      <c r="H109" s="24">
        <v>33.266952188050169</v>
      </c>
      <c r="I109" s="24">
        <v>34.565638006861349</v>
      </c>
      <c r="J109" s="24">
        <v>35.866498206252885</v>
      </c>
      <c r="K109" s="24">
        <v>37.205400025654427</v>
      </c>
      <c r="L109" s="24">
        <v>38.615720015100308</v>
      </c>
      <c r="M109" s="24">
        <v>40.148196974658092</v>
      </c>
      <c r="N109" s="24">
        <v>41.783594403129896</v>
      </c>
      <c r="O109" s="24">
        <v>43.445651721179161</v>
      </c>
      <c r="P109" s="24">
        <v>45.17008913377208</v>
      </c>
      <c r="Q109" s="14"/>
      <c r="R109" s="14"/>
    </row>
    <row r="110" spans="1:18" x14ac:dyDescent="0.35">
      <c r="A110" s="39" t="s">
        <v>52</v>
      </c>
      <c r="B110" s="35" t="s">
        <v>34</v>
      </c>
      <c r="C110" s="36" t="s">
        <v>36</v>
      </c>
      <c r="D110" s="24">
        <v>32.622787348534651</v>
      </c>
      <c r="E110" s="24">
        <v>34.279424408271012</v>
      </c>
      <c r="F110" s="24">
        <v>36.053497033987817</v>
      </c>
      <c r="G110" s="24">
        <v>37.94231156402374</v>
      </c>
      <c r="H110" s="24">
        <v>39.944151114539089</v>
      </c>
      <c r="I110" s="24">
        <v>42.079647605128407</v>
      </c>
      <c r="J110" s="24">
        <v>44.393860109562958</v>
      </c>
      <c r="K110" s="24">
        <v>46.877563804943868</v>
      </c>
      <c r="L110" s="24">
        <v>49.561772657426765</v>
      </c>
      <c r="M110" s="24">
        <v>52.450212726877723</v>
      </c>
      <c r="N110" s="24">
        <v>55.543539507890401</v>
      </c>
      <c r="O110" s="24">
        <v>58.899059560128244</v>
      </c>
      <c r="P110" s="24">
        <v>62.545307304699385</v>
      </c>
      <c r="Q110" s="14"/>
      <c r="R110" s="14"/>
    </row>
    <row r="111" spans="1:18" x14ac:dyDescent="0.35">
      <c r="A111" s="39" t="s">
        <v>52</v>
      </c>
      <c r="B111" s="35" t="s">
        <v>34</v>
      </c>
      <c r="C111" s="36" t="s">
        <v>37</v>
      </c>
      <c r="D111" s="24">
        <v>21.092032087481204</v>
      </c>
      <c r="E111" s="24">
        <v>22.040126183031504</v>
      </c>
      <c r="F111" s="24">
        <v>23.083907834535719</v>
      </c>
      <c r="G111" s="24">
        <v>24.190389291349945</v>
      </c>
      <c r="H111" s="24">
        <v>25.366862696418213</v>
      </c>
      <c r="I111" s="24">
        <v>26.613367642978314</v>
      </c>
      <c r="J111" s="24">
        <v>27.929613314166662</v>
      </c>
      <c r="K111" s="24">
        <v>29.325152520914187</v>
      </c>
      <c r="L111" s="24">
        <v>30.821134011459314</v>
      </c>
      <c r="M111" s="24">
        <v>32.435629096112308</v>
      </c>
      <c r="N111" s="24">
        <v>34.162421102616484</v>
      </c>
      <c r="O111" s="24">
        <v>36.001100667843062</v>
      </c>
      <c r="P111" s="24">
        <v>37.971083773689955</v>
      </c>
      <c r="Q111" s="21"/>
      <c r="R111" s="21"/>
    </row>
    <row r="112" spans="1:18" x14ac:dyDescent="0.35">
      <c r="A112" s="39" t="s">
        <v>52</v>
      </c>
      <c r="B112" s="35" t="s">
        <v>34</v>
      </c>
      <c r="C112" s="36" t="s">
        <v>38</v>
      </c>
      <c r="D112" s="24">
        <v>8.2764690141521022</v>
      </c>
      <c r="E112" s="24">
        <v>8.5892267912630729</v>
      </c>
      <c r="F112" s="24">
        <v>8.9221493545397195</v>
      </c>
      <c r="G112" s="24">
        <v>9.27365010013194</v>
      </c>
      <c r="H112" s="24">
        <v>9.6424379959507789</v>
      </c>
      <c r="I112" s="24">
        <v>10.03266031695429</v>
      </c>
      <c r="J112" s="24">
        <v>10.454064222298079</v>
      </c>
      <c r="K112" s="24">
        <v>10.903110302300842</v>
      </c>
      <c r="L112" s="24">
        <v>11.385760382107387</v>
      </c>
      <c r="M112" s="24">
        <v>11.901385006912397</v>
      </c>
      <c r="N112" s="24">
        <v>12.448654023033658</v>
      </c>
      <c r="O112" s="24">
        <v>13.038964582581743</v>
      </c>
      <c r="P112" s="24">
        <v>13.676751511926655</v>
      </c>
      <c r="Q112" s="21"/>
      <c r="R112" s="21"/>
    </row>
    <row r="113" spans="1:18" x14ac:dyDescent="0.35">
      <c r="A113" s="39" t="s">
        <v>52</v>
      </c>
      <c r="B113" s="35" t="s">
        <v>22</v>
      </c>
      <c r="C113" s="36" t="s">
        <v>39</v>
      </c>
      <c r="D113" s="24">
        <v>22.228202028296536</v>
      </c>
      <c r="E113" s="24">
        <v>23.506526649987222</v>
      </c>
      <c r="F113" s="24">
        <v>24.852476177181586</v>
      </c>
      <c r="G113" s="24">
        <v>26.293925863288763</v>
      </c>
      <c r="H113" s="24">
        <v>27.823465867103778</v>
      </c>
      <c r="I113" s="24">
        <v>29.414394586846015</v>
      </c>
      <c r="J113" s="24">
        <v>31.037368302086975</v>
      </c>
      <c r="K113" s="24">
        <v>32.602363301155023</v>
      </c>
      <c r="L113" s="24">
        <v>34.299623170146404</v>
      </c>
      <c r="M113" s="24">
        <v>36.13636694416779</v>
      </c>
      <c r="N113" s="24">
        <v>38.038659280714313</v>
      </c>
      <c r="O113" s="24">
        <v>39.942940062901968</v>
      </c>
      <c r="P113" s="24">
        <v>41.855572644726493</v>
      </c>
      <c r="Q113" s="21"/>
      <c r="R113" s="21"/>
    </row>
    <row r="114" spans="1:18" x14ac:dyDescent="0.35">
      <c r="A114" s="39" t="s">
        <v>52</v>
      </c>
      <c r="B114" s="35" t="s">
        <v>22</v>
      </c>
      <c r="C114" s="36" t="s">
        <v>40</v>
      </c>
      <c r="D114" s="24">
        <v>24.369755269678009</v>
      </c>
      <c r="E114" s="24">
        <v>25.204426588230987</v>
      </c>
      <c r="F114" s="24">
        <v>26.168596664512336</v>
      </c>
      <c r="G114" s="24">
        <v>27.188402309983168</v>
      </c>
      <c r="H114" s="24">
        <v>28.277991563882587</v>
      </c>
      <c r="I114" s="24">
        <v>29.434762473591128</v>
      </c>
      <c r="J114" s="24">
        <v>30.669459735553271</v>
      </c>
      <c r="K114" s="24">
        <v>32.0113374836193</v>
      </c>
      <c r="L114" s="24">
        <v>33.435868605144549</v>
      </c>
      <c r="M114" s="24">
        <v>34.975326191867921</v>
      </c>
      <c r="N114" s="24">
        <v>36.613432153387869</v>
      </c>
      <c r="O114" s="24">
        <v>38.372963346336398</v>
      </c>
      <c r="P114" s="24">
        <v>40.298313422499675</v>
      </c>
      <c r="Q114" s="21"/>
      <c r="R114" s="21"/>
    </row>
    <row r="115" spans="1:18" x14ac:dyDescent="0.35">
      <c r="A115" s="39" t="s">
        <v>52</v>
      </c>
      <c r="B115" s="35" t="s">
        <v>22</v>
      </c>
      <c r="C115" s="36" t="s">
        <v>41</v>
      </c>
      <c r="D115" s="24">
        <v>18.609104984496977</v>
      </c>
      <c r="E115" s="24">
        <v>19.127947263740513</v>
      </c>
      <c r="F115" s="24">
        <v>19.710143191194071</v>
      </c>
      <c r="G115" s="24">
        <v>20.315950240448039</v>
      </c>
      <c r="H115" s="24">
        <v>20.951470213423917</v>
      </c>
      <c r="I115" s="24">
        <v>21.628868489290795</v>
      </c>
      <c r="J115" s="24">
        <v>22.365468137070476</v>
      </c>
      <c r="K115" s="24">
        <v>23.17745223397803</v>
      </c>
      <c r="L115" s="24">
        <v>24.040502537753071</v>
      </c>
      <c r="M115" s="24">
        <v>24.958530722136096</v>
      </c>
      <c r="N115" s="24">
        <v>25.960480890922266</v>
      </c>
      <c r="O115" s="24">
        <v>27.055544908254191</v>
      </c>
      <c r="P115" s="24">
        <v>28.254161055742696</v>
      </c>
      <c r="Q115" s="21"/>
      <c r="R115" s="21"/>
    </row>
    <row r="116" spans="1:18" x14ac:dyDescent="0.35">
      <c r="A116" s="39" t="s">
        <v>52</v>
      </c>
      <c r="B116" s="35" t="s">
        <v>22</v>
      </c>
      <c r="C116" s="36" t="s">
        <v>42</v>
      </c>
      <c r="D116" s="24">
        <v>25.547679854163064</v>
      </c>
      <c r="E116" s="24">
        <v>26.805139643667768</v>
      </c>
      <c r="F116" s="24">
        <v>28.180967971009611</v>
      </c>
      <c r="G116" s="24">
        <v>29.62990317649092</v>
      </c>
      <c r="H116" s="24">
        <v>31.167476350547972</v>
      </c>
      <c r="I116" s="24">
        <v>32.813288022194413</v>
      </c>
      <c r="J116" s="24">
        <v>34.571739677569859</v>
      </c>
      <c r="K116" s="24">
        <v>36.520073635060982</v>
      </c>
      <c r="L116" s="24">
        <v>38.608392753049756</v>
      </c>
      <c r="M116" s="24">
        <v>40.865199946388707</v>
      </c>
      <c r="N116" s="24">
        <v>43.325636711645991</v>
      </c>
      <c r="O116" s="24">
        <v>46.01332821423965</v>
      </c>
      <c r="P116" s="24">
        <v>48.955184601119221</v>
      </c>
      <c r="Q116" s="21"/>
      <c r="R116" s="21"/>
    </row>
    <row r="117" spans="1:18" x14ac:dyDescent="0.35">
      <c r="A117" s="39" t="s">
        <v>53</v>
      </c>
      <c r="B117" s="35" t="s">
        <v>24</v>
      </c>
      <c r="C117" s="36" t="s">
        <v>25</v>
      </c>
      <c r="D117" s="24">
        <v>6.4592528997697336</v>
      </c>
      <c r="E117" s="24">
        <v>6.630214035096377</v>
      </c>
      <c r="F117" s="24">
        <v>6.8216649935187874</v>
      </c>
      <c r="G117" s="24">
        <v>7.0225651484776161</v>
      </c>
      <c r="H117" s="24">
        <v>7.2343039636903264</v>
      </c>
      <c r="I117" s="24">
        <v>7.4560816421383773</v>
      </c>
      <c r="J117" s="24">
        <v>7.6870364127014712</v>
      </c>
      <c r="K117" s="24">
        <v>7.9290518452053487</v>
      </c>
      <c r="L117" s="24">
        <v>8.1869909219554415</v>
      </c>
      <c r="M117" s="24">
        <v>8.4645300558390613</v>
      </c>
      <c r="N117" s="24">
        <v>8.7587130658977213</v>
      </c>
      <c r="O117" s="24">
        <v>9.0682371280144061</v>
      </c>
      <c r="P117" s="24">
        <v>9.3968461835199744</v>
      </c>
      <c r="Q117" s="21"/>
      <c r="R117" s="21"/>
    </row>
    <row r="118" spans="1:18" x14ac:dyDescent="0.35">
      <c r="A118" s="39" t="s">
        <v>53</v>
      </c>
      <c r="B118" s="35" t="s">
        <v>24</v>
      </c>
      <c r="C118" s="36" t="s">
        <v>26</v>
      </c>
      <c r="D118" s="24">
        <v>69.941110795065086</v>
      </c>
      <c r="E118" s="24">
        <v>71.840114013613928</v>
      </c>
      <c r="F118" s="24">
        <v>73.901479064624155</v>
      </c>
      <c r="G118" s="24">
        <v>76.16384483679839</v>
      </c>
      <c r="H118" s="24">
        <v>78.58187591401223</v>
      </c>
      <c r="I118" s="24">
        <v>81.289649104472119</v>
      </c>
      <c r="J118" s="24">
        <v>84.134700114426778</v>
      </c>
      <c r="K118" s="24">
        <v>87.297291149056136</v>
      </c>
      <c r="L118" s="24">
        <v>90.719958961167251</v>
      </c>
      <c r="M118" s="24">
        <v>94.427997633582251</v>
      </c>
      <c r="N118" s="24">
        <v>98.504848395664339</v>
      </c>
      <c r="O118" s="24">
        <v>102.99354734335652</v>
      </c>
      <c r="P118" s="24">
        <v>107.87827224623697</v>
      </c>
      <c r="Q118" s="21"/>
      <c r="R118" s="21"/>
    </row>
    <row r="119" spans="1:18" x14ac:dyDescent="0.35">
      <c r="A119" s="39" t="s">
        <v>53</v>
      </c>
      <c r="B119" s="35" t="s">
        <v>27</v>
      </c>
      <c r="C119" s="36" t="s">
        <v>28</v>
      </c>
      <c r="D119" s="24">
        <v>26.471979788563942</v>
      </c>
      <c r="E119" s="24">
        <v>26.805081532432503</v>
      </c>
      <c r="F119" s="24">
        <v>27.17096022367739</v>
      </c>
      <c r="G119" s="24">
        <v>27.592801443957946</v>
      </c>
      <c r="H119" s="24">
        <v>28.070472437996507</v>
      </c>
      <c r="I119" s="24">
        <v>28.631969230507991</v>
      </c>
      <c r="J119" s="24">
        <v>29.191747330193223</v>
      </c>
      <c r="K119" s="24">
        <v>29.875144982540405</v>
      </c>
      <c r="L119" s="24">
        <v>30.61459193382143</v>
      </c>
      <c r="M119" s="24">
        <v>31.431396848787287</v>
      </c>
      <c r="N119" s="24">
        <v>32.354737593957282</v>
      </c>
      <c r="O119" s="24">
        <v>33.361678389534916</v>
      </c>
      <c r="P119" s="24">
        <v>34.46268388033414</v>
      </c>
      <c r="Q119" s="21"/>
      <c r="R119" s="21"/>
    </row>
    <row r="120" spans="1:18" x14ac:dyDescent="0.35">
      <c r="A120" s="39" t="s">
        <v>53</v>
      </c>
      <c r="B120" s="35" t="s">
        <v>27</v>
      </c>
      <c r="C120" s="36" t="s">
        <v>29</v>
      </c>
      <c r="D120" s="24">
        <v>15.470613302525997</v>
      </c>
      <c r="E120" s="24">
        <v>16.064148742162271</v>
      </c>
      <c r="F120" s="24">
        <v>16.705254082201037</v>
      </c>
      <c r="G120" s="24">
        <v>17.397606455156147</v>
      </c>
      <c r="H120" s="24">
        <v>18.124377190170783</v>
      </c>
      <c r="I120" s="24">
        <v>18.924315273233898</v>
      </c>
      <c r="J120" s="24">
        <v>19.780665012190223</v>
      </c>
      <c r="K120" s="24">
        <v>20.705575285861912</v>
      </c>
      <c r="L120" s="24">
        <v>21.705263329399745</v>
      </c>
      <c r="M120" s="24">
        <v>22.787956310967605</v>
      </c>
      <c r="N120" s="24">
        <v>23.966958154930506</v>
      </c>
      <c r="O120" s="24">
        <v>25.262124744759472</v>
      </c>
      <c r="P120" s="24">
        <v>26.674240315209151</v>
      </c>
      <c r="Q120" s="14"/>
      <c r="R120" s="14"/>
    </row>
    <row r="121" spans="1:18" x14ac:dyDescent="0.35">
      <c r="A121" s="39" t="s">
        <v>53</v>
      </c>
      <c r="B121" s="35" t="s">
        <v>27</v>
      </c>
      <c r="C121" s="36" t="s">
        <v>30</v>
      </c>
      <c r="D121" s="24">
        <v>13.51911736007845</v>
      </c>
      <c r="E121" s="24">
        <v>14.098656799993666</v>
      </c>
      <c r="F121" s="24">
        <v>14.726747773101696</v>
      </c>
      <c r="G121" s="24">
        <v>15.407533858445108</v>
      </c>
      <c r="H121" s="24">
        <v>16.124860199020311</v>
      </c>
      <c r="I121" s="24">
        <v>16.916831022294939</v>
      </c>
      <c r="J121" s="24">
        <v>17.766566102979777</v>
      </c>
      <c r="K121" s="24">
        <v>18.687553892458823</v>
      </c>
      <c r="L121" s="24">
        <v>19.684741568179025</v>
      </c>
      <c r="M121" s="24">
        <v>20.766645320168944</v>
      </c>
      <c r="N121" s="24">
        <v>21.947627920876922</v>
      </c>
      <c r="O121" s="24">
        <v>23.249737008946521</v>
      </c>
      <c r="P121" s="24">
        <v>24.672315504192426</v>
      </c>
      <c r="Q121" s="14"/>
      <c r="R121" s="14"/>
    </row>
    <row r="122" spans="1:18" x14ac:dyDescent="0.35">
      <c r="A122" s="39" t="s">
        <v>53</v>
      </c>
      <c r="B122" s="35" t="s">
        <v>27</v>
      </c>
      <c r="C122" s="36" t="s">
        <v>31</v>
      </c>
      <c r="D122" s="24">
        <v>10.720923711725366</v>
      </c>
      <c r="E122" s="24">
        <v>11.077643657799264</v>
      </c>
      <c r="F122" s="24">
        <v>11.460341931291229</v>
      </c>
      <c r="G122" s="24">
        <v>11.874788379525464</v>
      </c>
      <c r="H122" s="24">
        <v>12.314621812450319</v>
      </c>
      <c r="I122" s="24">
        <v>12.798118973293606</v>
      </c>
      <c r="J122" s="24">
        <v>13.304144301171359</v>
      </c>
      <c r="K122" s="24">
        <v>13.853025110330663</v>
      </c>
      <c r="L122" s="24">
        <v>14.446524722711098</v>
      </c>
      <c r="M122" s="24">
        <v>15.074941581466094</v>
      </c>
      <c r="N122" s="24">
        <v>15.757931315942404</v>
      </c>
      <c r="O122" s="24">
        <v>16.510963214866713</v>
      </c>
      <c r="P122" s="24">
        <v>17.31859702512028</v>
      </c>
      <c r="Q122" s="14"/>
      <c r="R122" s="14"/>
    </row>
    <row r="123" spans="1:18" x14ac:dyDescent="0.35">
      <c r="A123" s="39" t="s">
        <v>53</v>
      </c>
      <c r="B123" s="35" t="s">
        <v>27</v>
      </c>
      <c r="C123" s="36" t="s">
        <v>32</v>
      </c>
      <c r="D123" s="24">
        <v>7.0937623976824566</v>
      </c>
      <c r="E123" s="24">
        <v>7.2121587477503279</v>
      </c>
      <c r="F123" s="24">
        <v>7.3524021622214581</v>
      </c>
      <c r="G123" s="24">
        <v>7.50380850016015</v>
      </c>
      <c r="H123" s="24">
        <v>7.6633848630788384</v>
      </c>
      <c r="I123" s="24">
        <v>7.8369113178331009</v>
      </c>
      <c r="J123" s="24">
        <v>8.0168666897300866</v>
      </c>
      <c r="K123" s="24">
        <v>8.208849128786003</v>
      </c>
      <c r="L123" s="24">
        <v>8.4142007539888883</v>
      </c>
      <c r="M123" s="24">
        <v>8.6364434883692116</v>
      </c>
      <c r="N123" s="24">
        <v>8.8744686628898588</v>
      </c>
      <c r="O123" s="24">
        <v>9.1320473898854129</v>
      </c>
      <c r="P123" s="24">
        <v>9.4058162538512153</v>
      </c>
      <c r="Q123" s="14"/>
      <c r="R123" s="14"/>
    </row>
    <row r="124" spans="1:18" x14ac:dyDescent="0.35">
      <c r="A124" s="39" t="s">
        <v>53</v>
      </c>
      <c r="B124" s="35" t="s">
        <v>27</v>
      </c>
      <c r="C124" s="36" t="s">
        <v>33</v>
      </c>
      <c r="D124" s="24">
        <v>3.1239671342586153</v>
      </c>
      <c r="E124" s="24">
        <v>3.2126385685722654</v>
      </c>
      <c r="F124" s="24">
        <v>3.3074378856501236</v>
      </c>
      <c r="G124" s="24">
        <v>3.4098713480311909</v>
      </c>
      <c r="H124" s="24">
        <v>3.5184633749858061</v>
      </c>
      <c r="I124" s="24">
        <v>3.6375849294469624</v>
      </c>
      <c r="J124" s="24">
        <v>3.7617470908635831</v>
      </c>
      <c r="K124" s="24">
        <v>3.8961945942836889</v>
      </c>
      <c r="L124" s="24">
        <v>4.0416275750225008</v>
      </c>
      <c r="M124" s="24">
        <v>4.1951441396621769</v>
      </c>
      <c r="N124" s="24">
        <v>4.3618378129650974</v>
      </c>
      <c r="O124" s="24">
        <v>4.5452337233778959</v>
      </c>
      <c r="P124" s="24">
        <v>4.7414654510497352</v>
      </c>
      <c r="Q124" s="14"/>
      <c r="R124" s="14"/>
    </row>
    <row r="125" spans="1:18" x14ac:dyDescent="0.35">
      <c r="A125" s="39" t="s">
        <v>53</v>
      </c>
      <c r="B125" s="35" t="s">
        <v>34</v>
      </c>
      <c r="C125" s="36" t="s">
        <v>35</v>
      </c>
      <c r="D125" s="24">
        <v>24.689047457703175</v>
      </c>
      <c r="E125" s="24">
        <v>25.029230001108459</v>
      </c>
      <c r="F125" s="24">
        <v>25.40721306370704</v>
      </c>
      <c r="G125" s="24">
        <v>25.815863654219186</v>
      </c>
      <c r="H125" s="24">
        <v>26.242587806601449</v>
      </c>
      <c r="I125" s="24">
        <v>26.725388336219083</v>
      </c>
      <c r="J125" s="24">
        <v>27.209579392681306</v>
      </c>
      <c r="K125" s="24">
        <v>27.750090000204594</v>
      </c>
      <c r="L125" s="24">
        <v>28.345704281057991</v>
      </c>
      <c r="M125" s="24">
        <v>28.996351291030564</v>
      </c>
      <c r="N125" s="24">
        <v>29.701133360781427</v>
      </c>
      <c r="O125" s="24">
        <v>30.451748786881836</v>
      </c>
      <c r="P125" s="24">
        <v>31.26277382685025</v>
      </c>
      <c r="Q125" s="14"/>
      <c r="R125" s="14"/>
    </row>
    <row r="126" spans="1:18" x14ac:dyDescent="0.35">
      <c r="A126" s="39" t="s">
        <v>53</v>
      </c>
      <c r="B126" s="35" t="s">
        <v>34</v>
      </c>
      <c r="C126" s="36" t="s">
        <v>36</v>
      </c>
      <c r="D126" s="24">
        <v>27.365589854512812</v>
      </c>
      <c r="E126" s="24">
        <v>28.327374707725195</v>
      </c>
      <c r="F126" s="24">
        <v>29.386302039412854</v>
      </c>
      <c r="G126" s="24">
        <v>30.549700976446644</v>
      </c>
      <c r="H126" s="24">
        <v>31.803476262676568</v>
      </c>
      <c r="I126" s="24">
        <v>33.202420703626593</v>
      </c>
      <c r="J126" s="24">
        <v>34.69742453031516</v>
      </c>
      <c r="K126" s="24">
        <v>36.372148005996088</v>
      </c>
      <c r="L126" s="24">
        <v>38.173757269364259</v>
      </c>
      <c r="M126" s="24">
        <v>40.125854511086338</v>
      </c>
      <c r="N126" s="24">
        <v>42.274765834774513</v>
      </c>
      <c r="O126" s="24">
        <v>44.665133878101038</v>
      </c>
      <c r="P126" s="24">
        <v>47.295248112138921</v>
      </c>
      <c r="Q126" s="14"/>
      <c r="R126" s="14"/>
    </row>
    <row r="127" spans="1:18" x14ac:dyDescent="0.35">
      <c r="A127" s="39" t="s">
        <v>53</v>
      </c>
      <c r="B127" s="35" t="s">
        <v>34</v>
      </c>
      <c r="C127" s="36" t="s">
        <v>37</v>
      </c>
      <c r="D127" s="24">
        <v>16.602113654538808</v>
      </c>
      <c r="E127" s="24">
        <v>17.159767275622013</v>
      </c>
      <c r="F127" s="24">
        <v>17.750808390356838</v>
      </c>
      <c r="G127" s="24">
        <v>18.396892493955278</v>
      </c>
      <c r="H127" s="24">
        <v>19.085518404801054</v>
      </c>
      <c r="I127" s="24">
        <v>19.846379718961519</v>
      </c>
      <c r="J127" s="24">
        <v>20.64390364331334</v>
      </c>
      <c r="K127" s="24">
        <v>21.509682222013044</v>
      </c>
      <c r="L127" s="24">
        <v>22.444333695558029</v>
      </c>
      <c r="M127" s="24">
        <v>23.451587978038585</v>
      </c>
      <c r="N127" s="24">
        <v>24.557768567977984</v>
      </c>
      <c r="O127" s="24">
        <v>25.767447047921717</v>
      </c>
      <c r="P127" s="24">
        <v>27.062308904685455</v>
      </c>
      <c r="Q127" s="14"/>
      <c r="R127" s="14"/>
    </row>
    <row r="128" spans="1:18" x14ac:dyDescent="0.35">
      <c r="A128" s="39" t="s">
        <v>53</v>
      </c>
      <c r="B128" s="35" t="s">
        <v>34</v>
      </c>
      <c r="C128" s="36" t="s">
        <v>38</v>
      </c>
      <c r="D128" s="24">
        <v>7.7436127280800333</v>
      </c>
      <c r="E128" s="24">
        <v>7.9539560642546334</v>
      </c>
      <c r="F128" s="24">
        <v>8.1788205646662018</v>
      </c>
      <c r="G128" s="24">
        <v>8.4239528606548895</v>
      </c>
      <c r="H128" s="24">
        <v>8.6845974036234992</v>
      </c>
      <c r="I128" s="24">
        <v>8.9715419878032954</v>
      </c>
      <c r="J128" s="24">
        <v>9.2708289608184451</v>
      </c>
      <c r="K128" s="24">
        <v>9.5944227660477619</v>
      </c>
      <c r="L128" s="24">
        <v>9.9431546371424098</v>
      </c>
      <c r="M128" s="24">
        <v>10.318733909265834</v>
      </c>
      <c r="N128" s="24">
        <v>10.729893698028128</v>
      </c>
      <c r="O128" s="24">
        <v>11.177454758466345</v>
      </c>
      <c r="P128" s="24">
        <v>11.654787586082321</v>
      </c>
      <c r="Q128" s="14"/>
      <c r="R128" s="14"/>
    </row>
    <row r="129" spans="1:18" x14ac:dyDescent="0.35">
      <c r="A129" s="39" t="s">
        <v>53</v>
      </c>
      <c r="B129" s="35" t="s">
        <v>22</v>
      </c>
      <c r="C129" s="36" t="s">
        <v>39</v>
      </c>
      <c r="D129" s="24">
        <v>19.9010644062488</v>
      </c>
      <c r="E129" s="24">
        <v>20.310026948138741</v>
      </c>
      <c r="F129" s="24">
        <v>20.753415397029585</v>
      </c>
      <c r="G129" s="24">
        <v>21.27972128416944</v>
      </c>
      <c r="H129" s="24">
        <v>21.840217778875299</v>
      </c>
      <c r="I129" s="24">
        <v>22.533656255380393</v>
      </c>
      <c r="J129" s="24">
        <v>23.254354762349351</v>
      </c>
      <c r="K129" s="24">
        <v>24.099150056460914</v>
      </c>
      <c r="L129" s="24">
        <v>25.019945027917814</v>
      </c>
      <c r="M129" s="24">
        <v>26.045656630427558</v>
      </c>
      <c r="N129" s="24">
        <v>27.214542944242964</v>
      </c>
      <c r="O129" s="24">
        <v>28.549265200743164</v>
      </c>
      <c r="P129" s="24">
        <v>30.014724792485296</v>
      </c>
      <c r="Q129" s="14"/>
      <c r="R129" s="14"/>
    </row>
    <row r="130" spans="1:18" x14ac:dyDescent="0.35">
      <c r="A130" s="39" t="s">
        <v>53</v>
      </c>
      <c r="B130" s="35" t="s">
        <v>22</v>
      </c>
      <c r="C130" s="36" t="s">
        <v>40</v>
      </c>
      <c r="D130" s="24">
        <v>20.376621481502582</v>
      </c>
      <c r="E130" s="24">
        <v>20.823305448592983</v>
      </c>
      <c r="F130" s="24">
        <v>21.311897748711406</v>
      </c>
      <c r="G130" s="24">
        <v>21.852861987208872</v>
      </c>
      <c r="H130" s="24">
        <v>22.432349420031453</v>
      </c>
      <c r="I130" s="24">
        <v>23.088000375571074</v>
      </c>
      <c r="J130" s="24">
        <v>23.775304035257655</v>
      </c>
      <c r="K130" s="24">
        <v>24.544662205691537</v>
      </c>
      <c r="L130" s="24">
        <v>25.378615435874782</v>
      </c>
      <c r="M130" s="24">
        <v>26.283195484781515</v>
      </c>
      <c r="N130" s="24">
        <v>27.28048792710204</v>
      </c>
      <c r="O130" s="24">
        <v>28.380934807996333</v>
      </c>
      <c r="P130" s="24">
        <v>29.578537048991674</v>
      </c>
      <c r="Q130" s="14"/>
      <c r="R130" s="14"/>
    </row>
    <row r="131" spans="1:18" x14ac:dyDescent="0.35">
      <c r="A131" s="39" t="s">
        <v>53</v>
      </c>
      <c r="B131" s="35" t="s">
        <v>22</v>
      </c>
      <c r="C131" s="36" t="s">
        <v>41</v>
      </c>
      <c r="D131" s="24">
        <v>13.178955580557171</v>
      </c>
      <c r="E131" s="24">
        <v>13.408130847857244</v>
      </c>
      <c r="F131" s="24">
        <v>13.694973518439191</v>
      </c>
      <c r="G131" s="24">
        <v>13.997766378011066</v>
      </c>
      <c r="H131" s="24">
        <v>14.322720421588558</v>
      </c>
      <c r="I131" s="24">
        <v>14.667128864395766</v>
      </c>
      <c r="J131" s="24">
        <v>15.035069902638517</v>
      </c>
      <c r="K131" s="24">
        <v>15.439394339983448</v>
      </c>
      <c r="L131" s="24">
        <v>15.866139537311536</v>
      </c>
      <c r="M131" s="24">
        <v>16.329133960113893</v>
      </c>
      <c r="N131" s="24">
        <v>16.818603605895685</v>
      </c>
      <c r="O131" s="24">
        <v>17.343279736129897</v>
      </c>
      <c r="P131" s="24">
        <v>17.921051028418262</v>
      </c>
      <c r="Q131" s="14"/>
      <c r="R131" s="14"/>
    </row>
    <row r="132" spans="1:18" x14ac:dyDescent="0.35">
      <c r="A132" s="39" t="s">
        <v>53</v>
      </c>
      <c r="B132" s="35" t="s">
        <v>22</v>
      </c>
      <c r="C132" s="36" t="s">
        <v>42</v>
      </c>
      <c r="D132" s="24">
        <v>22.943722226526269</v>
      </c>
      <c r="E132" s="24">
        <v>23.928864804121329</v>
      </c>
      <c r="F132" s="24">
        <v>24.962857393962754</v>
      </c>
      <c r="G132" s="24">
        <v>26.05606033588662</v>
      </c>
      <c r="H132" s="24">
        <v>27.220892257207254</v>
      </c>
      <c r="I132" s="24">
        <v>28.456945251263253</v>
      </c>
      <c r="J132" s="24">
        <v>29.757007826882727</v>
      </c>
      <c r="K132" s="24">
        <v>31.143136392125584</v>
      </c>
      <c r="L132" s="24">
        <v>32.642249882018554</v>
      </c>
      <c r="M132" s="24">
        <v>34.234541614098347</v>
      </c>
      <c r="N132" s="24">
        <v>35.94992698432138</v>
      </c>
      <c r="O132" s="24">
        <v>37.788304726501543</v>
      </c>
      <c r="P132" s="24">
        <v>39.760805559861709</v>
      </c>
      <c r="Q132" s="14"/>
      <c r="R132" s="14"/>
    </row>
    <row r="133" spans="1:18" x14ac:dyDescent="0.35">
      <c r="A133" s="39" t="s">
        <v>54</v>
      </c>
      <c r="B133" s="35" t="s">
        <v>24</v>
      </c>
      <c r="C133" s="36" t="s">
        <v>25</v>
      </c>
      <c r="D133" s="24">
        <v>4.4962315338278049</v>
      </c>
      <c r="E133" s="24">
        <v>4.5754694264991143</v>
      </c>
      <c r="F133" s="24">
        <v>4.6744225597852651</v>
      </c>
      <c r="G133" s="24">
        <v>4.7788653949427227</v>
      </c>
      <c r="H133" s="24">
        <v>4.890922139883048</v>
      </c>
      <c r="I133" s="24">
        <v>5.0096736969647981</v>
      </c>
      <c r="J133" s="24">
        <v>5.1365175881085339</v>
      </c>
      <c r="K133" s="24">
        <v>5.2758496422393844</v>
      </c>
      <c r="L133" s="24">
        <v>5.4229071688489618</v>
      </c>
      <c r="M133" s="24">
        <v>5.5824218902139435</v>
      </c>
      <c r="N133" s="24">
        <v>5.7510608751355781</v>
      </c>
      <c r="O133" s="24">
        <v>5.931815966941361</v>
      </c>
      <c r="P133" s="24">
        <v>6.1308137722954292</v>
      </c>
      <c r="Q133" s="14"/>
      <c r="R133" s="14"/>
    </row>
    <row r="134" spans="1:18" x14ac:dyDescent="0.35">
      <c r="A134" s="39" t="s">
        <v>54</v>
      </c>
      <c r="B134" s="35" t="s">
        <v>24</v>
      </c>
      <c r="C134" s="36" t="s">
        <v>26</v>
      </c>
      <c r="D134" s="24">
        <v>40.257100135234602</v>
      </c>
      <c r="E134" s="24">
        <v>41.274664023686121</v>
      </c>
      <c r="F134" s="24">
        <v>42.483199963241901</v>
      </c>
      <c r="G134" s="24">
        <v>43.757565363472061</v>
      </c>
      <c r="H134" s="24">
        <v>45.118506693276956</v>
      </c>
      <c r="I134" s="24">
        <v>46.559296092271225</v>
      </c>
      <c r="J134" s="24">
        <v>48.09450710945471</v>
      </c>
      <c r="K134" s="24">
        <v>49.767197238497609</v>
      </c>
      <c r="L134" s="24">
        <v>51.535284774372272</v>
      </c>
      <c r="M134" s="24">
        <v>53.445617155616169</v>
      </c>
      <c r="N134" s="24">
        <v>55.469195496196789</v>
      </c>
      <c r="O134" s="24">
        <v>57.637115925436575</v>
      </c>
      <c r="P134" s="24">
        <v>60.011822044149717</v>
      </c>
      <c r="Q134" s="14"/>
      <c r="R134" s="14"/>
    </row>
    <row r="135" spans="1:18" x14ac:dyDescent="0.35">
      <c r="A135" s="39" t="s">
        <v>54</v>
      </c>
      <c r="B135" s="35" t="s">
        <v>27</v>
      </c>
      <c r="C135" s="36" t="s">
        <v>28</v>
      </c>
      <c r="D135" s="24">
        <v>14.942479270737518</v>
      </c>
      <c r="E135" s="24">
        <v>15.160797306737098</v>
      </c>
      <c r="F135" s="24">
        <v>15.489211576464111</v>
      </c>
      <c r="G135" s="24">
        <v>15.826066777425694</v>
      </c>
      <c r="H135" s="24">
        <v>16.188052113293892</v>
      </c>
      <c r="I135" s="24">
        <v>16.551656644967643</v>
      </c>
      <c r="J135" s="24">
        <v>16.947782539776654</v>
      </c>
      <c r="K135" s="24">
        <v>17.374914572534081</v>
      </c>
      <c r="L135" s="24">
        <v>17.806241220234583</v>
      </c>
      <c r="M135" s="24">
        <v>18.277449240897703</v>
      </c>
      <c r="N135" s="24">
        <v>18.744879876182836</v>
      </c>
      <c r="O135" s="24">
        <v>19.225611914930425</v>
      </c>
      <c r="P135" s="24">
        <v>19.765429034123997</v>
      </c>
      <c r="Q135" s="21"/>
      <c r="R135" s="21"/>
    </row>
    <row r="136" spans="1:18" x14ac:dyDescent="0.35">
      <c r="A136" s="39" t="s">
        <v>54</v>
      </c>
      <c r="B136" s="35" t="s">
        <v>27</v>
      </c>
      <c r="C136" s="36" t="s">
        <v>29</v>
      </c>
      <c r="D136" s="24">
        <v>9.6397355106454228</v>
      </c>
      <c r="E136" s="24">
        <v>9.952279544379472</v>
      </c>
      <c r="F136" s="24">
        <v>10.314802991228497</v>
      </c>
      <c r="G136" s="24">
        <v>10.697923285733877</v>
      </c>
      <c r="H136" s="24">
        <v>11.107094143844837</v>
      </c>
      <c r="I136" s="24">
        <v>11.541151433559172</v>
      </c>
      <c r="J136" s="24">
        <v>12.004171833883385</v>
      </c>
      <c r="K136" s="24">
        <v>12.507447608364942</v>
      </c>
      <c r="L136" s="24">
        <v>13.041177987954798</v>
      </c>
      <c r="M136" s="24">
        <v>13.617784201952375</v>
      </c>
      <c r="N136" s="24">
        <v>14.230696424386037</v>
      </c>
      <c r="O136" s="24">
        <v>14.888569570015875</v>
      </c>
      <c r="P136" s="24">
        <v>15.608384655392278</v>
      </c>
      <c r="Q136" s="21"/>
      <c r="R136" s="21"/>
    </row>
    <row r="137" spans="1:18" x14ac:dyDescent="0.35">
      <c r="A137" s="39" t="s">
        <v>54</v>
      </c>
      <c r="B137" s="35" t="s">
        <v>27</v>
      </c>
      <c r="C137" s="36" t="s">
        <v>30</v>
      </c>
      <c r="D137" s="24">
        <v>8.0372225330583156</v>
      </c>
      <c r="E137" s="24">
        <v>8.3180915912640661</v>
      </c>
      <c r="F137" s="24">
        <v>8.6216051470290029</v>
      </c>
      <c r="G137" s="24">
        <v>8.9527424072594854</v>
      </c>
      <c r="H137" s="24">
        <v>9.3067547058510751</v>
      </c>
      <c r="I137" s="24">
        <v>9.6999889331143301</v>
      </c>
      <c r="J137" s="24">
        <v>10.115085495718752</v>
      </c>
      <c r="K137" s="24">
        <v>10.574150469195679</v>
      </c>
      <c r="L137" s="24">
        <v>11.07115255480187</v>
      </c>
      <c r="M137" s="24">
        <v>11.609963808067247</v>
      </c>
      <c r="N137" s="24">
        <v>12.201709140981343</v>
      </c>
      <c r="O137" s="24">
        <v>12.8528274849068</v>
      </c>
      <c r="P137" s="24">
        <v>13.562587100160576</v>
      </c>
      <c r="Q137" s="21"/>
      <c r="R137" s="21"/>
    </row>
    <row r="138" spans="1:18" x14ac:dyDescent="0.35">
      <c r="A138" s="39" t="s">
        <v>54</v>
      </c>
      <c r="B138" s="35" t="s">
        <v>27</v>
      </c>
      <c r="C138" s="36" t="s">
        <v>31</v>
      </c>
      <c r="D138" s="24">
        <v>5.8352356457390924</v>
      </c>
      <c r="E138" s="24">
        <v>6.0228457921770824</v>
      </c>
      <c r="F138" s="24">
        <v>6.2181366133910494</v>
      </c>
      <c r="G138" s="24">
        <v>6.4233791974326504</v>
      </c>
      <c r="H138" s="24">
        <v>6.6412521490436482</v>
      </c>
      <c r="I138" s="24">
        <v>6.8711866016057233</v>
      </c>
      <c r="J138" s="24">
        <v>7.1109852008150538</v>
      </c>
      <c r="K138" s="24">
        <v>7.3655264079964251</v>
      </c>
      <c r="L138" s="24">
        <v>7.640629901642308</v>
      </c>
      <c r="M138" s="24">
        <v>7.9309279339567258</v>
      </c>
      <c r="N138" s="24">
        <v>8.2427780991811481</v>
      </c>
      <c r="O138" s="24">
        <v>8.575383121085828</v>
      </c>
      <c r="P138" s="24">
        <v>8.9305121935062424</v>
      </c>
      <c r="Q138" s="21"/>
      <c r="R138" s="21"/>
    </row>
    <row r="139" spans="1:18" x14ac:dyDescent="0.35">
      <c r="A139" s="39" t="s">
        <v>54</v>
      </c>
      <c r="B139" s="35" t="s">
        <v>27</v>
      </c>
      <c r="C139" s="36" t="s">
        <v>32</v>
      </c>
      <c r="D139" s="24">
        <v>3.6364831418822887</v>
      </c>
      <c r="E139" s="24">
        <v>3.6777605668596722</v>
      </c>
      <c r="F139" s="24">
        <v>3.7272552669341454</v>
      </c>
      <c r="G139" s="24">
        <v>3.7777453485727595</v>
      </c>
      <c r="H139" s="24">
        <v>3.8307222486200554</v>
      </c>
      <c r="I139" s="24">
        <v>3.8879387652938204</v>
      </c>
      <c r="J139" s="24">
        <v>3.9490588053335101</v>
      </c>
      <c r="K139" s="24">
        <v>4.0220653008190146</v>
      </c>
      <c r="L139" s="24">
        <v>4.0997457644155739</v>
      </c>
      <c r="M139" s="24">
        <v>4.1841373909478632</v>
      </c>
      <c r="N139" s="24">
        <v>4.2776085472352516</v>
      </c>
      <c r="O139" s="24">
        <v>4.3809789691836016</v>
      </c>
      <c r="P139" s="24">
        <v>4.4951721514650957</v>
      </c>
      <c r="Q139" s="21"/>
      <c r="R139" s="21"/>
    </row>
    <row r="140" spans="1:18" x14ac:dyDescent="0.35">
      <c r="A140" s="39" t="s">
        <v>54</v>
      </c>
      <c r="B140" s="35" t="s">
        <v>27</v>
      </c>
      <c r="C140" s="36" t="s">
        <v>33</v>
      </c>
      <c r="D140" s="24">
        <v>2.662175566999768</v>
      </c>
      <c r="E140" s="24">
        <v>2.7183586487678442</v>
      </c>
      <c r="F140" s="24">
        <v>2.7866109279803588</v>
      </c>
      <c r="G140" s="24">
        <v>2.8585737419903134</v>
      </c>
      <c r="H140" s="24">
        <v>2.9355534725064922</v>
      </c>
      <c r="I140" s="24">
        <v>3.0170474106953327</v>
      </c>
      <c r="J140" s="24">
        <v>3.1039408220358875</v>
      </c>
      <c r="K140" s="24">
        <v>3.198942521826849</v>
      </c>
      <c r="L140" s="24">
        <v>3.2992445141721127</v>
      </c>
      <c r="M140" s="24">
        <v>3.4077764700082001</v>
      </c>
      <c r="N140" s="24">
        <v>3.5225842833657546</v>
      </c>
      <c r="O140" s="24">
        <v>3.6455608322554021</v>
      </c>
      <c r="P140" s="24">
        <v>3.7805506817969534</v>
      </c>
      <c r="Q140" s="21"/>
      <c r="R140" s="21"/>
    </row>
    <row r="141" spans="1:18" x14ac:dyDescent="0.35">
      <c r="A141" s="39" t="s">
        <v>54</v>
      </c>
      <c r="B141" s="35" t="s">
        <v>34</v>
      </c>
      <c r="C141" s="36" t="s">
        <v>35</v>
      </c>
      <c r="D141" s="24">
        <v>15.185804815135928</v>
      </c>
      <c r="E141" s="24">
        <v>15.344096776045099</v>
      </c>
      <c r="F141" s="24">
        <v>15.611174435412316</v>
      </c>
      <c r="G141" s="24">
        <v>15.896614647787999</v>
      </c>
      <c r="H141" s="24">
        <v>16.213056827710474</v>
      </c>
      <c r="I141" s="24">
        <v>16.549143101992193</v>
      </c>
      <c r="J141" s="24">
        <v>16.905200386725568</v>
      </c>
      <c r="K141" s="24">
        <v>17.316245715762207</v>
      </c>
      <c r="L141" s="24">
        <v>17.734783602548305</v>
      </c>
      <c r="M141" s="24">
        <v>18.186944727308983</v>
      </c>
      <c r="N141" s="24">
        <v>18.65217954768449</v>
      </c>
      <c r="O141" s="24">
        <v>19.15832625485038</v>
      </c>
      <c r="P141" s="24">
        <v>19.7219829372332</v>
      </c>
      <c r="Q141" s="21"/>
      <c r="R141" s="21"/>
    </row>
    <row r="142" spans="1:18" x14ac:dyDescent="0.35">
      <c r="A142" s="39" t="s">
        <v>54</v>
      </c>
      <c r="B142" s="35" t="s">
        <v>34</v>
      </c>
      <c r="C142" s="36" t="s">
        <v>36</v>
      </c>
      <c r="D142" s="24">
        <v>16.055013002384481</v>
      </c>
      <c r="E142" s="24">
        <v>16.585571275847517</v>
      </c>
      <c r="F142" s="24">
        <v>17.200066208949938</v>
      </c>
      <c r="G142" s="24">
        <v>17.849653592801065</v>
      </c>
      <c r="H142" s="24">
        <v>18.543496211335725</v>
      </c>
      <c r="I142" s="24">
        <v>19.27973018337342</v>
      </c>
      <c r="J142" s="24">
        <v>20.065241932573137</v>
      </c>
      <c r="K142" s="24">
        <v>20.918995330458674</v>
      </c>
      <c r="L142" s="24">
        <v>21.824720977045843</v>
      </c>
      <c r="M142" s="24">
        <v>22.803299401621118</v>
      </c>
      <c r="N142" s="24">
        <v>23.843859981899538</v>
      </c>
      <c r="O142" s="24">
        <v>24.961015378939955</v>
      </c>
      <c r="P142" s="24">
        <v>26.183371904213168</v>
      </c>
      <c r="Q142" s="21"/>
      <c r="R142" s="21"/>
    </row>
    <row r="143" spans="1:18" x14ac:dyDescent="0.35">
      <c r="A143" s="39" t="s">
        <v>54</v>
      </c>
      <c r="B143" s="35" t="s">
        <v>34</v>
      </c>
      <c r="C143" s="36" t="s">
        <v>37</v>
      </c>
      <c r="D143" s="24">
        <v>9.4592217392808156</v>
      </c>
      <c r="E143" s="24">
        <v>9.7641680736689658</v>
      </c>
      <c r="F143" s="24">
        <v>10.082814631722103</v>
      </c>
      <c r="G143" s="24">
        <v>10.41516097867466</v>
      </c>
      <c r="H143" s="24">
        <v>10.762029084896032</v>
      </c>
      <c r="I143" s="24">
        <v>11.127425935729367</v>
      </c>
      <c r="J143" s="24">
        <v>11.51763888279147</v>
      </c>
      <c r="K143" s="24">
        <v>11.928175803499785</v>
      </c>
      <c r="L143" s="24">
        <v>12.37114878808417</v>
      </c>
      <c r="M143" s="24">
        <v>12.84997811528658</v>
      </c>
      <c r="N143" s="24">
        <v>13.364204033484299</v>
      </c>
      <c r="O143" s="24">
        <v>13.908042418095391</v>
      </c>
      <c r="P143" s="24">
        <v>14.498351682572439</v>
      </c>
      <c r="Q143" s="21"/>
      <c r="R143" s="21"/>
    </row>
    <row r="144" spans="1:18" x14ac:dyDescent="0.35">
      <c r="A144" s="39" t="s">
        <v>54</v>
      </c>
      <c r="B144" s="35" t="s">
        <v>34</v>
      </c>
      <c r="C144" s="36" t="s">
        <v>38</v>
      </c>
      <c r="D144" s="24">
        <v>4.0532921122611789</v>
      </c>
      <c r="E144" s="24">
        <v>4.1562973246236492</v>
      </c>
      <c r="F144" s="24">
        <v>4.2635672469428076</v>
      </c>
      <c r="G144" s="24">
        <v>4.3750015391510599</v>
      </c>
      <c r="H144" s="24">
        <v>4.4908467092177675</v>
      </c>
      <c r="I144" s="24">
        <v>4.6126705681410431</v>
      </c>
      <c r="J144" s="24">
        <v>4.7429434954730709</v>
      </c>
      <c r="K144" s="24">
        <v>4.8796300310163288</v>
      </c>
      <c r="L144" s="24">
        <v>5.0275385755429207</v>
      </c>
      <c r="M144" s="24">
        <v>5.1878168016134261</v>
      </c>
      <c r="N144" s="24">
        <v>5.3600128082640373</v>
      </c>
      <c r="O144" s="24">
        <v>5.5415478404922087</v>
      </c>
      <c r="P144" s="24">
        <v>5.7389292924263433</v>
      </c>
      <c r="Q144" s="21"/>
      <c r="R144" s="21"/>
    </row>
    <row r="145" spans="1:18" x14ac:dyDescent="0.35">
      <c r="A145" s="39" t="s">
        <v>54</v>
      </c>
      <c r="B145" s="35" t="s">
        <v>22</v>
      </c>
      <c r="C145" s="36" t="s">
        <v>39</v>
      </c>
      <c r="D145" s="24">
        <v>12.334588858000998</v>
      </c>
      <c r="E145" s="24">
        <v>12.614756396280519</v>
      </c>
      <c r="F145" s="24">
        <v>13.039154734558217</v>
      </c>
      <c r="G145" s="24">
        <v>13.47045314172253</v>
      </c>
      <c r="H145" s="24">
        <v>13.932626872918377</v>
      </c>
      <c r="I145" s="24">
        <v>14.393422980620798</v>
      </c>
      <c r="J145" s="24">
        <v>14.902307583946005</v>
      </c>
      <c r="K145" s="24">
        <v>15.463380211466131</v>
      </c>
      <c r="L145" s="24">
        <v>16.021579310649365</v>
      </c>
      <c r="M145" s="24">
        <v>16.642804990390943</v>
      </c>
      <c r="N145" s="24">
        <v>17.262832083090075</v>
      </c>
      <c r="O145" s="24">
        <v>17.909954482838103</v>
      </c>
      <c r="P145" s="24">
        <v>18.645477314395507</v>
      </c>
      <c r="Q145" s="21"/>
      <c r="R145" s="21"/>
    </row>
    <row r="146" spans="1:18" x14ac:dyDescent="0.35">
      <c r="A146" s="39" t="s">
        <v>54</v>
      </c>
      <c r="B146" s="35" t="s">
        <v>22</v>
      </c>
      <c r="C146" s="36" t="s">
        <v>40</v>
      </c>
      <c r="D146" s="24">
        <v>11.730584421342918</v>
      </c>
      <c r="E146" s="24">
        <v>11.938197748898482</v>
      </c>
      <c r="F146" s="24">
        <v>12.167898147527103</v>
      </c>
      <c r="G146" s="24">
        <v>12.425374190865044</v>
      </c>
      <c r="H146" s="24">
        <v>12.70239492362264</v>
      </c>
      <c r="I146" s="24">
        <v>13.020018194663537</v>
      </c>
      <c r="J146" s="24">
        <v>13.352626775192475</v>
      </c>
      <c r="K146" s="24">
        <v>13.728324567126146</v>
      </c>
      <c r="L146" s="24">
        <v>14.136797662337043</v>
      </c>
      <c r="M146" s="24">
        <v>14.580982426099238</v>
      </c>
      <c r="N146" s="24">
        <v>15.072670337002325</v>
      </c>
      <c r="O146" s="24">
        <v>15.617024492834975</v>
      </c>
      <c r="P146" s="24">
        <v>16.210073028717002</v>
      </c>
      <c r="Q146" s="21"/>
      <c r="R146" s="21"/>
    </row>
    <row r="147" spans="1:18" x14ac:dyDescent="0.35">
      <c r="A147" s="39" t="s">
        <v>54</v>
      </c>
      <c r="B147" s="35" t="s">
        <v>22</v>
      </c>
      <c r="C147" s="36" t="s">
        <v>41</v>
      </c>
      <c r="D147" s="24">
        <v>8.1401116121038601</v>
      </c>
      <c r="E147" s="24">
        <v>8.2633422140164736</v>
      </c>
      <c r="F147" s="24">
        <v>8.4085670935000714</v>
      </c>
      <c r="G147" s="24">
        <v>8.5627404442884316</v>
      </c>
      <c r="H147" s="24">
        <v>8.7266453313864201</v>
      </c>
      <c r="I147" s="24">
        <v>8.9044942142671122</v>
      </c>
      <c r="J147" s="24">
        <v>9.0927127267577923</v>
      </c>
      <c r="K147" s="24">
        <v>9.2951660038754085</v>
      </c>
      <c r="L147" s="24">
        <v>9.5166023909168374</v>
      </c>
      <c r="M147" s="24">
        <v>9.7509482779785284</v>
      </c>
      <c r="N147" s="24">
        <v>10.003094114552132</v>
      </c>
      <c r="O147" s="24">
        <v>10.274474261604366</v>
      </c>
      <c r="P147" s="24">
        <v>10.571246588790654</v>
      </c>
      <c r="Q147" s="21"/>
      <c r="R147" s="21"/>
    </row>
    <row r="148" spans="1:18" x14ac:dyDescent="0.35">
      <c r="A148" s="39" t="s">
        <v>54</v>
      </c>
      <c r="B148" s="35" t="s">
        <v>22</v>
      </c>
      <c r="C148" s="36" t="s">
        <v>42</v>
      </c>
      <c r="D148" s="24">
        <v>12.548046777614626</v>
      </c>
      <c r="E148" s="24">
        <v>13.033837090989758</v>
      </c>
      <c r="F148" s="24">
        <v>13.542002547441776</v>
      </c>
      <c r="G148" s="24">
        <v>14.077862981538779</v>
      </c>
      <c r="H148" s="24">
        <v>14.647761705232565</v>
      </c>
      <c r="I148" s="24">
        <v>15.251034399684574</v>
      </c>
      <c r="J148" s="24">
        <v>15.883377611666974</v>
      </c>
      <c r="K148" s="24">
        <v>16.556176098269308</v>
      </c>
      <c r="L148" s="24">
        <v>17.28321257931799</v>
      </c>
      <c r="M148" s="24">
        <v>18.0533033513614</v>
      </c>
      <c r="N148" s="24">
        <v>18.881659836687838</v>
      </c>
      <c r="O148" s="24">
        <v>19.76747865510049</v>
      </c>
      <c r="P148" s="24">
        <v>20.715838884541991</v>
      </c>
      <c r="Q148" s="21"/>
      <c r="R148" s="21"/>
    </row>
    <row r="149" spans="1:18" x14ac:dyDescent="0.35">
      <c r="A149" s="39" t="s">
        <v>55</v>
      </c>
      <c r="B149" s="35" t="s">
        <v>24</v>
      </c>
      <c r="C149" s="36" t="s">
        <v>25</v>
      </c>
      <c r="D149" s="24">
        <v>54.044429134482883</v>
      </c>
      <c r="E149" s="24">
        <v>56.315159051185837</v>
      </c>
      <c r="F149" s="24">
        <v>58.768152450348801</v>
      </c>
      <c r="G149" s="24">
        <v>61.440798350147126</v>
      </c>
      <c r="H149" s="24">
        <v>64.304694078319145</v>
      </c>
      <c r="I149" s="24">
        <v>67.476363108568535</v>
      </c>
      <c r="J149" s="24">
        <v>70.840967971881653</v>
      </c>
      <c r="K149" s="24">
        <v>74.55687010991231</v>
      </c>
      <c r="L149" s="24">
        <v>78.588276315383084</v>
      </c>
      <c r="M149" s="24">
        <v>82.96862858239237</v>
      </c>
      <c r="N149" s="24">
        <v>87.784019862111307</v>
      </c>
      <c r="O149" s="24">
        <v>93.089056641836834</v>
      </c>
      <c r="P149" s="24">
        <v>98.887761131007409</v>
      </c>
      <c r="Q149" s="21"/>
      <c r="R149" s="21"/>
    </row>
    <row r="150" spans="1:18" x14ac:dyDescent="0.35">
      <c r="A150" s="39" t="s">
        <v>55</v>
      </c>
      <c r="B150" s="35" t="s">
        <v>24</v>
      </c>
      <c r="C150" s="36" t="s">
        <v>26</v>
      </c>
      <c r="D150" s="24">
        <v>563.55709162726043</v>
      </c>
      <c r="E150" s="24">
        <v>594.04376527227464</v>
      </c>
      <c r="F150" s="24">
        <v>627.62670748052551</v>
      </c>
      <c r="G150" s="24">
        <v>663.58560775082969</v>
      </c>
      <c r="H150" s="24">
        <v>702.13981221869096</v>
      </c>
      <c r="I150" s="24">
        <v>743.80349955175461</v>
      </c>
      <c r="J150" s="24">
        <v>788.50285790207181</v>
      </c>
      <c r="K150" s="24">
        <v>836.77786047450331</v>
      </c>
      <c r="L150" s="24">
        <v>889.31155106070673</v>
      </c>
      <c r="M150" s="24">
        <v>945.85676669220152</v>
      </c>
      <c r="N150" s="24">
        <v>1007.1641543167076</v>
      </c>
      <c r="O150" s="24">
        <v>1073.7254190932003</v>
      </c>
      <c r="P150" s="24">
        <v>1146.5697545396768</v>
      </c>
      <c r="Q150" s="21"/>
      <c r="R150" s="21"/>
    </row>
    <row r="151" spans="1:18" x14ac:dyDescent="0.35">
      <c r="A151" s="39" t="s">
        <v>55</v>
      </c>
      <c r="B151" s="35" t="s">
        <v>27</v>
      </c>
      <c r="C151" s="36" t="s">
        <v>28</v>
      </c>
      <c r="D151" s="24">
        <v>216.74639429605452</v>
      </c>
      <c r="E151" s="24">
        <v>226.4148347082629</v>
      </c>
      <c r="F151" s="24">
        <v>237.25054476055891</v>
      </c>
      <c r="G151" s="24">
        <v>248.66998384673946</v>
      </c>
      <c r="H151" s="24">
        <v>260.82106549287255</v>
      </c>
      <c r="I151" s="24">
        <v>273.87124897390481</v>
      </c>
      <c r="J151" s="24">
        <v>287.66773781261202</v>
      </c>
      <c r="K151" s="24">
        <v>302.33660454919709</v>
      </c>
      <c r="L151" s="24">
        <v>318.30673742302702</v>
      </c>
      <c r="M151" s="24">
        <v>334.99157391018434</v>
      </c>
      <c r="N151" s="24">
        <v>352.90767888325468</v>
      </c>
      <c r="O151" s="24">
        <v>372.04463605483068</v>
      </c>
      <c r="P151" s="24">
        <v>392.97001946337195</v>
      </c>
      <c r="Q151" s="14"/>
      <c r="R151" s="14"/>
    </row>
    <row r="152" spans="1:18" x14ac:dyDescent="0.35">
      <c r="A152" s="39" t="s">
        <v>55</v>
      </c>
      <c r="B152" s="35" t="s">
        <v>27</v>
      </c>
      <c r="C152" s="36" t="s">
        <v>29</v>
      </c>
      <c r="D152" s="24">
        <v>137.29866431904125</v>
      </c>
      <c r="E152" s="24">
        <v>145.14986772800722</v>
      </c>
      <c r="F152" s="24">
        <v>153.67389849953679</v>
      </c>
      <c r="G152" s="24">
        <v>162.99348297551094</v>
      </c>
      <c r="H152" s="24">
        <v>173.06316952186489</v>
      </c>
      <c r="I152" s="24">
        <v>184.22399937185637</v>
      </c>
      <c r="J152" s="24">
        <v>196.20424569656873</v>
      </c>
      <c r="K152" s="24">
        <v>209.47188067800053</v>
      </c>
      <c r="L152" s="24">
        <v>223.97549724336346</v>
      </c>
      <c r="M152" s="24">
        <v>239.85656809790771</v>
      </c>
      <c r="N152" s="24">
        <v>257.4155336490013</v>
      </c>
      <c r="O152" s="24">
        <v>276.8762092483417</v>
      </c>
      <c r="P152" s="24">
        <v>298.32287929262117</v>
      </c>
      <c r="Q152" s="14"/>
      <c r="R152" s="14"/>
    </row>
    <row r="153" spans="1:18" x14ac:dyDescent="0.35">
      <c r="A153" s="39" t="s">
        <v>55</v>
      </c>
      <c r="B153" s="35" t="s">
        <v>27</v>
      </c>
      <c r="C153" s="36" t="s">
        <v>30</v>
      </c>
      <c r="D153" s="24">
        <v>105.34001339006116</v>
      </c>
      <c r="E153" s="24">
        <v>112.62236686041459</v>
      </c>
      <c r="F153" s="24">
        <v>120.67934643557608</v>
      </c>
      <c r="G153" s="24">
        <v>129.3820844999062</v>
      </c>
      <c r="H153" s="24">
        <v>138.80310009038851</v>
      </c>
      <c r="I153" s="24">
        <v>148.98023287340141</v>
      </c>
      <c r="J153" s="24">
        <v>159.95107825316802</v>
      </c>
      <c r="K153" s="24">
        <v>171.81110373098048</v>
      </c>
      <c r="L153" s="24">
        <v>184.73046291542457</v>
      </c>
      <c r="M153" s="24">
        <v>198.87421543444123</v>
      </c>
      <c r="N153" s="24">
        <v>214.27086731995712</v>
      </c>
      <c r="O153" s="24">
        <v>230.98468890582362</v>
      </c>
      <c r="P153" s="24">
        <v>249.20975481043823</v>
      </c>
      <c r="Q153" s="14"/>
      <c r="R153" s="14"/>
    </row>
    <row r="154" spans="1:18" x14ac:dyDescent="0.35">
      <c r="A154" s="39" t="s">
        <v>55</v>
      </c>
      <c r="B154" s="35" t="s">
        <v>27</v>
      </c>
      <c r="C154" s="36" t="s">
        <v>31</v>
      </c>
      <c r="D154" s="24">
        <v>75.186624024454758</v>
      </c>
      <c r="E154" s="24">
        <v>79.540258213787268</v>
      </c>
      <c r="F154" s="24">
        <v>84.223275154527926</v>
      </c>
      <c r="G154" s="24">
        <v>89.235570550525978</v>
      </c>
      <c r="H154" s="24">
        <v>94.579252077051052</v>
      </c>
      <c r="I154" s="24">
        <v>100.30932064172224</v>
      </c>
      <c r="J154" s="24">
        <v>106.54041372702255</v>
      </c>
      <c r="K154" s="24">
        <v>113.25989512591823</v>
      </c>
      <c r="L154" s="24">
        <v>120.55188092029813</v>
      </c>
      <c r="M154" s="24">
        <v>128.43626029137567</v>
      </c>
      <c r="N154" s="24">
        <v>136.92579678110562</v>
      </c>
      <c r="O154" s="24">
        <v>146.17310884313468</v>
      </c>
      <c r="P154" s="24">
        <v>156.26336581299643</v>
      </c>
      <c r="Q154" s="14"/>
      <c r="R154" s="14"/>
    </row>
    <row r="155" spans="1:18" x14ac:dyDescent="0.35">
      <c r="A155" s="39" t="s">
        <v>55</v>
      </c>
      <c r="B155" s="35" t="s">
        <v>27</v>
      </c>
      <c r="C155" s="36" t="s">
        <v>32</v>
      </c>
      <c r="D155" s="24">
        <v>53.801209195968326</v>
      </c>
      <c r="E155" s="24">
        <v>55.990642291969714</v>
      </c>
      <c r="F155" s="24">
        <v>58.323579504225279</v>
      </c>
      <c r="G155" s="24">
        <v>60.790812418909361</v>
      </c>
      <c r="H155" s="24">
        <v>63.38496067076273</v>
      </c>
      <c r="I155" s="24">
        <v>66.134304479256798</v>
      </c>
      <c r="J155" s="24">
        <v>69.104348556169029</v>
      </c>
      <c r="K155" s="24">
        <v>72.273493705565627</v>
      </c>
      <c r="L155" s="24">
        <v>75.682870500574296</v>
      </c>
      <c r="M155" s="24">
        <v>79.330245389018359</v>
      </c>
      <c r="N155" s="24">
        <v>83.208678518102602</v>
      </c>
      <c r="O155" s="24">
        <v>87.396213827704059</v>
      </c>
      <c r="P155" s="24">
        <v>91.925085539664607</v>
      </c>
      <c r="Q155" s="14"/>
      <c r="R155" s="14"/>
    </row>
    <row r="156" spans="1:18" x14ac:dyDescent="0.35">
      <c r="A156" s="39" t="s">
        <v>55</v>
      </c>
      <c r="B156" s="35" t="s">
        <v>27</v>
      </c>
      <c r="C156" s="36" t="s">
        <v>33</v>
      </c>
      <c r="D156" s="24">
        <v>29.228615536163293</v>
      </c>
      <c r="E156" s="24">
        <v>30.640954521018671</v>
      </c>
      <c r="F156" s="24">
        <v>32.244215576449314</v>
      </c>
      <c r="G156" s="24">
        <v>33.954471809384899</v>
      </c>
      <c r="H156" s="24">
        <v>35.792958444070365</v>
      </c>
      <c r="I156" s="24">
        <v>37.760756320181521</v>
      </c>
      <c r="J156" s="24">
        <v>39.876001828413266</v>
      </c>
      <c r="K156" s="24">
        <v>42.18175279475355</v>
      </c>
      <c r="L156" s="24">
        <v>44.652378373402335</v>
      </c>
      <c r="M156" s="24">
        <v>47.336532151666482</v>
      </c>
      <c r="N156" s="24">
        <v>50.219619027397513</v>
      </c>
      <c r="O156" s="24">
        <v>53.339618855202467</v>
      </c>
      <c r="P156" s="24">
        <v>56.766410751591827</v>
      </c>
      <c r="Q156" s="14"/>
      <c r="R156" s="14"/>
    </row>
    <row r="157" spans="1:18" x14ac:dyDescent="0.35">
      <c r="A157" s="39" t="s">
        <v>55</v>
      </c>
      <c r="B157" s="35" t="s">
        <v>34</v>
      </c>
      <c r="C157" s="36" t="s">
        <v>35</v>
      </c>
      <c r="D157" s="24">
        <v>203.84035270911221</v>
      </c>
      <c r="E157" s="24">
        <v>212.6580261267992</v>
      </c>
      <c r="F157" s="24">
        <v>222.16780562606584</v>
      </c>
      <c r="G157" s="24">
        <v>232.33581079620802</v>
      </c>
      <c r="H157" s="24">
        <v>243.11619739741161</v>
      </c>
      <c r="I157" s="24">
        <v>254.86004403915297</v>
      </c>
      <c r="J157" s="24">
        <v>267.23099460414323</v>
      </c>
      <c r="K157" s="24">
        <v>280.46243544767242</v>
      </c>
      <c r="L157" s="24">
        <v>294.91394180436191</v>
      </c>
      <c r="M157" s="24">
        <v>310.13529140242667</v>
      </c>
      <c r="N157" s="24">
        <v>326.65103129218778</v>
      </c>
      <c r="O157" s="24">
        <v>344.56035669808875</v>
      </c>
      <c r="P157" s="24">
        <v>363.89960900367532</v>
      </c>
      <c r="Q157" s="14"/>
      <c r="R157" s="14"/>
    </row>
    <row r="158" spans="1:18" x14ac:dyDescent="0.35">
      <c r="A158" s="39" t="s">
        <v>55</v>
      </c>
      <c r="B158" s="35" t="s">
        <v>34</v>
      </c>
      <c r="C158" s="36" t="s">
        <v>36</v>
      </c>
      <c r="D158" s="24">
        <v>221.07104864848765</v>
      </c>
      <c r="E158" s="24">
        <v>234.73930766216327</v>
      </c>
      <c r="F158" s="24">
        <v>249.8244432429484</v>
      </c>
      <c r="G158" s="24">
        <v>266.0690359478408</v>
      </c>
      <c r="H158" s="24">
        <v>283.58446732989376</v>
      </c>
      <c r="I158" s="24">
        <v>302.60412166844878</v>
      </c>
      <c r="J158" s="24">
        <v>323.12862019179693</v>
      </c>
      <c r="K158" s="24">
        <v>345.40969735447953</v>
      </c>
      <c r="L158" s="24">
        <v>369.76505634199134</v>
      </c>
      <c r="M158" s="24">
        <v>396.134376248558</v>
      </c>
      <c r="N158" s="24">
        <v>424.87287888524725</v>
      </c>
      <c r="O158" s="24">
        <v>456.23630761840025</v>
      </c>
      <c r="P158" s="24">
        <v>490.71554150491778</v>
      </c>
      <c r="Q158" s="21"/>
      <c r="R158" s="21"/>
    </row>
    <row r="159" spans="1:18" x14ac:dyDescent="0.35">
      <c r="A159" s="39" t="s">
        <v>55</v>
      </c>
      <c r="B159" s="35" t="s">
        <v>34</v>
      </c>
      <c r="C159" s="36" t="s">
        <v>37</v>
      </c>
      <c r="D159" s="24">
        <v>142.46216258813973</v>
      </c>
      <c r="E159" s="24">
        <v>150.11064053381514</v>
      </c>
      <c r="F159" s="24">
        <v>158.77074662180789</v>
      </c>
      <c r="G159" s="24">
        <v>168.04424096966096</v>
      </c>
      <c r="H159" s="24">
        <v>178.04505881279545</v>
      </c>
      <c r="I159" s="24">
        <v>188.7891165612352</v>
      </c>
      <c r="J159" s="24">
        <v>200.37782265417272</v>
      </c>
      <c r="K159" s="24">
        <v>213.03977493543695</v>
      </c>
      <c r="L159" s="24">
        <v>226.66118034951199</v>
      </c>
      <c r="M159" s="24">
        <v>241.50286125493014</v>
      </c>
      <c r="N159" s="24">
        <v>257.50810952191347</v>
      </c>
      <c r="O159" s="24">
        <v>274.88848427606126</v>
      </c>
      <c r="P159" s="24">
        <v>294.0240602861719</v>
      </c>
      <c r="Q159" s="21"/>
      <c r="R159" s="21"/>
    </row>
    <row r="160" spans="1:18" x14ac:dyDescent="0.35">
      <c r="A160" s="39" t="s">
        <v>55</v>
      </c>
      <c r="B160" s="35" t="s">
        <v>34</v>
      </c>
      <c r="C160" s="36" t="s">
        <v>38</v>
      </c>
      <c r="D160" s="24">
        <v>50.227956816003754</v>
      </c>
      <c r="E160" s="24">
        <v>52.850950000682829</v>
      </c>
      <c r="F160" s="24">
        <v>55.631864440052162</v>
      </c>
      <c r="G160" s="24">
        <v>58.577318387267056</v>
      </c>
      <c r="H160" s="24">
        <v>61.698782756909317</v>
      </c>
      <c r="I160" s="24">
        <v>65.026580391486121</v>
      </c>
      <c r="J160" s="24">
        <v>68.606388423840556</v>
      </c>
      <c r="K160" s="24">
        <v>72.422822846826719</v>
      </c>
      <c r="L160" s="24">
        <v>76.559648880224444</v>
      </c>
      <c r="M160" s="24">
        <v>81.052866368678963</v>
      </c>
      <c r="N160" s="24">
        <v>85.916154479470379</v>
      </c>
      <c r="O160" s="24">
        <v>91.129327142486886</v>
      </c>
      <c r="P160" s="24">
        <v>96.818304875919196</v>
      </c>
      <c r="Q160" s="21"/>
      <c r="R160" s="21"/>
    </row>
    <row r="161" spans="1:18" x14ac:dyDescent="0.35">
      <c r="A161" s="39" t="s">
        <v>55</v>
      </c>
      <c r="B161" s="35" t="s">
        <v>22</v>
      </c>
      <c r="C161" s="36" t="s">
        <v>39</v>
      </c>
      <c r="D161" s="24">
        <v>159.44156177997684</v>
      </c>
      <c r="E161" s="24">
        <v>167.55857341549483</v>
      </c>
      <c r="F161" s="24">
        <v>176.7179884805837</v>
      </c>
      <c r="G161" s="24">
        <v>186.65781772455489</v>
      </c>
      <c r="H161" s="24">
        <v>197.28281592085045</v>
      </c>
      <c r="I161" s="24">
        <v>209.10650429945429</v>
      </c>
      <c r="J161" s="24">
        <v>221.717622926491</v>
      </c>
      <c r="K161" s="24">
        <v>235.35751292110672</v>
      </c>
      <c r="L161" s="24">
        <v>250.41486750229581</v>
      </c>
      <c r="M161" s="24">
        <v>266.33209335072479</v>
      </c>
      <c r="N161" s="24">
        <v>283.74402301888676</v>
      </c>
      <c r="O161" s="24">
        <v>302.90084508735549</v>
      </c>
      <c r="P161" s="24">
        <v>323.88529897448109</v>
      </c>
      <c r="Q161" s="21"/>
      <c r="R161" s="21"/>
    </row>
    <row r="162" spans="1:18" x14ac:dyDescent="0.35">
      <c r="A162" s="39" t="s">
        <v>55</v>
      </c>
      <c r="B162" s="35" t="s">
        <v>22</v>
      </c>
      <c r="C162" s="36" t="s">
        <v>40</v>
      </c>
      <c r="D162" s="24">
        <v>148.82344534204228</v>
      </c>
      <c r="E162" s="24">
        <v>156.66427663063135</v>
      </c>
      <c r="F162" s="24">
        <v>164.96109304640731</v>
      </c>
      <c r="G162" s="24">
        <v>173.79332295535508</v>
      </c>
      <c r="H162" s="24">
        <v>183.25688145561512</v>
      </c>
      <c r="I162" s="24">
        <v>193.3646633504942</v>
      </c>
      <c r="J162" s="24">
        <v>204.08351573571719</v>
      </c>
      <c r="K162" s="24">
        <v>215.57947771346963</v>
      </c>
      <c r="L162" s="24">
        <v>228.058155614063</v>
      </c>
      <c r="M162" s="24">
        <v>241.40598781637934</v>
      </c>
      <c r="N162" s="24">
        <v>255.85533581723971</v>
      </c>
      <c r="O162" s="24">
        <v>271.43316103901066</v>
      </c>
      <c r="P162" s="24">
        <v>288.24758266672723</v>
      </c>
      <c r="Q162" s="21"/>
      <c r="R162" s="21"/>
    </row>
    <row r="163" spans="1:18" x14ac:dyDescent="0.35">
      <c r="A163" s="39" t="s">
        <v>55</v>
      </c>
      <c r="B163" s="35" t="s">
        <v>22</v>
      </c>
      <c r="C163" s="36" t="s">
        <v>41</v>
      </c>
      <c r="D163" s="24">
        <v>120.25726572907068</v>
      </c>
      <c r="E163" s="24">
        <v>125.7189130551567</v>
      </c>
      <c r="F163" s="24">
        <v>131.47842868631201</v>
      </c>
      <c r="G163" s="24">
        <v>137.54484736391512</v>
      </c>
      <c r="H163" s="24">
        <v>143.93827828257849</v>
      </c>
      <c r="I163" s="24">
        <v>150.72220144680202</v>
      </c>
      <c r="J163" s="24">
        <v>157.99395088749844</v>
      </c>
      <c r="K163" s="24">
        <v>165.70761962511818</v>
      </c>
      <c r="L163" s="24">
        <v>174.04520809006695</v>
      </c>
      <c r="M163" s="24">
        <v>183.07531584821879</v>
      </c>
      <c r="N163" s="24">
        <v>192.81419322486911</v>
      </c>
      <c r="O163" s="24">
        <v>203.2014846631815</v>
      </c>
      <c r="P163" s="24">
        <v>214.50397820752647</v>
      </c>
      <c r="Q163" s="21"/>
      <c r="R163" s="21"/>
    </row>
    <row r="164" spans="1:18" x14ac:dyDescent="0.35">
      <c r="A164" s="39" t="s">
        <v>55</v>
      </c>
      <c r="B164" s="35" t="s">
        <v>22</v>
      </c>
      <c r="C164" s="36" t="s">
        <v>42</v>
      </c>
      <c r="D164" s="24">
        <v>189.07924791065361</v>
      </c>
      <c r="E164" s="24">
        <v>200.41716122217755</v>
      </c>
      <c r="F164" s="24">
        <v>213.23734971757131</v>
      </c>
      <c r="G164" s="24">
        <v>227.03041805715179</v>
      </c>
      <c r="H164" s="24">
        <v>241.96653063796606</v>
      </c>
      <c r="I164" s="24">
        <v>258.08649356357256</v>
      </c>
      <c r="J164" s="24">
        <v>275.54873632424687</v>
      </c>
      <c r="K164" s="24">
        <v>294.69012032472114</v>
      </c>
      <c r="L164" s="24">
        <v>315.38159616966408</v>
      </c>
      <c r="M164" s="24">
        <v>338.01199825927091</v>
      </c>
      <c r="N164" s="24">
        <v>362.53462211782318</v>
      </c>
      <c r="O164" s="24">
        <v>389.27898494548941</v>
      </c>
      <c r="P164" s="24">
        <v>418.8206558219494</v>
      </c>
      <c r="Q164" s="21"/>
      <c r="R164" s="21"/>
    </row>
    <row r="165" spans="1:18" x14ac:dyDescent="0.35">
      <c r="A165" s="39" t="s">
        <v>56</v>
      </c>
      <c r="B165" s="35" t="s">
        <v>24</v>
      </c>
      <c r="C165" s="36" t="s">
        <v>25</v>
      </c>
      <c r="D165" s="24">
        <v>120.28275102539367</v>
      </c>
      <c r="E165" s="24">
        <v>126.79201206812093</v>
      </c>
      <c r="F165" s="24">
        <v>133.92067074855944</v>
      </c>
      <c r="G165" s="24">
        <v>141.46195719421613</v>
      </c>
      <c r="H165" s="24">
        <v>149.49541603149115</v>
      </c>
      <c r="I165" s="24">
        <v>158.12154563247958</v>
      </c>
      <c r="J165" s="24">
        <v>167.36941604280693</v>
      </c>
      <c r="K165" s="24">
        <v>177.62120672266005</v>
      </c>
      <c r="L165" s="24">
        <v>188.64775131625038</v>
      </c>
      <c r="M165" s="24">
        <v>200.59858845502586</v>
      </c>
      <c r="N165" s="24">
        <v>213.658523464246</v>
      </c>
      <c r="O165" s="24">
        <v>227.95887674612956</v>
      </c>
      <c r="P165" s="24">
        <v>243.64953425590028</v>
      </c>
      <c r="Q165" s="21"/>
      <c r="R165" s="21"/>
    </row>
    <row r="166" spans="1:18" x14ac:dyDescent="0.35">
      <c r="A166" s="39" t="s">
        <v>56</v>
      </c>
      <c r="B166" s="35" t="s">
        <v>24</v>
      </c>
      <c r="C166" s="36" t="s">
        <v>26</v>
      </c>
      <c r="D166" s="24">
        <v>1163.7651224272724</v>
      </c>
      <c r="E166" s="24">
        <v>1233.2645559050557</v>
      </c>
      <c r="F166" s="24">
        <v>1311.8520825745886</v>
      </c>
      <c r="G166" s="24">
        <v>1396.3875183711602</v>
      </c>
      <c r="H166" s="24">
        <v>1487.9133028238334</v>
      </c>
      <c r="I166" s="24">
        <v>1586.6754558439964</v>
      </c>
      <c r="J166" s="24">
        <v>1693.6428948308701</v>
      </c>
      <c r="K166" s="24">
        <v>1810.8803622548605</v>
      </c>
      <c r="L166" s="24">
        <v>1937.587666915058</v>
      </c>
      <c r="M166" s="24">
        <v>2076.1470246502586</v>
      </c>
      <c r="N166" s="24">
        <v>2226.2632865781165</v>
      </c>
      <c r="O166" s="24">
        <v>2389.9518727264472</v>
      </c>
      <c r="P166" s="24">
        <v>2570.7369713997991</v>
      </c>
      <c r="Q166" s="21"/>
      <c r="R166" s="21"/>
    </row>
    <row r="167" spans="1:18" x14ac:dyDescent="0.35">
      <c r="A167" s="39" t="s">
        <v>56</v>
      </c>
      <c r="B167" s="35" t="s">
        <v>27</v>
      </c>
      <c r="C167" s="36" t="s">
        <v>28</v>
      </c>
      <c r="D167" s="24">
        <v>458.08242648353803</v>
      </c>
      <c r="E167" s="24">
        <v>481.1942669223024</v>
      </c>
      <c r="F167" s="24">
        <v>508.61326227384484</v>
      </c>
      <c r="G167" s="24">
        <v>537.58901948203049</v>
      </c>
      <c r="H167" s="24">
        <v>568.67204805845427</v>
      </c>
      <c r="I167" s="24">
        <v>601.27736672958804</v>
      </c>
      <c r="J167" s="24">
        <v>636.51022794964024</v>
      </c>
      <c r="K167" s="24">
        <v>674.61520362123247</v>
      </c>
      <c r="L167" s="24">
        <v>714.80766127587003</v>
      </c>
      <c r="M167" s="24">
        <v>758.53525755747341</v>
      </c>
      <c r="N167" s="24">
        <v>804.36853883727872</v>
      </c>
      <c r="O167" s="24">
        <v>853.30604663416602</v>
      </c>
      <c r="P167" s="24">
        <v>907.21578096873736</v>
      </c>
      <c r="Q167" s="14"/>
      <c r="R167" s="14"/>
    </row>
    <row r="168" spans="1:18" x14ac:dyDescent="0.35">
      <c r="A168" s="39" t="s">
        <v>56</v>
      </c>
      <c r="B168" s="35" t="s">
        <v>27</v>
      </c>
      <c r="C168" s="36" t="s">
        <v>29</v>
      </c>
      <c r="D168" s="24">
        <v>276.13441869098608</v>
      </c>
      <c r="E168" s="24">
        <v>294.67566362873652</v>
      </c>
      <c r="F168" s="24">
        <v>315.64166745219558</v>
      </c>
      <c r="G168" s="24">
        <v>338.32557669921044</v>
      </c>
      <c r="H168" s="24">
        <v>363.01351297022546</v>
      </c>
      <c r="I168" s="24">
        <v>389.80483103257495</v>
      </c>
      <c r="J168" s="24">
        <v>418.97873448128536</v>
      </c>
      <c r="K168" s="24">
        <v>451.09275259339938</v>
      </c>
      <c r="L168" s="24">
        <v>486.00564351371122</v>
      </c>
      <c r="M168" s="24">
        <v>524.36972665801761</v>
      </c>
      <c r="N168" s="24">
        <v>566.17849678982986</v>
      </c>
      <c r="O168" s="24">
        <v>612.01201202596087</v>
      </c>
      <c r="P168" s="24">
        <v>662.85189788746743</v>
      </c>
      <c r="Q168" s="14"/>
      <c r="R168" s="14"/>
    </row>
    <row r="169" spans="1:18" x14ac:dyDescent="0.35">
      <c r="A169" s="39" t="s">
        <v>56</v>
      </c>
      <c r="B169" s="35" t="s">
        <v>27</v>
      </c>
      <c r="C169" s="36" t="s">
        <v>30</v>
      </c>
      <c r="D169" s="24">
        <v>220.02205396384363</v>
      </c>
      <c r="E169" s="24">
        <v>235.35083359876015</v>
      </c>
      <c r="F169" s="24">
        <v>252.1105469054109</v>
      </c>
      <c r="G169" s="24">
        <v>270.54766742626185</v>
      </c>
      <c r="H169" s="24">
        <v>290.64004759682012</v>
      </c>
      <c r="I169" s="24">
        <v>313.01230182633338</v>
      </c>
      <c r="J169" s="24">
        <v>337.27600166469711</v>
      </c>
      <c r="K169" s="24">
        <v>364.29431987833294</v>
      </c>
      <c r="L169" s="24">
        <v>394.06622262164899</v>
      </c>
      <c r="M169" s="24">
        <v>426.92791266533294</v>
      </c>
      <c r="N169" s="24">
        <v>463.51221995980501</v>
      </c>
      <c r="O169" s="24">
        <v>504.34121879721289</v>
      </c>
      <c r="P169" s="24">
        <v>549.70434739549478</v>
      </c>
      <c r="Q169" s="14"/>
      <c r="R169" s="14"/>
    </row>
    <row r="170" spans="1:18" x14ac:dyDescent="0.35">
      <c r="A170" s="39" t="s">
        <v>56</v>
      </c>
      <c r="B170" s="35" t="s">
        <v>27</v>
      </c>
      <c r="C170" s="36" t="s">
        <v>31</v>
      </c>
      <c r="D170" s="24">
        <v>164.10565699403696</v>
      </c>
      <c r="E170" s="24">
        <v>174.41071770763841</v>
      </c>
      <c r="F170" s="24">
        <v>185.56166218921527</v>
      </c>
      <c r="G170" s="24">
        <v>197.54887734925177</v>
      </c>
      <c r="H170" s="24">
        <v>210.57076124479474</v>
      </c>
      <c r="I170" s="24">
        <v>224.75049254755359</v>
      </c>
      <c r="J170" s="24">
        <v>240.08467108849132</v>
      </c>
      <c r="K170" s="24">
        <v>256.9845321544272</v>
      </c>
      <c r="L170" s="24">
        <v>275.42114003771422</v>
      </c>
      <c r="M170" s="24">
        <v>295.43470374181442</v>
      </c>
      <c r="N170" s="24">
        <v>317.4646204411747</v>
      </c>
      <c r="O170" s="24">
        <v>341.44838108954201</v>
      </c>
      <c r="P170" s="24">
        <v>367.75865500367132</v>
      </c>
      <c r="Q170" s="14"/>
      <c r="R170" s="14"/>
    </row>
    <row r="171" spans="1:18" x14ac:dyDescent="0.35">
      <c r="A171" s="39" t="s">
        <v>56</v>
      </c>
      <c r="B171" s="35" t="s">
        <v>27</v>
      </c>
      <c r="C171" s="36" t="s">
        <v>32</v>
      </c>
      <c r="D171" s="24">
        <v>95.085177588472348</v>
      </c>
      <c r="E171" s="24">
        <v>99.466148329571539</v>
      </c>
      <c r="F171" s="24">
        <v>104.2585356427895</v>
      </c>
      <c r="G171" s="24">
        <v>109.29103627168193</v>
      </c>
      <c r="H171" s="24">
        <v>114.61861031987273</v>
      </c>
      <c r="I171" s="24">
        <v>120.3105102120042</v>
      </c>
      <c r="J171" s="24">
        <v>126.37941445992703</v>
      </c>
      <c r="K171" s="24">
        <v>133.10410283641073</v>
      </c>
      <c r="L171" s="24">
        <v>140.29662637402842</v>
      </c>
      <c r="M171" s="24">
        <v>148.05613145450457</v>
      </c>
      <c r="N171" s="24">
        <v>156.50460832493718</v>
      </c>
      <c r="O171" s="24">
        <v>165.72096477191005</v>
      </c>
      <c r="P171" s="24">
        <v>175.79496475943915</v>
      </c>
      <c r="Q171" s="14"/>
      <c r="R171" s="14"/>
    </row>
    <row r="172" spans="1:18" x14ac:dyDescent="0.35">
      <c r="A172" s="39" t="s">
        <v>56</v>
      </c>
      <c r="B172" s="35" t="s">
        <v>27</v>
      </c>
      <c r="C172" s="36" t="s">
        <v>33</v>
      </c>
      <c r="D172" s="24">
        <v>70.618139731789128</v>
      </c>
      <c r="E172" s="24">
        <v>74.958937786167837</v>
      </c>
      <c r="F172" s="24">
        <v>79.587078859691857</v>
      </c>
      <c r="G172" s="24">
        <v>84.547298336939974</v>
      </c>
      <c r="H172" s="24">
        <v>89.893738665157315</v>
      </c>
      <c r="I172" s="24">
        <v>95.641499128421955</v>
      </c>
      <c r="J172" s="24">
        <v>101.78326122963608</v>
      </c>
      <c r="K172" s="24">
        <v>108.41065789371787</v>
      </c>
      <c r="L172" s="24">
        <v>115.63812440833541</v>
      </c>
      <c r="M172" s="24">
        <v>123.42188102814164</v>
      </c>
      <c r="N172" s="24">
        <v>131.89332568933708</v>
      </c>
      <c r="O172" s="24">
        <v>141.08212615378494</v>
      </c>
      <c r="P172" s="24">
        <v>151.06085964088936</v>
      </c>
      <c r="Q172" s="14"/>
      <c r="R172" s="14"/>
    </row>
    <row r="173" spans="1:18" x14ac:dyDescent="0.35">
      <c r="A173" s="39" t="s">
        <v>56</v>
      </c>
      <c r="B173" s="35" t="s">
        <v>34</v>
      </c>
      <c r="C173" s="36" t="s">
        <v>35</v>
      </c>
      <c r="D173" s="24">
        <v>397.91152628965119</v>
      </c>
      <c r="E173" s="24">
        <v>414.01336476402798</v>
      </c>
      <c r="F173" s="24">
        <v>434.91562871776068</v>
      </c>
      <c r="G173" s="24">
        <v>457.12097635648252</v>
      </c>
      <c r="H173" s="24">
        <v>481.56190421535098</v>
      </c>
      <c r="I173" s="24">
        <v>507.78562340617646</v>
      </c>
      <c r="J173" s="24">
        <v>535.28787140293844</v>
      </c>
      <c r="K173" s="24">
        <v>566.4831222007208</v>
      </c>
      <c r="L173" s="24">
        <v>598.99641156594475</v>
      </c>
      <c r="M173" s="24">
        <v>634.79749571515504</v>
      </c>
      <c r="N173" s="24">
        <v>673.33665788091707</v>
      </c>
      <c r="O173" s="24">
        <v>714.83939701733721</v>
      </c>
      <c r="P173" s="24">
        <v>761.33874126241017</v>
      </c>
      <c r="Q173" s="14"/>
      <c r="R173" s="14"/>
    </row>
    <row r="174" spans="1:18" x14ac:dyDescent="0.35">
      <c r="A174" s="39" t="s">
        <v>56</v>
      </c>
      <c r="B174" s="35" t="s">
        <v>34</v>
      </c>
      <c r="C174" s="36" t="s">
        <v>36</v>
      </c>
      <c r="D174" s="24">
        <v>454.31255495774155</v>
      </c>
      <c r="E174" s="24">
        <v>486.76515627055039</v>
      </c>
      <c r="F174" s="24">
        <v>522.00890607240672</v>
      </c>
      <c r="G174" s="24">
        <v>560.13641059835197</v>
      </c>
      <c r="H174" s="24">
        <v>601.25648156367515</v>
      </c>
      <c r="I174" s="24">
        <v>645.81727632866614</v>
      </c>
      <c r="J174" s="24">
        <v>694.67124579587733</v>
      </c>
      <c r="K174" s="24">
        <v>747.88149392263654</v>
      </c>
      <c r="L174" s="24">
        <v>806.14948125431863</v>
      </c>
      <c r="M174" s="24">
        <v>869.77912380993587</v>
      </c>
      <c r="N174" s="24">
        <v>939.03717486015501</v>
      </c>
      <c r="O174" s="24">
        <v>1015.1584949758109</v>
      </c>
      <c r="P174" s="24">
        <v>1098.967396233159</v>
      </c>
      <c r="Q174" s="14"/>
      <c r="R174" s="14"/>
    </row>
    <row r="175" spans="1:18" x14ac:dyDescent="0.35">
      <c r="A175" s="39" t="s">
        <v>56</v>
      </c>
      <c r="B175" s="35" t="s">
        <v>34</v>
      </c>
      <c r="C175" s="36" t="s">
        <v>37</v>
      </c>
      <c r="D175" s="24">
        <v>302.725947831638</v>
      </c>
      <c r="E175" s="24">
        <v>322.48329344497159</v>
      </c>
      <c r="F175" s="24">
        <v>343.84345117619984</v>
      </c>
      <c r="G175" s="24">
        <v>366.83709402825696</v>
      </c>
      <c r="H175" s="24">
        <v>391.50442467830811</v>
      </c>
      <c r="I175" s="24">
        <v>418.10529318118535</v>
      </c>
      <c r="J175" s="24">
        <v>447.15491616401039</v>
      </c>
      <c r="K175" s="24">
        <v>478.64813004704064</v>
      </c>
      <c r="L175" s="24">
        <v>512.98787357939523</v>
      </c>
      <c r="M175" s="24">
        <v>550.31430497402175</v>
      </c>
      <c r="N175" s="24">
        <v>590.74019481033179</v>
      </c>
      <c r="O175" s="24">
        <v>634.9840518986307</v>
      </c>
      <c r="P175" s="24">
        <v>683.4904339949702</v>
      </c>
      <c r="Q175" s="14"/>
      <c r="R175" s="14"/>
    </row>
    <row r="176" spans="1:18" x14ac:dyDescent="0.35">
      <c r="A176" s="39" t="s">
        <v>56</v>
      </c>
      <c r="B176" s="35" t="s">
        <v>34</v>
      </c>
      <c r="C176" s="36" t="s">
        <v>38</v>
      </c>
      <c r="D176" s="24">
        <v>129.09784437363544</v>
      </c>
      <c r="E176" s="24">
        <v>136.79475349362684</v>
      </c>
      <c r="F176" s="24">
        <v>145.00476735678083</v>
      </c>
      <c r="G176" s="24">
        <v>153.75499458228509</v>
      </c>
      <c r="H176" s="24">
        <v>163.08590839799032</v>
      </c>
      <c r="I176" s="24">
        <v>173.08880856044814</v>
      </c>
      <c r="J176" s="24">
        <v>183.89827751085087</v>
      </c>
      <c r="K176" s="24">
        <v>195.48882280712252</v>
      </c>
      <c r="L176" s="24">
        <v>208.10165183164986</v>
      </c>
      <c r="M176" s="24">
        <v>221.85468860617172</v>
      </c>
      <c r="N176" s="24">
        <v>236.80778249095897</v>
      </c>
      <c r="O176" s="24">
        <v>252.92880558079807</v>
      </c>
      <c r="P176" s="24">
        <v>270.58993416515978</v>
      </c>
      <c r="Q176" s="14"/>
      <c r="R176" s="14"/>
    </row>
    <row r="177" spans="1:18" x14ac:dyDescent="0.35">
      <c r="A177" s="39" t="s">
        <v>56</v>
      </c>
      <c r="B177" s="35" t="s">
        <v>22</v>
      </c>
      <c r="C177" s="36" t="s">
        <v>39</v>
      </c>
      <c r="D177" s="24">
        <v>312.23241038038213</v>
      </c>
      <c r="E177" s="24">
        <v>329.08674071863675</v>
      </c>
      <c r="F177" s="24">
        <v>349.55395654630411</v>
      </c>
      <c r="G177" s="24">
        <v>371.59976342490995</v>
      </c>
      <c r="H177" s="24">
        <v>395.76168734733187</v>
      </c>
      <c r="I177" s="24">
        <v>421.6907356556294</v>
      </c>
      <c r="J177" s="24">
        <v>450.20913717735402</v>
      </c>
      <c r="K177" s="24">
        <v>482.24549554853911</v>
      </c>
      <c r="L177" s="24">
        <v>516.20690881698397</v>
      </c>
      <c r="M177" s="24">
        <v>553.84254991896432</v>
      </c>
      <c r="N177" s="24">
        <v>594.03387245904696</v>
      </c>
      <c r="O177" s="24">
        <v>638.06872005498144</v>
      </c>
      <c r="P177" s="24">
        <v>687.91866696577927</v>
      </c>
      <c r="Q177" s="14"/>
      <c r="R177" s="14"/>
    </row>
    <row r="178" spans="1:18" x14ac:dyDescent="0.35">
      <c r="A178" s="39" t="s">
        <v>56</v>
      </c>
      <c r="B178" s="35" t="s">
        <v>22</v>
      </c>
      <c r="C178" s="36" t="s">
        <v>40</v>
      </c>
      <c r="D178" s="24">
        <v>347.72178218826139</v>
      </c>
      <c r="E178" s="24">
        <v>367.54114346477695</v>
      </c>
      <c r="F178" s="24">
        <v>389.38545967627084</v>
      </c>
      <c r="G178" s="24">
        <v>412.82426014165895</v>
      </c>
      <c r="H178" s="24">
        <v>438.00683229379939</v>
      </c>
      <c r="I178" s="24">
        <v>465.2679622444324</v>
      </c>
      <c r="J178" s="24">
        <v>494.57823527506383</v>
      </c>
      <c r="K178" s="24">
        <v>526.292823234362</v>
      </c>
      <c r="L178" s="24">
        <v>560.86069152026914</v>
      </c>
      <c r="M178" s="24">
        <v>598.14896606360423</v>
      </c>
      <c r="N178" s="24">
        <v>638.65421759913011</v>
      </c>
      <c r="O178" s="24">
        <v>682.71413506511124</v>
      </c>
      <c r="P178" s="24">
        <v>731.0117213905545</v>
      </c>
      <c r="Q178" s="14"/>
      <c r="R178" s="14"/>
    </row>
    <row r="179" spans="1:18" x14ac:dyDescent="0.35">
      <c r="A179" s="39" t="s">
        <v>56</v>
      </c>
      <c r="B179" s="35" t="s">
        <v>22</v>
      </c>
      <c r="C179" s="36" t="s">
        <v>41</v>
      </c>
      <c r="D179" s="24">
        <v>263.13348049221406</v>
      </c>
      <c r="E179" s="24">
        <v>276.31350283042127</v>
      </c>
      <c r="F179" s="24">
        <v>290.73586554990464</v>
      </c>
      <c r="G179" s="24">
        <v>305.93669835594949</v>
      </c>
      <c r="H179" s="24">
        <v>322.07829499884235</v>
      </c>
      <c r="I179" s="24">
        <v>339.36553656941533</v>
      </c>
      <c r="J179" s="24">
        <v>357.84678487725597</v>
      </c>
      <c r="K179" s="24">
        <v>378.32452245422195</v>
      </c>
      <c r="L179" s="24">
        <v>400.2867864471242</v>
      </c>
      <c r="M179" s="24">
        <v>424.03276449517818</v>
      </c>
      <c r="N179" s="24">
        <v>449.93150776361568</v>
      </c>
      <c r="O179" s="24">
        <v>478.23367682100417</v>
      </c>
      <c r="P179" s="24">
        <v>509.22488805893079</v>
      </c>
      <c r="Q179" s="14"/>
      <c r="R179" s="14"/>
    </row>
    <row r="180" spans="1:18" x14ac:dyDescent="0.35">
      <c r="A180" s="39" t="s">
        <v>56</v>
      </c>
      <c r="B180" s="35" t="s">
        <v>22</v>
      </c>
      <c r="C180" s="36" t="s">
        <v>42</v>
      </c>
      <c r="D180" s="24">
        <v>360.96020039180854</v>
      </c>
      <c r="E180" s="24">
        <v>387.11518095934179</v>
      </c>
      <c r="F180" s="24">
        <v>416.09747155066833</v>
      </c>
      <c r="G180" s="24">
        <v>447.48875364285794</v>
      </c>
      <c r="H180" s="24">
        <v>481.56190421535092</v>
      </c>
      <c r="I180" s="24">
        <v>518.47276700699888</v>
      </c>
      <c r="J180" s="24">
        <v>558.37815354400334</v>
      </c>
      <c r="K180" s="24">
        <v>601.63872774039726</v>
      </c>
      <c r="L180" s="24">
        <v>648.88103144693105</v>
      </c>
      <c r="M180" s="24">
        <v>700.72133262753778</v>
      </c>
      <c r="N180" s="24">
        <v>757.30221222057003</v>
      </c>
      <c r="O180" s="24">
        <v>818.89421753147997</v>
      </c>
      <c r="P180" s="24">
        <v>886.23122924043469</v>
      </c>
      <c r="Q180" s="14"/>
      <c r="R180" s="14"/>
    </row>
    <row r="181" spans="1:18" x14ac:dyDescent="0.35">
      <c r="A181" s="39" t="s">
        <v>57</v>
      </c>
      <c r="B181" s="35" t="s">
        <v>24</v>
      </c>
      <c r="C181" s="36" t="s">
        <v>25</v>
      </c>
      <c r="D181" s="24">
        <v>86.467447630845754</v>
      </c>
      <c r="E181" s="24">
        <v>90.606776636827689</v>
      </c>
      <c r="F181" s="24">
        <v>95.307024207059527</v>
      </c>
      <c r="G181" s="24">
        <v>100.31939447053411</v>
      </c>
      <c r="H181" s="24">
        <v>105.70621996791415</v>
      </c>
      <c r="I181" s="24">
        <v>111.47020513357855</v>
      </c>
      <c r="J181" s="24">
        <v>117.66439732709263</v>
      </c>
      <c r="K181" s="24">
        <v>124.41529006071804</v>
      </c>
      <c r="L181" s="24">
        <v>131.64656369997164</v>
      </c>
      <c r="M181" s="24">
        <v>139.50103658289953</v>
      </c>
      <c r="N181" s="24">
        <v>147.93488977465304</v>
      </c>
      <c r="O181" s="24">
        <v>157.05925050357635</v>
      </c>
      <c r="P181" s="24">
        <v>167.0789845893573</v>
      </c>
      <c r="Q181" s="14"/>
      <c r="R181" s="14"/>
    </row>
    <row r="182" spans="1:18" x14ac:dyDescent="0.35">
      <c r="A182" s="39" t="s">
        <v>57</v>
      </c>
      <c r="B182" s="35" t="s">
        <v>24</v>
      </c>
      <c r="C182" s="36" t="s">
        <v>26</v>
      </c>
      <c r="D182" s="24">
        <v>737.54311890296356</v>
      </c>
      <c r="E182" s="24">
        <v>782.65577714785741</v>
      </c>
      <c r="F182" s="24">
        <v>830.7420566190417</v>
      </c>
      <c r="G182" s="24">
        <v>882.2663102825577</v>
      </c>
      <c r="H182" s="24">
        <v>937.7905220648023</v>
      </c>
      <c r="I182" s="24">
        <v>997.46872480728996</v>
      </c>
      <c r="J182" s="24">
        <v>1061.2209702021241</v>
      </c>
      <c r="K182" s="24">
        <v>1129.9990901921874</v>
      </c>
      <c r="L182" s="24">
        <v>1204.9915050771715</v>
      </c>
      <c r="M182" s="24">
        <v>1285.7366212286529</v>
      </c>
      <c r="N182" s="24">
        <v>1373.5982585430911</v>
      </c>
      <c r="O182" s="24">
        <v>1468.8792180039693</v>
      </c>
      <c r="P182" s="24">
        <v>1572.3287006612672</v>
      </c>
      <c r="Q182" s="21"/>
      <c r="R182" s="21"/>
    </row>
    <row r="183" spans="1:18" x14ac:dyDescent="0.35">
      <c r="A183" s="39" t="s">
        <v>57</v>
      </c>
      <c r="B183" s="35" t="s">
        <v>27</v>
      </c>
      <c r="C183" s="36" t="s">
        <v>28</v>
      </c>
      <c r="D183" s="24">
        <v>263.31747313760172</v>
      </c>
      <c r="E183" s="24">
        <v>277.99670894033818</v>
      </c>
      <c r="F183" s="24">
        <v>293.07043782009998</v>
      </c>
      <c r="G183" s="24">
        <v>309.04599998202639</v>
      </c>
      <c r="H183" s="24">
        <v>326.09273188522388</v>
      </c>
      <c r="I183" s="24">
        <v>344.09172239301529</v>
      </c>
      <c r="J183" s="24">
        <v>362.81015868354814</v>
      </c>
      <c r="K183" s="24">
        <v>382.46824057286517</v>
      </c>
      <c r="L183" s="24">
        <v>403.81890507520234</v>
      </c>
      <c r="M183" s="24">
        <v>426.31916048319738</v>
      </c>
      <c r="N183" s="24">
        <v>450.52743582545259</v>
      </c>
      <c r="O183" s="24">
        <v>476.36518501826845</v>
      </c>
      <c r="P183" s="24">
        <v>503.67496173018094</v>
      </c>
      <c r="Q183" s="21"/>
      <c r="R183" s="21"/>
    </row>
    <row r="184" spans="1:18" x14ac:dyDescent="0.35">
      <c r="A184" s="39" t="s">
        <v>57</v>
      </c>
      <c r="B184" s="35" t="s">
        <v>27</v>
      </c>
      <c r="C184" s="36" t="s">
        <v>29</v>
      </c>
      <c r="D184" s="24">
        <v>187.85324522220233</v>
      </c>
      <c r="E184" s="24">
        <v>200.68074505604307</v>
      </c>
      <c r="F184" s="24">
        <v>214.43910367888847</v>
      </c>
      <c r="G184" s="24">
        <v>229.26553472608489</v>
      </c>
      <c r="H184" s="24">
        <v>245.32608405189163</v>
      </c>
      <c r="I184" s="24">
        <v>262.68427464530066</v>
      </c>
      <c r="J184" s="24">
        <v>281.34341778944088</v>
      </c>
      <c r="K184" s="24">
        <v>301.5801466490131</v>
      </c>
      <c r="L184" s="24">
        <v>323.74133495695702</v>
      </c>
      <c r="M184" s="24">
        <v>347.7394459792813</v>
      </c>
      <c r="N184" s="24">
        <v>373.97784691667562</v>
      </c>
      <c r="O184" s="24">
        <v>402.58136084352486</v>
      </c>
      <c r="P184" s="24">
        <v>433.79995523560581</v>
      </c>
      <c r="Q184" s="21"/>
      <c r="R184" s="21"/>
    </row>
    <row r="185" spans="1:18" x14ac:dyDescent="0.35">
      <c r="A185" s="39" t="s">
        <v>57</v>
      </c>
      <c r="B185" s="35" t="s">
        <v>27</v>
      </c>
      <c r="C185" s="36" t="s">
        <v>30</v>
      </c>
      <c r="D185" s="24">
        <v>133.66901888451235</v>
      </c>
      <c r="E185" s="24">
        <v>142.7080390747939</v>
      </c>
      <c r="F185" s="24">
        <v>152.92966001765222</v>
      </c>
      <c r="G185" s="24">
        <v>163.99300403638151</v>
      </c>
      <c r="H185" s="24">
        <v>176.03790038091924</v>
      </c>
      <c r="I185" s="24">
        <v>189.11385776895193</v>
      </c>
      <c r="J185" s="24">
        <v>203.35772718114521</v>
      </c>
      <c r="K185" s="24">
        <v>219.04169293280094</v>
      </c>
      <c r="L185" s="24">
        <v>236.09911311581783</v>
      </c>
      <c r="M185" s="24">
        <v>254.84873681711929</v>
      </c>
      <c r="N185" s="24">
        <v>275.28968310528091</v>
      </c>
      <c r="O185" s="24">
        <v>297.70627228125852</v>
      </c>
      <c r="P185" s="24">
        <v>322.57866641219624</v>
      </c>
      <c r="Q185" s="21"/>
      <c r="R185" s="21"/>
    </row>
    <row r="186" spans="1:18" x14ac:dyDescent="0.35">
      <c r="A186" s="39" t="s">
        <v>57</v>
      </c>
      <c r="B186" s="35" t="s">
        <v>27</v>
      </c>
      <c r="C186" s="36" t="s">
        <v>31</v>
      </c>
      <c r="D186" s="24">
        <v>122.16904288751275</v>
      </c>
      <c r="E186" s="24">
        <v>129.29065470708073</v>
      </c>
      <c r="F186" s="24">
        <v>136.97475892644923</v>
      </c>
      <c r="G186" s="24">
        <v>145.20659248519618</v>
      </c>
      <c r="H186" s="24">
        <v>154.12446879823221</v>
      </c>
      <c r="I186" s="24">
        <v>163.80923792697897</v>
      </c>
      <c r="J186" s="24">
        <v>174.24804387450641</v>
      </c>
      <c r="K186" s="24">
        <v>185.72908550690099</v>
      </c>
      <c r="L186" s="24">
        <v>198.21749215776779</v>
      </c>
      <c r="M186" s="24">
        <v>211.72861698289728</v>
      </c>
      <c r="N186" s="24">
        <v>226.56351361439351</v>
      </c>
      <c r="O186" s="24">
        <v>242.65986308731999</v>
      </c>
      <c r="P186" s="24">
        <v>260.26549748764938</v>
      </c>
      <c r="Q186" s="21"/>
      <c r="R186" s="21"/>
    </row>
    <row r="187" spans="1:18" x14ac:dyDescent="0.35">
      <c r="A187" s="39" t="s">
        <v>57</v>
      </c>
      <c r="B187" s="35" t="s">
        <v>27</v>
      </c>
      <c r="C187" s="36" t="s">
        <v>32</v>
      </c>
      <c r="D187" s="24">
        <v>67.857127452038611</v>
      </c>
      <c r="E187" s="24">
        <v>70.822464570778465</v>
      </c>
      <c r="F187" s="24">
        <v>73.98620340306212</v>
      </c>
      <c r="G187" s="24">
        <v>77.338321605754089</v>
      </c>
      <c r="H187" s="24">
        <v>80.870997507535535</v>
      </c>
      <c r="I187" s="24">
        <v>84.621808971679982</v>
      </c>
      <c r="J187" s="24">
        <v>88.676389177335352</v>
      </c>
      <c r="K187" s="24">
        <v>93.009572680153951</v>
      </c>
      <c r="L187" s="24">
        <v>97.676617596850051</v>
      </c>
      <c r="M187" s="24">
        <v>102.67743761688851</v>
      </c>
      <c r="N187" s="24">
        <v>108.0058383249178</v>
      </c>
      <c r="O187" s="24">
        <v>113.76584917608324</v>
      </c>
      <c r="P187" s="24">
        <v>120.00304433829983</v>
      </c>
      <c r="Q187" s="21"/>
      <c r="R187" s="21"/>
    </row>
    <row r="188" spans="1:18" x14ac:dyDescent="0.35">
      <c r="A188" s="39" t="s">
        <v>57</v>
      </c>
      <c r="B188" s="35" t="s">
        <v>27</v>
      </c>
      <c r="C188" s="36" t="s">
        <v>33</v>
      </c>
      <c r="D188" s="24">
        <v>49.144658949941437</v>
      </c>
      <c r="E188" s="24">
        <v>51.763941435650779</v>
      </c>
      <c r="F188" s="24">
        <v>54.648916979949291</v>
      </c>
      <c r="G188" s="24">
        <v>57.736251917648651</v>
      </c>
      <c r="H188" s="24">
        <v>61.044559408913912</v>
      </c>
      <c r="I188" s="24">
        <v>64.618028234941704</v>
      </c>
      <c r="J188" s="24">
        <v>68.449630823240881</v>
      </c>
      <c r="K188" s="24">
        <v>72.585641911171294</v>
      </c>
      <c r="L188" s="24">
        <v>77.08460587454816</v>
      </c>
      <c r="M188" s="24">
        <v>81.924259932168766</v>
      </c>
      <c r="N188" s="24">
        <v>87.168830531023744</v>
      </c>
      <c r="O188" s="24">
        <v>92.859938101090677</v>
      </c>
      <c r="P188" s="24">
        <v>99.085560046692592</v>
      </c>
      <c r="Q188" s="21"/>
      <c r="R188" s="21"/>
    </row>
    <row r="189" spans="1:18" x14ac:dyDescent="0.35">
      <c r="A189" s="39" t="s">
        <v>57</v>
      </c>
      <c r="B189" s="35" t="s">
        <v>34</v>
      </c>
      <c r="C189" s="36" t="s">
        <v>35</v>
      </c>
      <c r="D189" s="24">
        <v>286.67242704714329</v>
      </c>
      <c r="E189" s="24">
        <v>302.11458174665722</v>
      </c>
      <c r="F189" s="24">
        <v>318.06941824211037</v>
      </c>
      <c r="G189" s="24">
        <v>335.07191753260167</v>
      </c>
      <c r="H189" s="24">
        <v>353.32799685227781</v>
      </c>
      <c r="I189" s="24">
        <v>372.71045026837896</v>
      </c>
      <c r="J189" s="24">
        <v>392.88413707520965</v>
      </c>
      <c r="K189" s="24">
        <v>414.12125630997286</v>
      </c>
      <c r="L189" s="24">
        <v>437.23362093072592</v>
      </c>
      <c r="M189" s="24">
        <v>461.77504340328323</v>
      </c>
      <c r="N189" s="24">
        <v>488.02555300951485</v>
      </c>
      <c r="O189" s="24">
        <v>515.85602984290585</v>
      </c>
      <c r="P189" s="24">
        <v>545.36425513024551</v>
      </c>
      <c r="Q189" s="21"/>
      <c r="R189" s="21"/>
    </row>
    <row r="190" spans="1:18" x14ac:dyDescent="0.35">
      <c r="A190" s="39" t="s">
        <v>57</v>
      </c>
      <c r="B190" s="35" t="s">
        <v>34</v>
      </c>
      <c r="C190" s="36" t="s">
        <v>36</v>
      </c>
      <c r="D190" s="24">
        <v>288.50604563319467</v>
      </c>
      <c r="E190" s="24">
        <v>308.44806584620864</v>
      </c>
      <c r="F190" s="24">
        <v>329.85295047626715</v>
      </c>
      <c r="G190" s="24">
        <v>352.93523716330935</v>
      </c>
      <c r="H190" s="24">
        <v>377.95451996424981</v>
      </c>
      <c r="I190" s="24">
        <v>405.01325577458658</v>
      </c>
      <c r="J190" s="24">
        <v>434.12138483996495</v>
      </c>
      <c r="K190" s="24">
        <v>465.71062175868889</v>
      </c>
      <c r="L190" s="24">
        <v>500.32249795480067</v>
      </c>
      <c r="M190" s="24">
        <v>537.82887855049296</v>
      </c>
      <c r="N190" s="24">
        <v>578.86048037916885</v>
      </c>
      <c r="O190" s="24">
        <v>623.61884110998415</v>
      </c>
      <c r="P190" s="24">
        <v>672.49997927512004</v>
      </c>
      <c r="Q190" s="21"/>
      <c r="R190" s="21"/>
    </row>
    <row r="191" spans="1:18" x14ac:dyDescent="0.35">
      <c r="A191" s="39" t="s">
        <v>57</v>
      </c>
      <c r="B191" s="35" t="s">
        <v>34</v>
      </c>
      <c r="C191" s="36" t="s">
        <v>37</v>
      </c>
      <c r="D191" s="24">
        <v>175.30530031437138</v>
      </c>
      <c r="E191" s="24">
        <v>185.46091201928948</v>
      </c>
      <c r="F191" s="24">
        <v>196.6788548002271</v>
      </c>
      <c r="G191" s="24">
        <v>208.63411775963323</v>
      </c>
      <c r="H191" s="24">
        <v>221.43000865934241</v>
      </c>
      <c r="I191" s="24">
        <v>235.24318497032601</v>
      </c>
      <c r="J191" s="24">
        <v>250.32373708580045</v>
      </c>
      <c r="K191" s="24">
        <v>266.93400928819352</v>
      </c>
      <c r="L191" s="24">
        <v>284.895074633523</v>
      </c>
      <c r="M191" s="24">
        <v>304.33535563877672</v>
      </c>
      <c r="N191" s="24">
        <v>325.69802421312653</v>
      </c>
      <c r="O191" s="24">
        <v>349.22380025308297</v>
      </c>
      <c r="P191" s="24">
        <v>375.1892727689044</v>
      </c>
      <c r="Q191" s="21"/>
      <c r="R191" s="21"/>
    </row>
    <row r="192" spans="1:18" x14ac:dyDescent="0.35">
      <c r="A192" s="39" t="s">
        <v>57</v>
      </c>
      <c r="B192" s="35" t="s">
        <v>34</v>
      </c>
      <c r="C192" s="36" t="s">
        <v>38</v>
      </c>
      <c r="D192" s="24">
        <v>73.526793539099998</v>
      </c>
      <c r="E192" s="24">
        <v>77.238994172529743</v>
      </c>
      <c r="F192" s="24">
        <v>81.447857307496577</v>
      </c>
      <c r="G192" s="24">
        <v>85.944432297547536</v>
      </c>
      <c r="H192" s="24">
        <v>90.784216556846332</v>
      </c>
      <c r="I192" s="24">
        <v>95.972038927576918</v>
      </c>
      <c r="J192" s="24">
        <v>101.55610852824179</v>
      </c>
      <c r="K192" s="24">
        <v>107.64849289605016</v>
      </c>
      <c r="L192" s="24">
        <v>114.18687525809359</v>
      </c>
      <c r="M192" s="24">
        <v>121.29838021899951</v>
      </c>
      <c r="N192" s="24">
        <v>128.94909071593415</v>
      </c>
      <c r="O192" s="24">
        <v>137.23979730157279</v>
      </c>
      <c r="P192" s="24">
        <v>146.35417807635469</v>
      </c>
      <c r="Q192" s="21"/>
      <c r="R192" s="21"/>
    </row>
    <row r="193" spans="1:18" x14ac:dyDescent="0.35">
      <c r="A193" s="39" t="s">
        <v>57</v>
      </c>
      <c r="B193" s="35" t="s">
        <v>22</v>
      </c>
      <c r="C193" s="36" t="s">
        <v>39</v>
      </c>
      <c r="D193" s="24">
        <v>220.78727888725859</v>
      </c>
      <c r="E193" s="24">
        <v>235.83438285759757</v>
      </c>
      <c r="F193" s="24">
        <v>251.57919417440735</v>
      </c>
      <c r="G193" s="24">
        <v>268.41840550850054</v>
      </c>
      <c r="H193" s="24">
        <v>286.5442053621839</v>
      </c>
      <c r="I193" s="24">
        <v>305.74806632269508</v>
      </c>
      <c r="J193" s="24">
        <v>326.07068686045648</v>
      </c>
      <c r="K193" s="24">
        <v>347.72609683422002</v>
      </c>
      <c r="L193" s="24">
        <v>371.25213884731329</v>
      </c>
      <c r="M193" s="24">
        <v>396.53852794132854</v>
      </c>
      <c r="N193" s="24">
        <v>423.82760627384027</v>
      </c>
      <c r="O193" s="24">
        <v>453.30313911166013</v>
      </c>
      <c r="P193" s="24">
        <v>484.93758862665663</v>
      </c>
      <c r="Q193" s="21"/>
      <c r="R193" s="21"/>
    </row>
    <row r="194" spans="1:18" x14ac:dyDescent="0.35">
      <c r="A194" s="39" t="s">
        <v>57</v>
      </c>
      <c r="B194" s="35" t="s">
        <v>22</v>
      </c>
      <c r="C194" s="36" t="s">
        <v>40</v>
      </c>
      <c r="D194" s="24">
        <v>205.17363303716797</v>
      </c>
      <c r="E194" s="24">
        <v>216.71300251219162</v>
      </c>
      <c r="F194" s="24">
        <v>228.96069474236279</v>
      </c>
      <c r="G194" s="24">
        <v>242.0338477353819</v>
      </c>
      <c r="H194" s="24">
        <v>256.0741004948286</v>
      </c>
      <c r="I194" s="24">
        <v>271.10894585416378</v>
      </c>
      <c r="J194" s="24">
        <v>287.10162739086206</v>
      </c>
      <c r="K194" s="24">
        <v>304.29505497152371</v>
      </c>
      <c r="L194" s="24">
        <v>322.99120581812463</v>
      </c>
      <c r="M194" s="24">
        <v>343.04402064334641</v>
      </c>
      <c r="N194" s="24">
        <v>364.79695063694714</v>
      </c>
      <c r="O194" s="24">
        <v>388.3051224430294</v>
      </c>
      <c r="P194" s="24">
        <v>413.74040299254051</v>
      </c>
      <c r="Q194" s="21"/>
      <c r="R194" s="21"/>
    </row>
    <row r="195" spans="1:18" x14ac:dyDescent="0.35">
      <c r="A195" s="39" t="s">
        <v>57</v>
      </c>
      <c r="B195" s="35" t="s">
        <v>22</v>
      </c>
      <c r="C195" s="36" t="s">
        <v>41</v>
      </c>
      <c r="D195" s="24">
        <v>167.53213634018746</v>
      </c>
      <c r="E195" s="24">
        <v>175.10049048787138</v>
      </c>
      <c r="F195" s="24">
        <v>183.21030981679797</v>
      </c>
      <c r="G195" s="24">
        <v>191.81750978376962</v>
      </c>
      <c r="H195" s="24">
        <v>201.08182218970444</v>
      </c>
      <c r="I195" s="24">
        <v>211.0795628512075</v>
      </c>
      <c r="J195" s="24">
        <v>221.76183937721731</v>
      </c>
      <c r="K195" s="24">
        <v>233.46454657937304</v>
      </c>
      <c r="L195" s="24">
        <v>246.10019603601219</v>
      </c>
      <c r="M195" s="24">
        <v>259.64692176082269</v>
      </c>
      <c r="N195" s="24">
        <v>274.43330999169063</v>
      </c>
      <c r="O195" s="24">
        <v>290.33070428327204</v>
      </c>
      <c r="P195" s="24">
        <v>307.58655768051176</v>
      </c>
      <c r="Q195" s="21"/>
      <c r="R195" s="21"/>
    </row>
    <row r="196" spans="1:18" x14ac:dyDescent="0.35">
      <c r="A196" s="39" t="s">
        <v>57</v>
      </c>
      <c r="B196" s="35" t="s">
        <v>22</v>
      </c>
      <c r="C196" s="36" t="s">
        <v>42</v>
      </c>
      <c r="D196" s="24">
        <v>230.51751826919534</v>
      </c>
      <c r="E196" s="24">
        <v>245.61467792702459</v>
      </c>
      <c r="F196" s="24">
        <v>262.29888209253306</v>
      </c>
      <c r="G196" s="24">
        <v>280.3159417254397</v>
      </c>
      <c r="H196" s="24">
        <v>299.79661398599944</v>
      </c>
      <c r="I196" s="24">
        <v>321.00235491280216</v>
      </c>
      <c r="J196" s="24">
        <v>343.95121390068101</v>
      </c>
      <c r="K196" s="24">
        <v>368.92868186778873</v>
      </c>
      <c r="L196" s="24">
        <v>396.29452807569299</v>
      </c>
      <c r="M196" s="24">
        <v>426.00818746605484</v>
      </c>
      <c r="N196" s="24">
        <v>458.47528141526612</v>
      </c>
      <c r="O196" s="24">
        <v>493.99950266958388</v>
      </c>
      <c r="P196" s="24">
        <v>533.14313595091562</v>
      </c>
      <c r="Q196" s="21"/>
      <c r="R196" s="21"/>
    </row>
    <row r="197" spans="1:18" x14ac:dyDescent="0.35">
      <c r="A197" s="37" t="s">
        <v>44</v>
      </c>
      <c r="B197" s="35" t="s">
        <v>24</v>
      </c>
      <c r="C197" s="36" t="s">
        <v>25</v>
      </c>
      <c r="D197" s="24">
        <v>404.79861143295665</v>
      </c>
      <c r="E197" s="24">
        <v>421.24051874719669</v>
      </c>
      <c r="F197" s="24">
        <v>439.24658148832913</v>
      </c>
      <c r="G197" s="24">
        <v>458.45896145646958</v>
      </c>
      <c r="H197" s="24">
        <v>478.94067431113251</v>
      </c>
      <c r="I197" s="24">
        <v>500.97671056349225</v>
      </c>
      <c r="J197" s="24">
        <v>524.49194909968651</v>
      </c>
      <c r="K197" s="24">
        <v>549.89148162944957</v>
      </c>
      <c r="L197" s="24">
        <v>577.31004424777132</v>
      </c>
      <c r="M197" s="24">
        <v>606.98616259159496</v>
      </c>
      <c r="N197" s="24">
        <v>639.07648994435408</v>
      </c>
      <c r="O197" s="24">
        <v>673.7396428949404</v>
      </c>
      <c r="P197" s="24">
        <v>711.54242819033936</v>
      </c>
      <c r="Q197" s="21"/>
      <c r="R197" s="21"/>
    </row>
    <row r="198" spans="1:18" x14ac:dyDescent="0.35">
      <c r="A198" s="37" t="s">
        <v>44</v>
      </c>
      <c r="B198" s="35" t="s">
        <v>24</v>
      </c>
      <c r="C198" s="36" t="s">
        <v>26</v>
      </c>
      <c r="D198" s="24">
        <v>3978.993402648056</v>
      </c>
      <c r="E198" s="24">
        <v>4179.6688317241014</v>
      </c>
      <c r="F198" s="24">
        <v>4395.7937986581055</v>
      </c>
      <c r="G198" s="24">
        <v>4626.3374958001259</v>
      </c>
      <c r="H198" s="24">
        <v>4873.0831028353532</v>
      </c>
      <c r="I198" s="24">
        <v>5137.9440558356418</v>
      </c>
      <c r="J198" s="24">
        <v>5421.7252352970763</v>
      </c>
      <c r="K198" s="24">
        <v>5728.3786172794125</v>
      </c>
      <c r="L198" s="24">
        <v>6060.9728677600224</v>
      </c>
      <c r="M198" s="24">
        <v>6419.6470236475225</v>
      </c>
      <c r="N198" s="24">
        <v>6808.5177139429998</v>
      </c>
      <c r="O198" s="24">
        <v>7229.5983598172388</v>
      </c>
      <c r="P198" s="24">
        <v>7687.5040027283121</v>
      </c>
      <c r="Q198" s="14"/>
      <c r="R198" s="14"/>
    </row>
    <row r="199" spans="1:18" x14ac:dyDescent="0.35">
      <c r="A199" s="37" t="s">
        <v>44</v>
      </c>
      <c r="B199" s="35" t="s">
        <v>27</v>
      </c>
      <c r="C199" s="36" t="s">
        <v>28</v>
      </c>
      <c r="D199" s="24">
        <v>1444.5185715802886</v>
      </c>
      <c r="E199" s="24">
        <v>1508.873388860231</v>
      </c>
      <c r="F199" s="24">
        <v>1576.1243837216171</v>
      </c>
      <c r="G199" s="24">
        <v>1646.5431470326353</v>
      </c>
      <c r="H199" s="24">
        <v>1721.1031241115361</v>
      </c>
      <c r="I199" s="24">
        <v>1799.2225332330786</v>
      </c>
      <c r="J199" s="24">
        <v>1881.8085083957553</v>
      </c>
      <c r="K199" s="24">
        <v>1969.0445225374931</v>
      </c>
      <c r="L199" s="24">
        <v>2063.0726349275683</v>
      </c>
      <c r="M199" s="24">
        <v>2161.7400682341031</v>
      </c>
      <c r="N199" s="24">
        <v>2266.6249675908684</v>
      </c>
      <c r="O199" s="24">
        <v>2377.8039494434006</v>
      </c>
      <c r="P199" s="24">
        <v>2495.6144928560689</v>
      </c>
      <c r="Q199" s="14"/>
      <c r="R199" s="14"/>
    </row>
    <row r="200" spans="1:18" x14ac:dyDescent="0.35">
      <c r="A200" s="37" t="s">
        <v>44</v>
      </c>
      <c r="B200" s="35" t="s">
        <v>27</v>
      </c>
      <c r="C200" s="36" t="s">
        <v>29</v>
      </c>
      <c r="D200" s="24">
        <v>969.93855735907289</v>
      </c>
      <c r="E200" s="24">
        <v>1023.5174854754464</v>
      </c>
      <c r="F200" s="24">
        <v>1082.1715583082653</v>
      </c>
      <c r="G200" s="24">
        <v>1145.4036676702046</v>
      </c>
      <c r="H200" s="24">
        <v>1213.4355179382778</v>
      </c>
      <c r="I200" s="24">
        <v>1287.3439298555929</v>
      </c>
      <c r="J200" s="24">
        <v>1366.9035934738642</v>
      </c>
      <c r="K200" s="24">
        <v>1453.7363722003574</v>
      </c>
      <c r="L200" s="24">
        <v>1548.1235506884061</v>
      </c>
      <c r="M200" s="24">
        <v>1651.2168269497197</v>
      </c>
      <c r="N200" s="24">
        <v>1763.7958476878628</v>
      </c>
      <c r="O200" s="24">
        <v>1886.8470995854195</v>
      </c>
      <c r="P200" s="24">
        <v>2022.0628634889081</v>
      </c>
      <c r="Q200" s="14"/>
      <c r="R200" s="14"/>
    </row>
    <row r="201" spans="1:18" x14ac:dyDescent="0.35">
      <c r="A201" s="37" t="s">
        <v>44</v>
      </c>
      <c r="B201" s="35" t="s">
        <v>27</v>
      </c>
      <c r="C201" s="36" t="s">
        <v>30</v>
      </c>
      <c r="D201" s="24">
        <v>772.96934465287495</v>
      </c>
      <c r="E201" s="24">
        <v>820.44660134195055</v>
      </c>
      <c r="F201" s="24">
        <v>872.52287456027511</v>
      </c>
      <c r="G201" s="24">
        <v>928.62335670332072</v>
      </c>
      <c r="H201" s="24">
        <v>989.10348440828579</v>
      </c>
      <c r="I201" s="24">
        <v>1054.6560466256424</v>
      </c>
      <c r="J201" s="24">
        <v>1125.6101530537571</v>
      </c>
      <c r="K201" s="24">
        <v>1202.8319480809366</v>
      </c>
      <c r="L201" s="24">
        <v>1287.0231396253598</v>
      </c>
      <c r="M201" s="24">
        <v>1379.0597869771996</v>
      </c>
      <c r="N201" s="24">
        <v>1479.6727889555243</v>
      </c>
      <c r="O201" s="24">
        <v>1589.4898120477194</v>
      </c>
      <c r="P201" s="24">
        <v>1710.2618215099465</v>
      </c>
      <c r="Q201" s="14"/>
      <c r="R201" s="14"/>
    </row>
    <row r="202" spans="1:18" x14ac:dyDescent="0.35">
      <c r="A202" s="37" t="s">
        <v>44</v>
      </c>
      <c r="B202" s="35" t="s">
        <v>27</v>
      </c>
      <c r="C202" s="36" t="s">
        <v>31</v>
      </c>
      <c r="D202" s="24">
        <v>584.37626019385152</v>
      </c>
      <c r="E202" s="24">
        <v>613.32240120114875</v>
      </c>
      <c r="F202" s="24">
        <v>644.77366330933035</v>
      </c>
      <c r="G202" s="24">
        <v>678.48524828267239</v>
      </c>
      <c r="H202" s="24">
        <v>714.61304899949732</v>
      </c>
      <c r="I202" s="24">
        <v>753.7267923003252</v>
      </c>
      <c r="J202" s="24">
        <v>795.8027525050245</v>
      </c>
      <c r="K202" s="24">
        <v>841.65667636338173</v>
      </c>
      <c r="L202" s="24">
        <v>891.38332135103292</v>
      </c>
      <c r="M202" s="24">
        <v>945.31688606022101</v>
      </c>
      <c r="N202" s="24">
        <v>1004.1109722538118</v>
      </c>
      <c r="O202" s="24">
        <v>1068.1134573475024</v>
      </c>
      <c r="P202" s="24">
        <v>1138.1678995164993</v>
      </c>
      <c r="Q202" s="14"/>
      <c r="R202" s="14"/>
    </row>
    <row r="203" spans="1:18" x14ac:dyDescent="0.35">
      <c r="A203" s="37" t="s">
        <v>44</v>
      </c>
      <c r="B203" s="35" t="s">
        <v>27</v>
      </c>
      <c r="C203" s="36" t="s">
        <v>32</v>
      </c>
      <c r="D203" s="24">
        <v>389.90497592219106</v>
      </c>
      <c r="E203" s="24">
        <v>403.14475598831586</v>
      </c>
      <c r="F203" s="24">
        <v>417.45854754132091</v>
      </c>
      <c r="G203" s="24">
        <v>432.58228533104403</v>
      </c>
      <c r="H203" s="24">
        <v>448.65243461749287</v>
      </c>
      <c r="I203" s="24">
        <v>465.84419486494147</v>
      </c>
      <c r="J203" s="24">
        <v>484.08342188852589</v>
      </c>
      <c r="K203" s="24">
        <v>503.84607809452018</v>
      </c>
      <c r="L203" s="24">
        <v>525.10986369449188</v>
      </c>
      <c r="M203" s="24">
        <v>547.98485627672585</v>
      </c>
      <c r="N203" s="24">
        <v>572.7540735500188</v>
      </c>
      <c r="O203" s="24">
        <v>599.3545510052918</v>
      </c>
      <c r="P203" s="24">
        <v>628.16199068748961</v>
      </c>
      <c r="Q203" s="14"/>
      <c r="R203" s="14"/>
    </row>
    <row r="204" spans="1:18" x14ac:dyDescent="0.35">
      <c r="A204" s="37" t="s">
        <v>44</v>
      </c>
      <c r="B204" s="35" t="s">
        <v>27</v>
      </c>
      <c r="C204" s="36" t="s">
        <v>33</v>
      </c>
      <c r="D204" s="24">
        <v>222.08430437273373</v>
      </c>
      <c r="E204" s="24">
        <v>231.6047176042058</v>
      </c>
      <c r="F204" s="24">
        <v>241.98935270562623</v>
      </c>
      <c r="G204" s="24">
        <v>253.15875223671833</v>
      </c>
      <c r="H204" s="24">
        <v>265.1161670713966</v>
      </c>
      <c r="I204" s="24">
        <v>278.12726951955295</v>
      </c>
      <c r="J204" s="24">
        <v>292.00875507983557</v>
      </c>
      <c r="K204" s="24">
        <v>307.15450163217105</v>
      </c>
      <c r="L204" s="24">
        <v>323.57040172093525</v>
      </c>
      <c r="M204" s="24">
        <v>341.31476174114846</v>
      </c>
      <c r="N204" s="24">
        <v>360.6355538492661</v>
      </c>
      <c r="O204" s="24">
        <v>381.72913328284528</v>
      </c>
      <c r="P204" s="24">
        <v>404.77736285974049</v>
      </c>
      <c r="Q204" s="14"/>
      <c r="R204" s="14"/>
    </row>
    <row r="205" spans="1:18" x14ac:dyDescent="0.35">
      <c r="A205" s="37" t="s">
        <v>44</v>
      </c>
      <c r="B205" s="35" t="s">
        <v>34</v>
      </c>
      <c r="C205" s="36" t="s">
        <v>35</v>
      </c>
      <c r="D205" s="24">
        <v>1495.3154195322336</v>
      </c>
      <c r="E205" s="24">
        <v>1560.6753904692041</v>
      </c>
      <c r="F205" s="24">
        <v>1628.5779234119045</v>
      </c>
      <c r="G205" s="24">
        <v>1700.137948635386</v>
      </c>
      <c r="H205" s="24">
        <v>1776.2074645007906</v>
      </c>
      <c r="I205" s="24">
        <v>1856.3935940916297</v>
      </c>
      <c r="J205" s="24">
        <v>1941.1380725141162</v>
      </c>
      <c r="K205" s="24">
        <v>2030.307833040795</v>
      </c>
      <c r="L205" s="24">
        <v>2126.9370126828221</v>
      </c>
      <c r="M205" s="24">
        <v>2229.3521859409529</v>
      </c>
      <c r="N205" s="24">
        <v>2338.570335550703</v>
      </c>
      <c r="O205" s="24">
        <v>2454.0138055831412</v>
      </c>
      <c r="P205" s="24">
        <v>2576.9599375102698</v>
      </c>
      <c r="Q205" s="21"/>
      <c r="R205" s="21"/>
    </row>
    <row r="206" spans="1:18" x14ac:dyDescent="0.35">
      <c r="A206" s="37" t="s">
        <v>44</v>
      </c>
      <c r="B206" s="35" t="s">
        <v>34</v>
      </c>
      <c r="C206" s="36" t="s">
        <v>36</v>
      </c>
      <c r="D206" s="24">
        <v>1543.6160383280571</v>
      </c>
      <c r="E206" s="24">
        <v>1630.0143886147853</v>
      </c>
      <c r="F206" s="24">
        <v>1724.6143761883184</v>
      </c>
      <c r="G206" s="24">
        <v>1826.1513372355394</v>
      </c>
      <c r="H206" s="24">
        <v>1935.0933661510014</v>
      </c>
      <c r="I206" s="24">
        <v>2053.1152484686477</v>
      </c>
      <c r="J206" s="24">
        <v>2180.7881528283469</v>
      </c>
      <c r="K206" s="24">
        <v>2320.7117508500796</v>
      </c>
      <c r="L206" s="24">
        <v>2472.5717077040645</v>
      </c>
      <c r="M206" s="24">
        <v>2637.9347579836954</v>
      </c>
      <c r="N206" s="24">
        <v>2818.7544807698096</v>
      </c>
      <c r="O206" s="24">
        <v>3017.0160444988869</v>
      </c>
      <c r="P206" s="24">
        <v>3234.955969124283</v>
      </c>
      <c r="Q206" s="21"/>
      <c r="R206" s="21"/>
    </row>
    <row r="207" spans="1:18" x14ac:dyDescent="0.35">
      <c r="A207" s="37" t="s">
        <v>44</v>
      </c>
      <c r="B207" s="35" t="s">
        <v>34</v>
      </c>
      <c r="C207" s="36" t="s">
        <v>37</v>
      </c>
      <c r="D207" s="24">
        <v>956.31479269310034</v>
      </c>
      <c r="E207" s="24">
        <v>1005.0982620387217</v>
      </c>
      <c r="F207" s="24">
        <v>1058.5066739075414</v>
      </c>
      <c r="G207" s="24">
        <v>1115.7219822850343</v>
      </c>
      <c r="H207" s="24">
        <v>1177.103149144493</v>
      </c>
      <c r="I207" s="24">
        <v>1243.3522533809387</v>
      </c>
      <c r="J207" s="24">
        <v>1314.3041573348344</v>
      </c>
      <c r="K207" s="24">
        <v>1391.2378755333689</v>
      </c>
      <c r="L207" s="24">
        <v>1474.7224326069313</v>
      </c>
      <c r="M207" s="24">
        <v>1564.9715776610135</v>
      </c>
      <c r="N207" s="24">
        <v>1663.0197185862962</v>
      </c>
      <c r="O207" s="24">
        <v>1769.5615187012165</v>
      </c>
      <c r="P207" s="24">
        <v>1885.8274622202173</v>
      </c>
      <c r="Q207" s="21"/>
      <c r="R207" s="21"/>
    </row>
    <row r="208" spans="1:18" x14ac:dyDescent="0.35">
      <c r="A208" s="37" t="s">
        <v>44</v>
      </c>
      <c r="B208" s="35" t="s">
        <v>34</v>
      </c>
      <c r="C208" s="36" t="s">
        <v>38</v>
      </c>
      <c r="D208" s="24">
        <v>388.5457635276216</v>
      </c>
      <c r="E208" s="24">
        <v>405.12130934858732</v>
      </c>
      <c r="F208" s="24">
        <v>423.34140663867038</v>
      </c>
      <c r="G208" s="24">
        <v>442.78518910063542</v>
      </c>
      <c r="H208" s="24">
        <v>463.61979735020157</v>
      </c>
      <c r="I208" s="24">
        <v>486.05967045791834</v>
      </c>
      <c r="J208" s="24">
        <v>509.98680171946523</v>
      </c>
      <c r="K208" s="24">
        <v>536.01263948461769</v>
      </c>
      <c r="L208" s="24">
        <v>564.0517590139757</v>
      </c>
      <c r="M208" s="24">
        <v>594.37466465345551</v>
      </c>
      <c r="N208" s="24">
        <v>627.24966898054322</v>
      </c>
      <c r="O208" s="24">
        <v>662.74663392893513</v>
      </c>
      <c r="P208" s="24">
        <v>701.30306206388263</v>
      </c>
      <c r="Q208" s="21"/>
      <c r="R208" s="21"/>
    </row>
    <row r="209" spans="1:18" x14ac:dyDescent="0.35">
      <c r="A209" s="37" t="s">
        <v>44</v>
      </c>
      <c r="B209" s="35" t="s">
        <v>22</v>
      </c>
      <c r="C209" s="36" t="s">
        <v>39</v>
      </c>
      <c r="D209" s="24">
        <v>1109.4446505240971</v>
      </c>
      <c r="E209" s="24">
        <v>1168.1549508712665</v>
      </c>
      <c r="F209" s="24">
        <v>1229.7181777373387</v>
      </c>
      <c r="G209" s="24">
        <v>1295.6262126853228</v>
      </c>
      <c r="H209" s="24">
        <v>1366.2660281235585</v>
      </c>
      <c r="I209" s="24">
        <v>1442.2807995727594</v>
      </c>
      <c r="J209" s="24">
        <v>1523.2641531367176</v>
      </c>
      <c r="K209" s="24">
        <v>1610.6028656358824</v>
      </c>
      <c r="L209" s="24">
        <v>1705.6610526817926</v>
      </c>
      <c r="M209" s="24">
        <v>1807.50003149749</v>
      </c>
      <c r="N209" s="24">
        <v>1917.4115010149255</v>
      </c>
      <c r="O209" s="24">
        <v>2036.1812831210359</v>
      </c>
      <c r="P209" s="24">
        <v>2164.3366806198032</v>
      </c>
      <c r="Q209" s="21"/>
      <c r="R209" s="21"/>
    </row>
    <row r="210" spans="1:18" x14ac:dyDescent="0.35">
      <c r="A210" s="37" t="s">
        <v>44</v>
      </c>
      <c r="B210" s="35" t="s">
        <v>22</v>
      </c>
      <c r="C210" s="36" t="s">
        <v>40</v>
      </c>
      <c r="D210" s="24">
        <v>1141.0171066376554</v>
      </c>
      <c r="E210" s="24">
        <v>1191.8598384848319</v>
      </c>
      <c r="F210" s="24">
        <v>1247.3289005876491</v>
      </c>
      <c r="G210" s="24">
        <v>1306.2672303014194</v>
      </c>
      <c r="H210" s="24">
        <v>1369.0682865204105</v>
      </c>
      <c r="I210" s="24">
        <v>1436.4009859148791</v>
      </c>
      <c r="J210" s="24">
        <v>1508.4080924029986</v>
      </c>
      <c r="K210" s="24">
        <v>1586.3085853687758</v>
      </c>
      <c r="L210" s="24">
        <v>1670.4109449745388</v>
      </c>
      <c r="M210" s="24">
        <v>1760.9816732205984</v>
      </c>
      <c r="N210" s="24">
        <v>1859.2132096642845</v>
      </c>
      <c r="O210" s="24">
        <v>1965.5986256539775</v>
      </c>
      <c r="P210" s="24">
        <v>2081.3938653432124</v>
      </c>
      <c r="Q210" s="21"/>
      <c r="R210" s="21"/>
    </row>
    <row r="211" spans="1:18" x14ac:dyDescent="0.35">
      <c r="A211" s="37" t="s">
        <v>44</v>
      </c>
      <c r="B211" s="35" t="s">
        <v>22</v>
      </c>
      <c r="C211" s="36" t="s">
        <v>41</v>
      </c>
      <c r="D211" s="24">
        <v>846.54503221119262</v>
      </c>
      <c r="E211" s="24">
        <v>878.99558435842698</v>
      </c>
      <c r="F211" s="24">
        <v>914.27532028074052</v>
      </c>
      <c r="G211" s="24">
        <v>951.47053725116996</v>
      </c>
      <c r="H211" s="24">
        <v>990.86589446571224</v>
      </c>
      <c r="I211" s="24">
        <v>1032.7419594634559</v>
      </c>
      <c r="J211" s="24">
        <v>1077.4053178087674</v>
      </c>
      <c r="K211" s="24">
        <v>1125.3675037583605</v>
      </c>
      <c r="L211" s="24">
        <v>1176.911977575076</v>
      </c>
      <c r="M211" s="24">
        <v>1232.4637095182181</v>
      </c>
      <c r="N211" s="24">
        <v>1292.4305257944584</v>
      </c>
      <c r="O211" s="24">
        <v>1356.8114406250763</v>
      </c>
      <c r="P211" s="24">
        <v>1426.5809409364865</v>
      </c>
      <c r="Q211" s="21"/>
      <c r="R211" s="21"/>
    </row>
    <row r="212" spans="1:18" x14ac:dyDescent="0.35">
      <c r="A212" s="37" t="s">
        <v>44</v>
      </c>
      <c r="B212" s="35" t="s">
        <v>22</v>
      </c>
      <c r="C212" s="36" t="s">
        <v>42</v>
      </c>
      <c r="D212" s="24">
        <v>1286.7852247080673</v>
      </c>
      <c r="E212" s="24">
        <v>1361.898976756773</v>
      </c>
      <c r="F212" s="24">
        <v>1443.717981540706</v>
      </c>
      <c r="G212" s="24">
        <v>1531.4324770186831</v>
      </c>
      <c r="H212" s="24">
        <v>1625.8235680368059</v>
      </c>
      <c r="I212" s="24">
        <v>1727.4970214480395</v>
      </c>
      <c r="J212" s="24">
        <v>1837.1396210482792</v>
      </c>
      <c r="K212" s="24">
        <v>1955.9911441458423</v>
      </c>
      <c r="L212" s="24">
        <v>2085.2989367763867</v>
      </c>
      <c r="M212" s="24">
        <v>2225.687772002811</v>
      </c>
      <c r="N212" s="24">
        <v>2378.5389674136841</v>
      </c>
      <c r="O212" s="24">
        <v>2544.7466533120901</v>
      </c>
      <c r="P212" s="24">
        <v>2726.7349440191497</v>
      </c>
      <c r="Q212" s="21"/>
      <c r="R212" s="21"/>
    </row>
    <row r="213" spans="1:18" x14ac:dyDescent="0.35">
      <c r="A213" s="37" t="s">
        <v>44</v>
      </c>
      <c r="B213" s="37" t="s">
        <v>48</v>
      </c>
      <c r="C213" s="39" t="s">
        <v>58</v>
      </c>
      <c r="D213" s="24">
        <v>758.29422782025836</v>
      </c>
      <c r="E213" s="24">
        <v>808.04956551805765</v>
      </c>
      <c r="F213" s="24">
        <v>861.30279030873635</v>
      </c>
      <c r="G213" s="24">
        <v>918.55244971200466</v>
      </c>
      <c r="H213" s="24">
        <v>980.40585814703809</v>
      </c>
      <c r="I213" s="24">
        <v>1047.1147331321476</v>
      </c>
      <c r="J213" s="24">
        <v>1118.7297783885824</v>
      </c>
      <c r="K213" s="24">
        <v>1196.2214072203387</v>
      </c>
      <c r="L213" s="24">
        <v>1280.9399848551354</v>
      </c>
      <c r="M213" s="24">
        <v>1372.5837401524434</v>
      </c>
      <c r="N213" s="24">
        <v>1472.6086329898071</v>
      </c>
      <c r="O213" s="24">
        <v>1581.4041993374735</v>
      </c>
      <c r="P213" s="24">
        <v>1700.0077844677196</v>
      </c>
      <c r="Q213" s="21"/>
      <c r="R213" s="21"/>
    </row>
    <row r="214" spans="1:18" x14ac:dyDescent="0.35">
      <c r="A214" s="37" t="s">
        <v>44</v>
      </c>
      <c r="B214" s="37" t="s">
        <v>48</v>
      </c>
      <c r="C214" s="39" t="s">
        <v>59</v>
      </c>
      <c r="D214" s="24">
        <v>427.13997390069301</v>
      </c>
      <c r="E214" s="24">
        <v>449.04602032250739</v>
      </c>
      <c r="F214" s="24">
        <v>473.16223932593931</v>
      </c>
      <c r="G214" s="24">
        <v>498.85892979004802</v>
      </c>
      <c r="H214" s="24">
        <v>526.31051066820191</v>
      </c>
      <c r="I214" s="24">
        <v>555.58198482195587</v>
      </c>
      <c r="J214" s="24">
        <v>586.68702321515036</v>
      </c>
      <c r="K214" s="24">
        <v>619.87161437541533</v>
      </c>
      <c r="L214" s="24">
        <v>655.61703967233768</v>
      </c>
      <c r="M214" s="24">
        <v>694.28810149542346</v>
      </c>
      <c r="N214" s="24">
        <v>735.86306384518639</v>
      </c>
      <c r="O214" s="24">
        <v>780.4100444717177</v>
      </c>
      <c r="P214" s="24">
        <v>828.4223509794067</v>
      </c>
      <c r="Q214" s="14"/>
      <c r="R214" s="14"/>
    </row>
    <row r="215" spans="1:18" x14ac:dyDescent="0.35">
      <c r="A215" s="37" t="s">
        <v>44</v>
      </c>
      <c r="B215" s="37" t="s">
        <v>48</v>
      </c>
      <c r="C215" s="39" t="s">
        <v>60</v>
      </c>
      <c r="D215" s="24">
        <v>210.78245724088828</v>
      </c>
      <c r="E215" s="24">
        <v>217.43077464317562</v>
      </c>
      <c r="F215" s="24">
        <v>224.56429388965461</v>
      </c>
      <c r="G215" s="24">
        <v>232.08380625440492</v>
      </c>
      <c r="H215" s="24">
        <v>240.15042495521712</v>
      </c>
      <c r="I215" s="24">
        <v>248.83564225869131</v>
      </c>
      <c r="J215" s="24">
        <v>258.05380122422866</v>
      </c>
      <c r="K215" s="24">
        <v>268.14805620895191</v>
      </c>
      <c r="L215" s="24">
        <v>279.0057544417009</v>
      </c>
      <c r="M215" s="24">
        <v>290.55886320987764</v>
      </c>
      <c r="N215" s="24">
        <v>303.12690704274104</v>
      </c>
      <c r="O215" s="24">
        <v>316.54521901607791</v>
      </c>
      <c r="P215" s="24">
        <v>331.04315523073632</v>
      </c>
      <c r="Q215" s="14"/>
      <c r="R215" s="14"/>
    </row>
    <row r="216" spans="1:18" x14ac:dyDescent="0.35">
      <c r="A216" s="37" t="s">
        <v>44</v>
      </c>
      <c r="B216" s="37" t="s">
        <v>48</v>
      </c>
      <c r="C216" s="39" t="s">
        <v>61</v>
      </c>
      <c r="D216" s="24">
        <v>206.29984807255573</v>
      </c>
      <c r="E216" s="24">
        <v>211.96553317118588</v>
      </c>
      <c r="F216" s="24">
        <v>218.08353798726716</v>
      </c>
      <c r="G216" s="24">
        <v>224.52476567890534</v>
      </c>
      <c r="H216" s="24">
        <v>231.44859781190027</v>
      </c>
      <c r="I216" s="24">
        <v>238.90398574152593</v>
      </c>
      <c r="J216" s="24">
        <v>246.81574729072273</v>
      </c>
      <c r="K216" s="24">
        <v>255.51688073339668</v>
      </c>
      <c r="L216" s="24">
        <v>264.8578063574862</v>
      </c>
      <c r="M216" s="24">
        <v>274.79985614136791</v>
      </c>
      <c r="N216" s="24">
        <v>285.61334281869313</v>
      </c>
      <c r="O216" s="24">
        <v>297.13950029032787</v>
      </c>
      <c r="P216" s="24">
        <v>309.59513642196231</v>
      </c>
      <c r="Q216" s="14"/>
      <c r="R216" s="14"/>
    </row>
    <row r="217" spans="1:18" x14ac:dyDescent="0.35">
      <c r="A217" s="37" t="s">
        <v>44</v>
      </c>
      <c r="B217" s="37" t="s">
        <v>48</v>
      </c>
      <c r="C217" s="39" t="s">
        <v>62</v>
      </c>
      <c r="D217" s="24">
        <v>636.8729264293803</v>
      </c>
      <c r="E217" s="24">
        <v>672.41639626708638</v>
      </c>
      <c r="F217" s="24">
        <v>710.21188787999972</v>
      </c>
      <c r="G217" s="24">
        <v>750.63519013862583</v>
      </c>
      <c r="H217" s="24">
        <v>794.06673207807955</v>
      </c>
      <c r="I217" s="24">
        <v>840.70894797477195</v>
      </c>
      <c r="J217" s="24">
        <v>890.34869472957996</v>
      </c>
      <c r="K217" s="24">
        <v>943.84505615230069</v>
      </c>
      <c r="L217" s="24">
        <v>1002.033030764718</v>
      </c>
      <c r="M217" s="24">
        <v>1064.5394824794814</v>
      </c>
      <c r="N217" s="24">
        <v>1132.4429542979644</v>
      </c>
      <c r="O217" s="24">
        <v>1205.9681083657847</v>
      </c>
      <c r="P217" s="24">
        <v>1285.6239624515897</v>
      </c>
      <c r="Q217" s="14"/>
      <c r="R217" s="14"/>
    </row>
    <row r="218" spans="1:18" x14ac:dyDescent="0.35">
      <c r="A218" s="37" t="s">
        <v>44</v>
      </c>
      <c r="B218" s="37" t="s">
        <v>48</v>
      </c>
      <c r="C218" s="39" t="s">
        <v>63</v>
      </c>
      <c r="D218" s="24">
        <v>380.30777778529523</v>
      </c>
      <c r="E218" s="24">
        <v>394.35049101555239</v>
      </c>
      <c r="F218" s="24">
        <v>409.8451926879099</v>
      </c>
      <c r="G218" s="24">
        <v>426.30817808093622</v>
      </c>
      <c r="H218" s="24">
        <v>443.79318430916226</v>
      </c>
      <c r="I218" s="24">
        <v>462.60638486104926</v>
      </c>
      <c r="J218" s="24">
        <v>482.5624161835205</v>
      </c>
      <c r="K218" s="24">
        <v>503.98791956120607</v>
      </c>
      <c r="L218" s="24">
        <v>527.15504767805601</v>
      </c>
      <c r="M218" s="24">
        <v>551.85140455048088</v>
      </c>
      <c r="N218" s="24">
        <v>578.43737240215194</v>
      </c>
      <c r="O218" s="24">
        <v>607.09540121931536</v>
      </c>
      <c r="P218" s="24">
        <v>638.24525932889196</v>
      </c>
      <c r="Q218" s="14"/>
      <c r="R218" s="14"/>
    </row>
    <row r="219" spans="1:18" x14ac:dyDescent="0.35">
      <c r="A219" s="37" t="s">
        <v>44</v>
      </c>
      <c r="B219" s="37" t="s">
        <v>48</v>
      </c>
      <c r="C219" s="39" t="s">
        <v>64</v>
      </c>
      <c r="D219" s="24">
        <v>404.8846491095822</v>
      </c>
      <c r="E219" s="24">
        <v>423.13877164961906</v>
      </c>
      <c r="F219" s="24">
        <v>443.0351016841999</v>
      </c>
      <c r="G219" s="24">
        <v>463.91814400120785</v>
      </c>
      <c r="H219" s="24">
        <v>486.00204700433153</v>
      </c>
      <c r="I219" s="24">
        <v>509.56954431173813</v>
      </c>
      <c r="J219" s="24">
        <v>534.69783695717069</v>
      </c>
      <c r="K219" s="24">
        <v>562.43108224771277</v>
      </c>
      <c r="L219" s="24">
        <v>592.10727230444479</v>
      </c>
      <c r="M219" s="24">
        <v>624.12168983208028</v>
      </c>
      <c r="N219" s="24">
        <v>658.93830184816613</v>
      </c>
      <c r="O219" s="24">
        <v>696.83095479706571</v>
      </c>
      <c r="P219" s="24">
        <v>738.22114960810836</v>
      </c>
      <c r="Q219" s="14"/>
      <c r="R219" s="14"/>
    </row>
    <row r="220" spans="1:18" x14ac:dyDescent="0.35">
      <c r="A220" s="37" t="s">
        <v>44</v>
      </c>
      <c r="B220" s="37" t="s">
        <v>48</v>
      </c>
      <c r="C220" s="39" t="s">
        <v>65</v>
      </c>
      <c r="D220" s="24">
        <v>139.03562696924917</v>
      </c>
      <c r="E220" s="24">
        <v>141.89139768556899</v>
      </c>
      <c r="F220" s="24">
        <v>145.03480490779717</v>
      </c>
      <c r="G220" s="24">
        <v>148.5101510252687</v>
      </c>
      <c r="H220" s="24">
        <v>152.23196450722219</v>
      </c>
      <c r="I220" s="24">
        <v>156.43203651899972</v>
      </c>
      <c r="J220" s="24">
        <v>160.82992769089117</v>
      </c>
      <c r="K220" s="24">
        <v>165.74093825107985</v>
      </c>
      <c r="L220" s="24">
        <v>171.0627506155773</v>
      </c>
      <c r="M220" s="24">
        <v>176.83694840315283</v>
      </c>
      <c r="N220" s="24">
        <v>183.1929906827032</v>
      </c>
      <c r="O220" s="24">
        <v>190.19057668054384</v>
      </c>
      <c r="P220" s="24">
        <v>197.7960288268404</v>
      </c>
      <c r="Q220" s="14"/>
      <c r="R220" s="14"/>
    </row>
    <row r="221" spans="1:18" x14ac:dyDescent="0.35">
      <c r="A221" s="37" t="s">
        <v>44</v>
      </c>
      <c r="B221" s="37" t="s">
        <v>48</v>
      </c>
      <c r="C221" s="39" t="s">
        <v>66</v>
      </c>
      <c r="D221" s="24">
        <v>50.543587574197907</v>
      </c>
      <c r="E221" s="24">
        <v>51.284445250112391</v>
      </c>
      <c r="F221" s="24">
        <v>52.156776036750223</v>
      </c>
      <c r="G221" s="24">
        <v>53.06086652568785</v>
      </c>
      <c r="H221" s="24">
        <v>54.011340889553217</v>
      </c>
      <c r="I221" s="24">
        <v>55.03389146990078</v>
      </c>
      <c r="J221" s="24">
        <v>56.163640835725708</v>
      </c>
      <c r="K221" s="24">
        <v>57.436199343789909</v>
      </c>
      <c r="L221" s="24">
        <v>58.79433481457994</v>
      </c>
      <c r="M221" s="24">
        <v>60.238927102252617</v>
      </c>
      <c r="N221" s="24">
        <v>61.833699655748305</v>
      </c>
      <c r="O221" s="24">
        <v>63.591341935395015</v>
      </c>
      <c r="P221" s="24">
        <v>65.528080596656594</v>
      </c>
      <c r="Q221" s="14"/>
      <c r="R221" s="14"/>
    </row>
    <row r="222" spans="1:18" x14ac:dyDescent="0.35">
      <c r="A222" s="37" t="s">
        <v>44</v>
      </c>
      <c r="B222" s="37" t="s">
        <v>48</v>
      </c>
      <c r="C222" s="39" t="s">
        <v>67</v>
      </c>
      <c r="D222" s="24">
        <v>724.78407819947529</v>
      </c>
      <c r="E222" s="24">
        <v>767.90794019631437</v>
      </c>
      <c r="F222" s="24">
        <v>814.57342082853165</v>
      </c>
      <c r="G222" s="24">
        <v>864.60405391975667</v>
      </c>
      <c r="H222" s="24">
        <v>918.09277412075721</v>
      </c>
      <c r="I222" s="24">
        <v>975.5507627116715</v>
      </c>
      <c r="J222" s="24">
        <v>1038.0614835861504</v>
      </c>
      <c r="K222" s="24">
        <v>1105.6518458610471</v>
      </c>
      <c r="L222" s="24">
        <v>1179.0428942548369</v>
      </c>
      <c r="M222" s="24">
        <v>1258.5691418603687</v>
      </c>
      <c r="N222" s="24">
        <v>1344.3529170267946</v>
      </c>
      <c r="O222" s="24">
        <v>1437.8940835167773</v>
      </c>
      <c r="P222" s="24">
        <v>1540.1783559077892</v>
      </c>
      <c r="Q222" s="14"/>
      <c r="R222" s="14"/>
    </row>
    <row r="223" spans="1:18" x14ac:dyDescent="0.35">
      <c r="A223" s="37" t="s">
        <v>44</v>
      </c>
      <c r="B223" s="37" t="s">
        <v>48</v>
      </c>
      <c r="C223" s="39" t="s">
        <v>68</v>
      </c>
      <c r="D223" s="24">
        <v>58.574593295805975</v>
      </c>
      <c r="E223" s="24">
        <v>59.949407820248965</v>
      </c>
      <c r="F223" s="24">
        <v>61.379846456948414</v>
      </c>
      <c r="G223" s="24">
        <v>62.866194140731452</v>
      </c>
      <c r="H223" s="24">
        <v>64.413525060874576</v>
      </c>
      <c r="I223" s="24">
        <v>66.04124029094686</v>
      </c>
      <c r="J223" s="24">
        <v>67.7790818036178</v>
      </c>
      <c r="K223" s="24">
        <v>69.603925732442349</v>
      </c>
      <c r="L223" s="24">
        <v>71.582437487892207</v>
      </c>
      <c r="M223" s="24">
        <v>73.724020254657205</v>
      </c>
      <c r="N223" s="24">
        <v>76.026877733787515</v>
      </c>
      <c r="O223" s="24">
        <v>78.455731379572271</v>
      </c>
      <c r="P223" s="24">
        <v>81.095248638599614</v>
      </c>
      <c r="Q223" s="14"/>
      <c r="R223" s="14"/>
    </row>
    <row r="224" spans="1:18" x14ac:dyDescent="0.35">
      <c r="A224" s="37" t="s">
        <v>44</v>
      </c>
      <c r="B224" s="37" t="s">
        <v>48</v>
      </c>
      <c r="C224" s="39" t="s">
        <v>69</v>
      </c>
      <c r="D224" s="24">
        <v>386.27226768363118</v>
      </c>
      <c r="E224" s="24">
        <v>403.47860693186936</v>
      </c>
      <c r="F224" s="24">
        <v>421.6904881527002</v>
      </c>
      <c r="G224" s="24">
        <v>440.87372798901788</v>
      </c>
      <c r="H224" s="24">
        <v>461.09681759414872</v>
      </c>
      <c r="I224" s="24">
        <v>482.54161230573527</v>
      </c>
      <c r="J224" s="24">
        <v>505.48775249142193</v>
      </c>
      <c r="K224" s="24">
        <v>529.81517322117952</v>
      </c>
      <c r="L224" s="24">
        <v>556.08455876102892</v>
      </c>
      <c r="M224" s="24">
        <v>584.52101075753126</v>
      </c>
      <c r="N224" s="24">
        <v>615.15714354360887</v>
      </c>
      <c r="O224" s="24">
        <v>647.81284170212803</v>
      </c>
      <c r="P224" s="24">
        <v>683.28991846035115</v>
      </c>
      <c r="Q224" s="14"/>
      <c r="R224" s="14"/>
    </row>
    <row r="225" spans="1:18" x14ac:dyDescent="0.35">
      <c r="A225" s="39" t="s">
        <v>58</v>
      </c>
      <c r="B225" s="35" t="s">
        <v>24</v>
      </c>
      <c r="C225" s="36" t="s">
        <v>25</v>
      </c>
      <c r="D225" s="24">
        <v>64.022992003917523</v>
      </c>
      <c r="E225" s="24">
        <v>67.758698955906098</v>
      </c>
      <c r="F225" s="24">
        <v>71.739233950904705</v>
      </c>
      <c r="G225" s="24">
        <v>75.977094964728977</v>
      </c>
      <c r="H225" s="24">
        <v>80.491320953871835</v>
      </c>
      <c r="I225" s="24">
        <v>85.32594179572402</v>
      </c>
      <c r="J225" s="24">
        <v>90.546109463868447</v>
      </c>
      <c r="K225" s="24">
        <v>96.137843856245411</v>
      </c>
      <c r="L225" s="24">
        <v>102.21838524717515</v>
      </c>
      <c r="M225" s="24">
        <v>108.84385279814354</v>
      </c>
      <c r="N225" s="24">
        <v>116.04160038494335</v>
      </c>
      <c r="O225" s="24">
        <v>123.79377408668313</v>
      </c>
      <c r="P225" s="24">
        <v>132.28048100794899</v>
      </c>
      <c r="Q225" s="14"/>
      <c r="R225" s="14"/>
    </row>
    <row r="226" spans="1:18" x14ac:dyDescent="0.35">
      <c r="A226" s="39" t="s">
        <v>58</v>
      </c>
      <c r="B226" s="35" t="s">
        <v>24</v>
      </c>
      <c r="C226" s="36" t="s">
        <v>26</v>
      </c>
      <c r="D226" s="24">
        <v>694.27123581634078</v>
      </c>
      <c r="E226" s="24">
        <v>740.29086656215156</v>
      </c>
      <c r="F226" s="24">
        <v>789.56355635783166</v>
      </c>
      <c r="G226" s="24">
        <v>842.5753547472757</v>
      </c>
      <c r="H226" s="24">
        <v>899.91453719316621</v>
      </c>
      <c r="I226" s="24">
        <v>961.78879133642351</v>
      </c>
      <c r="J226" s="24">
        <v>1028.1836689247141</v>
      </c>
      <c r="K226" s="24">
        <v>1100.0835633640934</v>
      </c>
      <c r="L226" s="24">
        <v>1178.7215996079603</v>
      </c>
      <c r="M226" s="24">
        <v>1263.7398873542998</v>
      </c>
      <c r="N226" s="24">
        <v>1356.5670326048637</v>
      </c>
      <c r="O226" s="24">
        <v>1457.6104252507905</v>
      </c>
      <c r="P226" s="24">
        <v>1567.7273034597706</v>
      </c>
      <c r="Q226" s="14"/>
      <c r="R226" s="14"/>
    </row>
    <row r="227" spans="1:18" x14ac:dyDescent="0.35">
      <c r="A227" s="39" t="s">
        <v>58</v>
      </c>
      <c r="B227" s="35" t="s">
        <v>27</v>
      </c>
      <c r="C227" s="36" t="s">
        <v>28</v>
      </c>
      <c r="D227" s="24">
        <v>233.764395441906</v>
      </c>
      <c r="E227" s="24">
        <v>249.3942292053988</v>
      </c>
      <c r="F227" s="24">
        <v>265.40090790356896</v>
      </c>
      <c r="G227" s="24">
        <v>282.20007870575284</v>
      </c>
      <c r="H227" s="24">
        <v>300.20027376462315</v>
      </c>
      <c r="I227" s="24">
        <v>318.87655139041806</v>
      </c>
      <c r="J227" s="24">
        <v>338.55903755694601</v>
      </c>
      <c r="K227" s="24">
        <v>359.03530100540706</v>
      </c>
      <c r="L227" s="24">
        <v>381.34006130905766</v>
      </c>
      <c r="M227" s="24">
        <v>404.55836868728898</v>
      </c>
      <c r="N227" s="24">
        <v>429.23268848366706</v>
      </c>
      <c r="O227" s="24">
        <v>455.24908961456867</v>
      </c>
      <c r="P227" s="24">
        <v>482.72625545387655</v>
      </c>
      <c r="Q227" s="14"/>
      <c r="R227" s="14"/>
    </row>
    <row r="228" spans="1:18" x14ac:dyDescent="0.35">
      <c r="A228" s="39" t="s">
        <v>58</v>
      </c>
      <c r="B228" s="35" t="s">
        <v>27</v>
      </c>
      <c r="C228" s="36" t="s">
        <v>29</v>
      </c>
      <c r="D228" s="24">
        <v>180.0466303631693</v>
      </c>
      <c r="E228" s="24">
        <v>191.81236702003343</v>
      </c>
      <c r="F228" s="24">
        <v>204.64281213154553</v>
      </c>
      <c r="G228" s="24">
        <v>218.72430107836553</v>
      </c>
      <c r="H228" s="24">
        <v>234.022878339698</v>
      </c>
      <c r="I228" s="24">
        <v>251.02576413098117</v>
      </c>
      <c r="J228" s="24">
        <v>269.39978290114226</v>
      </c>
      <c r="K228" s="24">
        <v>289.81663096860711</v>
      </c>
      <c r="L228" s="24">
        <v>312.2495536738295</v>
      </c>
      <c r="M228" s="24">
        <v>336.93921209356779</v>
      </c>
      <c r="N228" s="24">
        <v>364.35628902959547</v>
      </c>
      <c r="O228" s="24">
        <v>394.87663736322179</v>
      </c>
      <c r="P228" s="24">
        <v>428.6876731290796</v>
      </c>
      <c r="Q228" s="14"/>
      <c r="R228" s="14"/>
    </row>
    <row r="229" spans="1:18" x14ac:dyDescent="0.35">
      <c r="A229" s="39" t="s">
        <v>58</v>
      </c>
      <c r="B229" s="35" t="s">
        <v>27</v>
      </c>
      <c r="C229" s="36" t="s">
        <v>30</v>
      </c>
      <c r="D229" s="24">
        <v>134.54190279053088</v>
      </c>
      <c r="E229" s="24">
        <v>144.94155664690612</v>
      </c>
      <c r="F229" s="24">
        <v>156.49407475049489</v>
      </c>
      <c r="G229" s="24">
        <v>169.05733190264786</v>
      </c>
      <c r="H229" s="24">
        <v>182.74765195860789</v>
      </c>
      <c r="I229" s="24">
        <v>197.63894066598203</v>
      </c>
      <c r="J229" s="24">
        <v>213.80669269669968</v>
      </c>
      <c r="K229" s="24">
        <v>231.40570161883733</v>
      </c>
      <c r="L229" s="24">
        <v>250.69568494691751</v>
      </c>
      <c r="M229" s="24">
        <v>271.93691708633878</v>
      </c>
      <c r="N229" s="24">
        <v>295.21034647218568</v>
      </c>
      <c r="O229" s="24">
        <v>320.64806726528678</v>
      </c>
      <c r="P229" s="24">
        <v>348.56577257949226</v>
      </c>
      <c r="Q229" s="21"/>
      <c r="R229" s="21"/>
    </row>
    <row r="230" spans="1:18" x14ac:dyDescent="0.35">
      <c r="A230" s="39" t="s">
        <v>58</v>
      </c>
      <c r="B230" s="35" t="s">
        <v>27</v>
      </c>
      <c r="C230" s="36" t="s">
        <v>31</v>
      </c>
      <c r="D230" s="24">
        <v>96.03477158428295</v>
      </c>
      <c r="E230" s="24">
        <v>102.12847860176662</v>
      </c>
      <c r="F230" s="24">
        <v>108.72524547836169</v>
      </c>
      <c r="G230" s="24">
        <v>115.82038144110967</v>
      </c>
      <c r="H230" s="24">
        <v>123.5311381265268</v>
      </c>
      <c r="I230" s="24">
        <v>131.93092925265762</v>
      </c>
      <c r="J230" s="24">
        <v>141.01904609974048</v>
      </c>
      <c r="K230" s="24">
        <v>151.03832319673677</v>
      </c>
      <c r="L230" s="24">
        <v>161.97348923716962</v>
      </c>
      <c r="M230" s="24">
        <v>173.84989825662646</v>
      </c>
      <c r="N230" s="24">
        <v>186.92787060046433</v>
      </c>
      <c r="O230" s="24">
        <v>201.17283489854168</v>
      </c>
      <c r="P230" s="24">
        <v>216.80653124218233</v>
      </c>
      <c r="Q230" s="21"/>
      <c r="R230" s="21"/>
    </row>
    <row r="231" spans="1:18" x14ac:dyDescent="0.35">
      <c r="A231" s="39" t="s">
        <v>58</v>
      </c>
      <c r="B231" s="35" t="s">
        <v>27</v>
      </c>
      <c r="C231" s="36" t="s">
        <v>32</v>
      </c>
      <c r="D231" s="24">
        <v>72.188755954123963</v>
      </c>
      <c r="E231" s="24">
        <v>75.80115101094961</v>
      </c>
      <c r="F231" s="24">
        <v>79.624352448019309</v>
      </c>
      <c r="G231" s="24">
        <v>83.666453673915797</v>
      </c>
      <c r="H231" s="24">
        <v>87.942405475789315</v>
      </c>
      <c r="I231" s="24">
        <v>92.493898447455337</v>
      </c>
      <c r="J231" s="24">
        <v>97.384110585545997</v>
      </c>
      <c r="K231" s="24">
        <v>102.58901498018059</v>
      </c>
      <c r="L231" s="24">
        <v>108.22522089474626</v>
      </c>
      <c r="M231" s="24">
        <v>114.34084371009509</v>
      </c>
      <c r="N231" s="24">
        <v>120.95210228860412</v>
      </c>
      <c r="O231" s="24">
        <v>128.02739294003882</v>
      </c>
      <c r="P231" s="24">
        <v>135.74062169464165</v>
      </c>
      <c r="Q231" s="21"/>
      <c r="R231" s="21"/>
    </row>
    <row r="232" spans="1:18" x14ac:dyDescent="0.35">
      <c r="A232" s="39" t="s">
        <v>58</v>
      </c>
      <c r="B232" s="35" t="s">
        <v>27</v>
      </c>
      <c r="C232" s="36" t="s">
        <v>33</v>
      </c>
      <c r="D232" s="24">
        <v>41.717771686245243</v>
      </c>
      <c r="E232" s="24">
        <v>43.971783033003</v>
      </c>
      <c r="F232" s="24">
        <v>46.415397596745954</v>
      </c>
      <c r="G232" s="24">
        <v>49.083902910212956</v>
      </c>
      <c r="H232" s="24">
        <v>51.961510481793013</v>
      </c>
      <c r="I232" s="24">
        <v>55.148649244653491</v>
      </c>
      <c r="J232" s="24">
        <v>58.561108548507967</v>
      </c>
      <c r="K232" s="24">
        <v>62.336435450569695</v>
      </c>
      <c r="L232" s="24">
        <v>66.455974793414967</v>
      </c>
      <c r="M232" s="24">
        <v>70.958500318526205</v>
      </c>
      <c r="N232" s="24">
        <v>75.929336115290553</v>
      </c>
      <c r="O232" s="24">
        <v>81.430177255815877</v>
      </c>
      <c r="P232" s="24">
        <v>87.48093036844719</v>
      </c>
      <c r="Q232" s="21"/>
      <c r="R232" s="21"/>
    </row>
    <row r="233" spans="1:18" x14ac:dyDescent="0.35">
      <c r="A233" s="39" t="s">
        <v>58</v>
      </c>
      <c r="B233" s="35" t="s">
        <v>34</v>
      </c>
      <c r="C233" s="36" t="s">
        <v>35</v>
      </c>
      <c r="D233" s="24">
        <v>267.96845804245834</v>
      </c>
      <c r="E233" s="24">
        <v>285.79025876703372</v>
      </c>
      <c r="F233" s="24">
        <v>304.00746524086708</v>
      </c>
      <c r="G233" s="24">
        <v>323.11304456235337</v>
      </c>
      <c r="H233" s="24">
        <v>343.63225328053693</v>
      </c>
      <c r="I233" s="24">
        <v>364.90194389673661</v>
      </c>
      <c r="J233" s="24">
        <v>387.42945972219513</v>
      </c>
      <c r="K233" s="24">
        <v>410.94996017000074</v>
      </c>
      <c r="L233" s="24">
        <v>436.50423673620446</v>
      </c>
      <c r="M233" s="24">
        <v>463.38153647758827</v>
      </c>
      <c r="N233" s="24">
        <v>492.04965970682531</v>
      </c>
      <c r="O233" s="24">
        <v>522.10045835013011</v>
      </c>
      <c r="P233" s="24">
        <v>553.79454549067987</v>
      </c>
      <c r="Q233" s="21"/>
      <c r="R233" s="21"/>
    </row>
    <row r="234" spans="1:18" x14ac:dyDescent="0.35">
      <c r="A234" s="39" t="s">
        <v>58</v>
      </c>
      <c r="B234" s="35" t="s">
        <v>34</v>
      </c>
      <c r="C234" s="36" t="s">
        <v>36</v>
      </c>
      <c r="D234" s="24">
        <v>261.74696087546812</v>
      </c>
      <c r="E234" s="24">
        <v>279.15005983739712</v>
      </c>
      <c r="F234" s="24">
        <v>298.1408018596469</v>
      </c>
      <c r="G234" s="24">
        <v>318.99577023332819</v>
      </c>
      <c r="H234" s="24">
        <v>341.67144156424274</v>
      </c>
      <c r="I234" s="24">
        <v>366.88501144292565</v>
      </c>
      <c r="J234" s="24">
        <v>394.15767666017479</v>
      </c>
      <c r="K234" s="24">
        <v>424.47881265615729</v>
      </c>
      <c r="L234" s="24">
        <v>457.81900447004222</v>
      </c>
      <c r="M234" s="24">
        <v>494.54078470164563</v>
      </c>
      <c r="N234" s="24">
        <v>535.34582476829223</v>
      </c>
      <c r="O234" s="24">
        <v>580.79941638900493</v>
      </c>
      <c r="P234" s="24">
        <v>631.1920605401358</v>
      </c>
      <c r="Q234" s="21"/>
      <c r="R234" s="21"/>
    </row>
    <row r="235" spans="1:18" x14ac:dyDescent="0.35">
      <c r="A235" s="39" t="s">
        <v>58</v>
      </c>
      <c r="B235" s="35" t="s">
        <v>34</v>
      </c>
      <c r="C235" s="36" t="s">
        <v>37</v>
      </c>
      <c r="D235" s="24">
        <v>165.62911921087255</v>
      </c>
      <c r="E235" s="24">
        <v>176.35329892156028</v>
      </c>
      <c r="F235" s="24">
        <v>188.20142959805452</v>
      </c>
      <c r="G235" s="24">
        <v>200.98872628868469</v>
      </c>
      <c r="H235" s="24">
        <v>214.80692352001603</v>
      </c>
      <c r="I235" s="24">
        <v>229.84114192731562</v>
      </c>
      <c r="J235" s="24">
        <v>246.10169955991745</v>
      </c>
      <c r="K235" s="24">
        <v>263.79023705926011</v>
      </c>
      <c r="L235" s="24">
        <v>283.16093815669774</v>
      </c>
      <c r="M235" s="24">
        <v>304.18122616703897</v>
      </c>
      <c r="N235" s="24">
        <v>327.13719422993631</v>
      </c>
      <c r="O235" s="24">
        <v>352.24140398269395</v>
      </c>
      <c r="P235" s="24">
        <v>379.89020426287567</v>
      </c>
      <c r="Q235" s="21"/>
      <c r="R235" s="21"/>
    </row>
    <row r="236" spans="1:18" x14ac:dyDescent="0.35">
      <c r="A236" s="39" t="s">
        <v>58</v>
      </c>
      <c r="B236" s="35" t="s">
        <v>34</v>
      </c>
      <c r="C236" s="36" t="s">
        <v>38</v>
      </c>
      <c r="D236" s="24">
        <v>62.949689691459369</v>
      </c>
      <c r="E236" s="24">
        <v>66.755947992066567</v>
      </c>
      <c r="F236" s="24">
        <v>70.953093610167869</v>
      </c>
      <c r="G236" s="24">
        <v>75.454908627638318</v>
      </c>
      <c r="H236" s="24">
        <v>80.295239782242419</v>
      </c>
      <c r="I236" s="24">
        <v>85.486635865169831</v>
      </c>
      <c r="J236" s="24">
        <v>91.040942446295034</v>
      </c>
      <c r="K236" s="24">
        <v>97.002397334920602</v>
      </c>
      <c r="L236" s="24">
        <v>103.45580549219098</v>
      </c>
      <c r="M236" s="24">
        <v>110.48019280617054</v>
      </c>
      <c r="N236" s="24">
        <v>118.07595428475324</v>
      </c>
      <c r="O236" s="24">
        <v>126.26292061564467</v>
      </c>
      <c r="P236" s="24">
        <v>135.13097417402841</v>
      </c>
      <c r="Q236" s="21"/>
      <c r="R236" s="21"/>
    </row>
    <row r="237" spans="1:18" x14ac:dyDescent="0.35">
      <c r="A237" s="39" t="s">
        <v>58</v>
      </c>
      <c r="B237" s="35" t="s">
        <v>22</v>
      </c>
      <c r="C237" s="36" t="s">
        <v>39</v>
      </c>
      <c r="D237" s="24">
        <v>190.67106685504496</v>
      </c>
      <c r="E237" s="24">
        <v>205.54577378412228</v>
      </c>
      <c r="F237" s="24">
        <v>220.69543282053769</v>
      </c>
      <c r="G237" s="24">
        <v>237.17845110051428</v>
      </c>
      <c r="H237" s="24">
        <v>255.29768546148875</v>
      </c>
      <c r="I237" s="24">
        <v>274.76408991784547</v>
      </c>
      <c r="J237" s="24">
        <v>294.86177868949403</v>
      </c>
      <c r="K237" s="24">
        <v>316.06729729727931</v>
      </c>
      <c r="L237" s="24">
        <v>339.56886783198763</v>
      </c>
      <c r="M237" s="24">
        <v>364.53024012325966</v>
      </c>
      <c r="N237" s="24">
        <v>391.38613068900258</v>
      </c>
      <c r="O237" s="24">
        <v>420.07135275971768</v>
      </c>
      <c r="P237" s="24">
        <v>450.29075331712124</v>
      </c>
      <c r="Q237" s="21"/>
      <c r="R237" s="21"/>
    </row>
    <row r="238" spans="1:18" x14ac:dyDescent="0.35">
      <c r="A238" s="39" t="s">
        <v>58</v>
      </c>
      <c r="B238" s="35" t="s">
        <v>22</v>
      </c>
      <c r="C238" s="36" t="s">
        <v>40</v>
      </c>
      <c r="D238" s="24">
        <v>189.85176127655222</v>
      </c>
      <c r="E238" s="24">
        <v>200.54151251165604</v>
      </c>
      <c r="F238" s="24">
        <v>212.34570825782029</v>
      </c>
      <c r="G238" s="24">
        <v>224.90818274014782</v>
      </c>
      <c r="H238" s="24">
        <v>238.33666411554498</v>
      </c>
      <c r="I238" s="24">
        <v>252.81715569645209</v>
      </c>
      <c r="J238" s="24">
        <v>268.61342433850228</v>
      </c>
      <c r="K238" s="24">
        <v>286.00075487841502</v>
      </c>
      <c r="L238" s="24">
        <v>304.77994039900761</v>
      </c>
      <c r="M238" s="24">
        <v>325.08176221889511</v>
      </c>
      <c r="N238" s="24">
        <v>347.37238396692214</v>
      </c>
      <c r="O238" s="24">
        <v>371.89918172171684</v>
      </c>
      <c r="P238" s="24">
        <v>398.94619393472323</v>
      </c>
      <c r="Q238" s="21"/>
      <c r="R238" s="21"/>
    </row>
    <row r="239" spans="1:18" x14ac:dyDescent="0.35">
      <c r="A239" s="39" t="s">
        <v>58</v>
      </c>
      <c r="B239" s="35" t="s">
        <v>22</v>
      </c>
      <c r="C239" s="36" t="s">
        <v>41</v>
      </c>
      <c r="D239" s="24">
        <v>152.20573302727936</v>
      </c>
      <c r="E239" s="24">
        <v>159.71230226828317</v>
      </c>
      <c r="F239" s="24">
        <v>167.99728205609173</v>
      </c>
      <c r="G239" s="24">
        <v>176.76225036688209</v>
      </c>
      <c r="H239" s="24">
        <v>186.08103187630783</v>
      </c>
      <c r="I239" s="24">
        <v>196.08646950900965</v>
      </c>
      <c r="J239" s="24">
        <v>206.96805128097162</v>
      </c>
      <c r="K239" s="24">
        <v>218.91895183861087</v>
      </c>
      <c r="L239" s="24">
        <v>231.76382581503188</v>
      </c>
      <c r="M239" s="24">
        <v>245.58255925222107</v>
      </c>
      <c r="N239" s="24">
        <v>260.70604170830188</v>
      </c>
      <c r="O239" s="24">
        <v>277.29201276204981</v>
      </c>
      <c r="P239" s="24">
        <v>295.52105785531478</v>
      </c>
      <c r="Q239" s="21"/>
      <c r="R239" s="21"/>
    </row>
    <row r="240" spans="1:18" x14ac:dyDescent="0.35">
      <c r="A240" s="39" t="s">
        <v>58</v>
      </c>
      <c r="B240" s="35" t="s">
        <v>22</v>
      </c>
      <c r="C240" s="36" t="s">
        <v>42</v>
      </c>
      <c r="D240" s="24">
        <v>225.56566666138184</v>
      </c>
      <c r="E240" s="24">
        <v>242.24997695399614</v>
      </c>
      <c r="F240" s="24">
        <v>260.26436717428663</v>
      </c>
      <c r="G240" s="24">
        <v>279.70356550446053</v>
      </c>
      <c r="H240" s="24">
        <v>300.69047669369655</v>
      </c>
      <c r="I240" s="24">
        <v>323.44701800884042</v>
      </c>
      <c r="J240" s="24">
        <v>348.28652407961448</v>
      </c>
      <c r="K240" s="24">
        <v>375.23440320603351</v>
      </c>
      <c r="L240" s="24">
        <v>404.82735080910834</v>
      </c>
      <c r="M240" s="24">
        <v>437.38917855806756</v>
      </c>
      <c r="N240" s="24">
        <v>473.14407662558062</v>
      </c>
      <c r="O240" s="24">
        <v>512.14165209398914</v>
      </c>
      <c r="P240" s="24">
        <v>555.2497793605603</v>
      </c>
      <c r="Q240" s="21"/>
      <c r="R240" s="21"/>
    </row>
    <row r="241" spans="1:18" x14ac:dyDescent="0.35">
      <c r="A241" s="39" t="s">
        <v>59</v>
      </c>
      <c r="B241" s="35" t="s">
        <v>24</v>
      </c>
      <c r="C241" s="36" t="s">
        <v>25</v>
      </c>
      <c r="D241" s="24">
        <v>44.606265059183215</v>
      </c>
      <c r="E241" s="24">
        <v>46.48661934943204</v>
      </c>
      <c r="F241" s="24">
        <v>48.559476065982416</v>
      </c>
      <c r="G241" s="24">
        <v>50.761700355916545</v>
      </c>
      <c r="H241" s="24">
        <v>53.104730526421569</v>
      </c>
      <c r="I241" s="24">
        <v>55.621670889454293</v>
      </c>
      <c r="J241" s="24">
        <v>58.300036519261845</v>
      </c>
      <c r="K241" s="24">
        <v>61.173134877633281</v>
      </c>
      <c r="L241" s="24">
        <v>64.283088258755996</v>
      </c>
      <c r="M241" s="24">
        <v>67.602715444617374</v>
      </c>
      <c r="N241" s="24">
        <v>71.17716832749457</v>
      </c>
      <c r="O241" s="24">
        <v>75.031086146443513</v>
      </c>
      <c r="P241" s="24">
        <v>79.225341196239299</v>
      </c>
      <c r="Q241" s="21"/>
      <c r="R241" s="21"/>
    </row>
    <row r="242" spans="1:18" x14ac:dyDescent="0.35">
      <c r="A242" s="39" t="s">
        <v>59</v>
      </c>
      <c r="B242" s="35" t="s">
        <v>24</v>
      </c>
      <c r="C242" s="36" t="s">
        <v>26</v>
      </c>
      <c r="D242" s="24">
        <v>382.53370884150979</v>
      </c>
      <c r="E242" s="24">
        <v>402.55940097307536</v>
      </c>
      <c r="F242" s="24">
        <v>424.60276325995687</v>
      </c>
      <c r="G242" s="24">
        <v>448.09722943413146</v>
      </c>
      <c r="H242" s="24">
        <v>473.20578014178034</v>
      </c>
      <c r="I242" s="24">
        <v>499.96031393250161</v>
      </c>
      <c r="J242" s="24">
        <v>528.38698669588848</v>
      </c>
      <c r="K242" s="24">
        <v>558.69847949778205</v>
      </c>
      <c r="L242" s="24">
        <v>591.33395141358164</v>
      </c>
      <c r="M242" s="24">
        <v>626.68538605080607</v>
      </c>
      <c r="N242" s="24">
        <v>664.68589551769185</v>
      </c>
      <c r="O242" s="24">
        <v>705.3789583252742</v>
      </c>
      <c r="P242" s="24">
        <v>749.19700978316746</v>
      </c>
      <c r="Q242" s="21"/>
      <c r="R242" s="21"/>
    </row>
    <row r="243" spans="1:18" x14ac:dyDescent="0.35">
      <c r="A243" s="39" t="s">
        <v>59</v>
      </c>
      <c r="B243" s="35" t="s">
        <v>27</v>
      </c>
      <c r="C243" s="36" t="s">
        <v>28</v>
      </c>
      <c r="D243" s="24">
        <v>142.47682507453243</v>
      </c>
      <c r="E243" s="24">
        <v>148.73992489444436</v>
      </c>
      <c r="F243" s="24">
        <v>155.90357351738555</v>
      </c>
      <c r="G243" s="24">
        <v>163.46392736483932</v>
      </c>
      <c r="H243" s="24">
        <v>171.52459542676701</v>
      </c>
      <c r="I243" s="24">
        <v>179.92452069869825</v>
      </c>
      <c r="J243" s="24">
        <v>188.54755834559256</v>
      </c>
      <c r="K243" s="24">
        <v>197.50928528280207</v>
      </c>
      <c r="L243" s="24">
        <v>206.92160816372598</v>
      </c>
      <c r="M243" s="24">
        <v>217.03638458427349</v>
      </c>
      <c r="N243" s="24">
        <v>227.63652901441259</v>
      </c>
      <c r="O243" s="24">
        <v>238.61364383614125</v>
      </c>
      <c r="P243" s="24">
        <v>249.92205912166582</v>
      </c>
      <c r="Q243" s="21"/>
      <c r="R243" s="21"/>
    </row>
    <row r="244" spans="1:18" x14ac:dyDescent="0.35">
      <c r="A244" s="39" t="s">
        <v>59</v>
      </c>
      <c r="B244" s="35" t="s">
        <v>27</v>
      </c>
      <c r="C244" s="36" t="s">
        <v>29</v>
      </c>
      <c r="D244" s="24">
        <v>96.920533531241276</v>
      </c>
      <c r="E244" s="24">
        <v>102.75054343722086</v>
      </c>
      <c r="F244" s="24">
        <v>108.97196107100089</v>
      </c>
      <c r="G244" s="24">
        <v>115.60575388162718</v>
      </c>
      <c r="H244" s="24">
        <v>122.68298003675787</v>
      </c>
      <c r="I244" s="24">
        <v>130.27299480645885</v>
      </c>
      <c r="J244" s="24">
        <v>138.47786868361993</v>
      </c>
      <c r="K244" s="24">
        <v>147.27933802234244</v>
      </c>
      <c r="L244" s="24">
        <v>156.86003153220915</v>
      </c>
      <c r="M244" s="24">
        <v>167.31001619414542</v>
      </c>
      <c r="N244" s="24">
        <v>178.67574189732142</v>
      </c>
      <c r="O244" s="24">
        <v>190.93435238583274</v>
      </c>
      <c r="P244" s="24">
        <v>204.36815262049507</v>
      </c>
      <c r="Q244" s="21"/>
      <c r="R244" s="21"/>
    </row>
    <row r="245" spans="1:18" x14ac:dyDescent="0.35">
      <c r="A245" s="39" t="s">
        <v>59</v>
      </c>
      <c r="B245" s="35" t="s">
        <v>27</v>
      </c>
      <c r="C245" s="36" t="s">
        <v>30</v>
      </c>
      <c r="D245" s="24">
        <v>81.714402722651542</v>
      </c>
      <c r="E245" s="24">
        <v>86.759794110534457</v>
      </c>
      <c r="F245" s="24">
        <v>92.328047949242801</v>
      </c>
      <c r="G245" s="24">
        <v>98.323904794446619</v>
      </c>
      <c r="H245" s="24">
        <v>104.788422674039</v>
      </c>
      <c r="I245" s="24">
        <v>111.8077283688511</v>
      </c>
      <c r="J245" s="24">
        <v>119.38191914458638</v>
      </c>
      <c r="K245" s="24">
        <v>127.60386745389877</v>
      </c>
      <c r="L245" s="24">
        <v>136.59078729746915</v>
      </c>
      <c r="M245" s="24">
        <v>146.32021434366041</v>
      </c>
      <c r="N245" s="24">
        <v>156.92318009494699</v>
      </c>
      <c r="O245" s="24">
        <v>168.49393357541436</v>
      </c>
      <c r="P245" s="24">
        <v>181.21353291296307</v>
      </c>
      <c r="Q245" s="14"/>
      <c r="R245" s="14"/>
    </row>
    <row r="246" spans="1:18" x14ac:dyDescent="0.35">
      <c r="A246" s="39" t="s">
        <v>59</v>
      </c>
      <c r="B246" s="35" t="s">
        <v>27</v>
      </c>
      <c r="C246" s="36" t="s">
        <v>31</v>
      </c>
      <c r="D246" s="24">
        <v>49.773250126953791</v>
      </c>
      <c r="E246" s="24">
        <v>52.414163831622581</v>
      </c>
      <c r="F246" s="24">
        <v>55.246131707271189</v>
      </c>
      <c r="G246" s="24">
        <v>58.26624563569618</v>
      </c>
      <c r="H246" s="24">
        <v>61.473067646045983</v>
      </c>
      <c r="I246" s="24">
        <v>64.899537201756559</v>
      </c>
      <c r="J246" s="24">
        <v>68.616548478954556</v>
      </c>
      <c r="K246" s="24">
        <v>72.611699921170512</v>
      </c>
      <c r="L246" s="24">
        <v>76.934804117068865</v>
      </c>
      <c r="M246" s="24">
        <v>81.593737373277378</v>
      </c>
      <c r="N246" s="24">
        <v>86.591659255198749</v>
      </c>
      <c r="O246" s="24">
        <v>92.020067172345222</v>
      </c>
      <c r="P246" s="24">
        <v>97.926285669732763</v>
      </c>
      <c r="Q246" s="14"/>
      <c r="R246" s="14"/>
    </row>
    <row r="247" spans="1:18" x14ac:dyDescent="0.35">
      <c r="A247" s="39" t="s">
        <v>59</v>
      </c>
      <c r="B247" s="35" t="s">
        <v>27</v>
      </c>
      <c r="C247" s="36" t="s">
        <v>32</v>
      </c>
      <c r="D247" s="24">
        <v>37.42826411319227</v>
      </c>
      <c r="E247" s="24">
        <v>38.782631215004415</v>
      </c>
      <c r="F247" s="24">
        <v>40.279391671609723</v>
      </c>
      <c r="G247" s="24">
        <v>41.857069207180395</v>
      </c>
      <c r="H247" s="24">
        <v>43.525879232260294</v>
      </c>
      <c r="I247" s="24">
        <v>45.283212209093655</v>
      </c>
      <c r="J247" s="24">
        <v>47.125940030406085</v>
      </c>
      <c r="K247" s="24">
        <v>49.067605364680254</v>
      </c>
      <c r="L247" s="24">
        <v>51.140659191675319</v>
      </c>
      <c r="M247" s="24">
        <v>53.371315633669873</v>
      </c>
      <c r="N247" s="24">
        <v>55.744889617208834</v>
      </c>
      <c r="O247" s="24">
        <v>58.256588969484817</v>
      </c>
      <c r="P247" s="24">
        <v>60.933794618160903</v>
      </c>
      <c r="Q247" s="14"/>
      <c r="R247" s="14"/>
    </row>
    <row r="248" spans="1:18" x14ac:dyDescent="0.35">
      <c r="A248" s="39" t="s">
        <v>59</v>
      </c>
      <c r="B248" s="35" t="s">
        <v>27</v>
      </c>
      <c r="C248" s="36" t="s">
        <v>33</v>
      </c>
      <c r="D248" s="24">
        <v>18.826698332121662</v>
      </c>
      <c r="E248" s="24">
        <v>19.59896283368073</v>
      </c>
      <c r="F248" s="24">
        <v>20.433133409429175</v>
      </c>
      <c r="G248" s="24">
        <v>21.3420289062583</v>
      </c>
      <c r="H248" s="24">
        <v>22.315565652331763</v>
      </c>
      <c r="I248" s="24">
        <v>23.393991537097381</v>
      </c>
      <c r="J248" s="24">
        <v>24.53718853199085</v>
      </c>
      <c r="K248" s="24">
        <v>25.799818330521283</v>
      </c>
      <c r="L248" s="24">
        <v>27.169149370189267</v>
      </c>
      <c r="M248" s="24">
        <v>28.656433366396953</v>
      </c>
      <c r="N248" s="24">
        <v>30.291063966097784</v>
      </c>
      <c r="O248" s="24">
        <v>32.091458532499317</v>
      </c>
      <c r="P248" s="24">
        <v>34.058526036389082</v>
      </c>
      <c r="Q248" s="14"/>
      <c r="R248" s="14"/>
    </row>
    <row r="249" spans="1:18" x14ac:dyDescent="0.35">
      <c r="A249" s="39" t="s">
        <v>59</v>
      </c>
      <c r="B249" s="35" t="s">
        <v>34</v>
      </c>
      <c r="C249" s="36" t="s">
        <v>35</v>
      </c>
      <c r="D249" s="24">
        <v>137.94418682607278</v>
      </c>
      <c r="E249" s="24">
        <v>144.96257396258864</v>
      </c>
      <c r="F249" s="24">
        <v>152.80517392000161</v>
      </c>
      <c r="G249" s="24">
        <v>161.06775699752751</v>
      </c>
      <c r="H249" s="24">
        <v>169.84040179262877</v>
      </c>
      <c r="I249" s="24">
        <v>178.8098835439086</v>
      </c>
      <c r="J249" s="24">
        <v>187.98809801456417</v>
      </c>
      <c r="K249" s="24">
        <v>197.0261408036078</v>
      </c>
      <c r="L249" s="24">
        <v>206.64206745894097</v>
      </c>
      <c r="M249" s="24">
        <v>217.03427945854077</v>
      </c>
      <c r="N249" s="24">
        <v>227.55840331497473</v>
      </c>
      <c r="O249" s="24">
        <v>238.00971083963736</v>
      </c>
      <c r="P249" s="24">
        <v>248.56953743167333</v>
      </c>
      <c r="Q249" s="14"/>
      <c r="R249" s="14"/>
    </row>
    <row r="250" spans="1:18" x14ac:dyDescent="0.35">
      <c r="A250" s="39" t="s">
        <v>59</v>
      </c>
      <c r="B250" s="35" t="s">
        <v>34</v>
      </c>
      <c r="C250" s="36" t="s">
        <v>36</v>
      </c>
      <c r="D250" s="24">
        <v>151.08219168474403</v>
      </c>
      <c r="E250" s="24">
        <v>159.59242806419297</v>
      </c>
      <c r="F250" s="24">
        <v>168.9899243719909</v>
      </c>
      <c r="G250" s="24">
        <v>178.99129298329376</v>
      </c>
      <c r="H250" s="24">
        <v>189.68230804481996</v>
      </c>
      <c r="I250" s="24">
        <v>201.21104707125176</v>
      </c>
      <c r="J250" s="24">
        <v>213.78749044080834</v>
      </c>
      <c r="K250" s="24">
        <v>227.63080363446235</v>
      </c>
      <c r="L250" s="24">
        <v>242.58251825938981</v>
      </c>
      <c r="M250" s="24">
        <v>258.74679890824825</v>
      </c>
      <c r="N250" s="24">
        <v>276.49476459035935</v>
      </c>
      <c r="O250" s="24">
        <v>296.02341971452091</v>
      </c>
      <c r="P250" s="24">
        <v>317.55896793209598</v>
      </c>
      <c r="Q250" s="14"/>
      <c r="R250" s="14"/>
    </row>
    <row r="251" spans="1:18" x14ac:dyDescent="0.35">
      <c r="A251" s="39" t="s">
        <v>59</v>
      </c>
      <c r="B251" s="35" t="s">
        <v>34</v>
      </c>
      <c r="C251" s="36" t="s">
        <v>37</v>
      </c>
      <c r="D251" s="24">
        <v>93.233364341408702</v>
      </c>
      <c r="E251" s="24">
        <v>97.623507074868655</v>
      </c>
      <c r="F251" s="24">
        <v>102.37093905077441</v>
      </c>
      <c r="G251" s="24">
        <v>107.54573756661648</v>
      </c>
      <c r="H251" s="24">
        <v>113.1041287425966</v>
      </c>
      <c r="I251" s="24">
        <v>119.25633801082321</v>
      </c>
      <c r="J251" s="24">
        <v>125.80770319947749</v>
      </c>
      <c r="K251" s="24">
        <v>133.04489642124517</v>
      </c>
      <c r="L251" s="24">
        <v>140.91360441800728</v>
      </c>
      <c r="M251" s="24">
        <v>149.48251567025795</v>
      </c>
      <c r="N251" s="24">
        <v>158.91641603682262</v>
      </c>
      <c r="O251" s="24">
        <v>169.32616030380481</v>
      </c>
      <c r="P251" s="24">
        <v>180.73259774694404</v>
      </c>
      <c r="Q251" s="14"/>
      <c r="R251" s="14"/>
    </row>
    <row r="252" spans="1:18" x14ac:dyDescent="0.35">
      <c r="A252" s="39" t="s">
        <v>59</v>
      </c>
      <c r="B252" s="35" t="s">
        <v>34</v>
      </c>
      <c r="C252" s="36" t="s">
        <v>38</v>
      </c>
      <c r="D252" s="24">
        <v>44.8802310484675</v>
      </c>
      <c r="E252" s="24">
        <v>46.867511220857104</v>
      </c>
      <c r="F252" s="24">
        <v>48.996201983172405</v>
      </c>
      <c r="G252" s="24">
        <v>51.254142242610293</v>
      </c>
      <c r="H252" s="24">
        <v>53.683672088156591</v>
      </c>
      <c r="I252" s="24">
        <v>56.304716195972262</v>
      </c>
      <c r="J252" s="24">
        <v>59.103731560300311</v>
      </c>
      <c r="K252" s="24">
        <v>62.169773516099987</v>
      </c>
      <c r="L252" s="24">
        <v>65.478849535999586</v>
      </c>
      <c r="M252" s="24">
        <v>69.024507458376476</v>
      </c>
      <c r="N252" s="24">
        <v>72.893479903029657</v>
      </c>
      <c r="O252" s="24">
        <v>77.050753613754679</v>
      </c>
      <c r="P252" s="24">
        <v>81.561247868693371</v>
      </c>
      <c r="Q252" s="14"/>
      <c r="R252" s="14"/>
    </row>
    <row r="253" spans="1:18" x14ac:dyDescent="0.35">
      <c r="A253" s="39" t="s">
        <v>59</v>
      </c>
      <c r="B253" s="35" t="s">
        <v>22</v>
      </c>
      <c r="C253" s="36" t="s">
        <v>39</v>
      </c>
      <c r="D253" s="24">
        <v>95.404914425933384</v>
      </c>
      <c r="E253" s="24">
        <v>101.00360384901552</v>
      </c>
      <c r="F253" s="24">
        <v>107.13818665953113</v>
      </c>
      <c r="G253" s="24">
        <v>113.74031091132309</v>
      </c>
      <c r="H253" s="24">
        <v>120.8408932494192</v>
      </c>
      <c r="I253" s="24">
        <v>128.37455619737381</v>
      </c>
      <c r="J253" s="24">
        <v>136.17299023127742</v>
      </c>
      <c r="K253" s="24">
        <v>144.19982556545642</v>
      </c>
      <c r="L253" s="24">
        <v>152.87903543425273</v>
      </c>
      <c r="M253" s="24">
        <v>162.31532237769943</v>
      </c>
      <c r="N253" s="24">
        <v>172.21863852515708</v>
      </c>
      <c r="O253" s="24">
        <v>182.48808394153912</v>
      </c>
      <c r="P253" s="24">
        <v>193.23678776903535</v>
      </c>
      <c r="Q253" s="14"/>
      <c r="R253" s="14"/>
    </row>
    <row r="254" spans="1:18" x14ac:dyDescent="0.35">
      <c r="A254" s="39" t="s">
        <v>59</v>
      </c>
      <c r="B254" s="35" t="s">
        <v>22</v>
      </c>
      <c r="C254" s="36" t="s">
        <v>40</v>
      </c>
      <c r="D254" s="24">
        <v>115.29086362717528</v>
      </c>
      <c r="E254" s="24">
        <v>120.7413650185842</v>
      </c>
      <c r="F254" s="24">
        <v>126.74027783717688</v>
      </c>
      <c r="G254" s="24">
        <v>133.11008820394537</v>
      </c>
      <c r="H254" s="24">
        <v>139.89333373560805</v>
      </c>
      <c r="I254" s="24">
        <v>147.09292359977977</v>
      </c>
      <c r="J254" s="24">
        <v>154.70995598320712</v>
      </c>
      <c r="K254" s="24">
        <v>162.80005505295975</v>
      </c>
      <c r="L254" s="24">
        <v>171.48370313260608</v>
      </c>
      <c r="M254" s="24">
        <v>180.86531511271059</v>
      </c>
      <c r="N254" s="24">
        <v>190.91478048894075</v>
      </c>
      <c r="O254" s="24">
        <v>201.63415799978736</v>
      </c>
      <c r="P254" s="24">
        <v>213.13654535646299</v>
      </c>
      <c r="Q254" s="14"/>
      <c r="R254" s="14"/>
    </row>
    <row r="255" spans="1:18" x14ac:dyDescent="0.35">
      <c r="A255" s="39" t="s">
        <v>59</v>
      </c>
      <c r="B255" s="35" t="s">
        <v>22</v>
      </c>
      <c r="C255" s="36" t="s">
        <v>41</v>
      </c>
      <c r="D255" s="24">
        <v>82.995872836845095</v>
      </c>
      <c r="E255" s="24">
        <v>86.339683898177981</v>
      </c>
      <c r="F255" s="24">
        <v>90.026110622617864</v>
      </c>
      <c r="G255" s="24">
        <v>93.921681005361691</v>
      </c>
      <c r="H255" s="24">
        <v>98.051648137486012</v>
      </c>
      <c r="I255" s="24">
        <v>102.41275457441866</v>
      </c>
      <c r="J255" s="24">
        <v>107.00049827763691</v>
      </c>
      <c r="K255" s="24">
        <v>111.84813781837327</v>
      </c>
      <c r="L255" s="24">
        <v>117.03253791135289</v>
      </c>
      <c r="M255" s="24">
        <v>122.61747900563228</v>
      </c>
      <c r="N255" s="24">
        <v>128.57375130313304</v>
      </c>
      <c r="O255" s="24">
        <v>134.89446768533506</v>
      </c>
      <c r="P255" s="24">
        <v>141.64709853667384</v>
      </c>
      <c r="Q255" s="14"/>
      <c r="R255" s="14"/>
    </row>
    <row r="256" spans="1:18" x14ac:dyDescent="0.35">
      <c r="A256" s="39" t="s">
        <v>59</v>
      </c>
      <c r="B256" s="35" t="s">
        <v>22</v>
      </c>
      <c r="C256" s="36" t="s">
        <v>42</v>
      </c>
      <c r="D256" s="24">
        <v>133.44832301073922</v>
      </c>
      <c r="E256" s="24">
        <v>140.96136755672967</v>
      </c>
      <c r="F256" s="24">
        <v>149.25766420661344</v>
      </c>
      <c r="G256" s="24">
        <v>158.08684966941786</v>
      </c>
      <c r="H256" s="24">
        <v>167.52463554568865</v>
      </c>
      <c r="I256" s="24">
        <v>177.70175045038366</v>
      </c>
      <c r="J256" s="24">
        <v>188.80357872302892</v>
      </c>
      <c r="K256" s="24">
        <v>201.02359593862585</v>
      </c>
      <c r="L256" s="24">
        <v>214.22176319412597</v>
      </c>
      <c r="M256" s="24">
        <v>228.48998499938116</v>
      </c>
      <c r="N256" s="24">
        <v>244.15589352795553</v>
      </c>
      <c r="O256" s="24">
        <v>261.39333484505619</v>
      </c>
      <c r="P256" s="24">
        <v>280.4019193172345</v>
      </c>
      <c r="Q256" s="14"/>
      <c r="R256" s="14"/>
    </row>
    <row r="257" spans="1:18" x14ac:dyDescent="0.35">
      <c r="A257" s="39" t="s">
        <v>60</v>
      </c>
      <c r="B257" s="35" t="s">
        <v>24</v>
      </c>
      <c r="C257" s="36" t="s">
        <v>25</v>
      </c>
      <c r="D257" s="24">
        <v>20.131507683009641</v>
      </c>
      <c r="E257" s="24">
        <v>20.634587646706329</v>
      </c>
      <c r="F257" s="24">
        <v>21.200503342225289</v>
      </c>
      <c r="G257" s="24">
        <v>21.798066342383144</v>
      </c>
      <c r="H257" s="24">
        <v>22.430049690817281</v>
      </c>
      <c r="I257" s="24">
        <v>23.108132014974299</v>
      </c>
      <c r="J257" s="24">
        <v>23.824217627835033</v>
      </c>
      <c r="K257" s="24">
        <v>24.589366622862709</v>
      </c>
      <c r="L257" s="24">
        <v>25.417382593598351</v>
      </c>
      <c r="M257" s="24">
        <v>26.293670940713429</v>
      </c>
      <c r="N257" s="24">
        <v>27.2326071726287</v>
      </c>
      <c r="O257" s="24">
        <v>28.23968573149326</v>
      </c>
      <c r="P257" s="24">
        <v>29.333561928943684</v>
      </c>
      <c r="Q257" s="14"/>
      <c r="R257" s="14"/>
    </row>
    <row r="258" spans="1:18" x14ac:dyDescent="0.35">
      <c r="A258" s="39" t="s">
        <v>60</v>
      </c>
      <c r="B258" s="35" t="s">
        <v>24</v>
      </c>
      <c r="C258" s="36" t="s">
        <v>26</v>
      </c>
      <c r="D258" s="24">
        <v>190.65094955787865</v>
      </c>
      <c r="E258" s="24">
        <v>196.79618699646929</v>
      </c>
      <c r="F258" s="24">
        <v>203.36379054742932</v>
      </c>
      <c r="G258" s="24">
        <v>210.28573991202177</v>
      </c>
      <c r="H258" s="24">
        <v>217.72037526439982</v>
      </c>
      <c r="I258" s="24">
        <v>225.72751024371701</v>
      </c>
      <c r="J258" s="24">
        <v>234.22958359639361</v>
      </c>
      <c r="K258" s="24">
        <v>243.55868958608923</v>
      </c>
      <c r="L258" s="24">
        <v>253.58837184810255</v>
      </c>
      <c r="M258" s="24">
        <v>264.26519226916423</v>
      </c>
      <c r="N258" s="24">
        <v>275.89429987011232</v>
      </c>
      <c r="O258" s="24">
        <v>288.30553328458467</v>
      </c>
      <c r="P258" s="24">
        <v>301.70959330179261</v>
      </c>
      <c r="Q258" s="14"/>
      <c r="R258" s="14"/>
    </row>
    <row r="259" spans="1:18" x14ac:dyDescent="0.35">
      <c r="A259" s="39" t="s">
        <v>60</v>
      </c>
      <c r="B259" s="35" t="s">
        <v>27</v>
      </c>
      <c r="C259" s="36" t="s">
        <v>28</v>
      </c>
      <c r="D259" s="24">
        <v>70.906048960148183</v>
      </c>
      <c r="E259" s="24">
        <v>72.183526210179735</v>
      </c>
      <c r="F259" s="24">
        <v>73.462474800146708</v>
      </c>
      <c r="G259" s="24">
        <v>74.808228084140381</v>
      </c>
      <c r="H259" s="24">
        <v>76.343820093263531</v>
      </c>
      <c r="I259" s="24">
        <v>78.106534220329308</v>
      </c>
      <c r="J259" s="24">
        <v>79.988345112960985</v>
      </c>
      <c r="K259" s="24">
        <v>82.272523606668898</v>
      </c>
      <c r="L259" s="24">
        <v>84.742794687499838</v>
      </c>
      <c r="M259" s="24">
        <v>87.250724433088862</v>
      </c>
      <c r="N259" s="24">
        <v>90.113245414254294</v>
      </c>
      <c r="O259" s="24">
        <v>93.181286797297162</v>
      </c>
      <c r="P259" s="24">
        <v>96.51870911207817</v>
      </c>
      <c r="Q259" s="21"/>
      <c r="R259" s="21"/>
    </row>
    <row r="260" spans="1:18" x14ac:dyDescent="0.35">
      <c r="A260" s="39" t="s">
        <v>60</v>
      </c>
      <c r="B260" s="35" t="s">
        <v>27</v>
      </c>
      <c r="C260" s="36" t="s">
        <v>29</v>
      </c>
      <c r="D260" s="24">
        <v>47.989560469395492</v>
      </c>
      <c r="E260" s="24">
        <v>50.008541311293882</v>
      </c>
      <c r="F260" s="24">
        <v>52.23287872522382</v>
      </c>
      <c r="G260" s="24">
        <v>54.586175126743242</v>
      </c>
      <c r="H260" s="24">
        <v>57.083756011855108</v>
      </c>
      <c r="I260" s="24">
        <v>59.72445129246487</v>
      </c>
      <c r="J260" s="24">
        <v>62.506354851316701</v>
      </c>
      <c r="K260" s="24">
        <v>65.449604008699723</v>
      </c>
      <c r="L260" s="24">
        <v>68.599988190147073</v>
      </c>
      <c r="M260" s="24">
        <v>71.995936982917016</v>
      </c>
      <c r="N260" s="24">
        <v>75.621538134677081</v>
      </c>
      <c r="O260" s="24">
        <v>79.473896405835163</v>
      </c>
      <c r="P260" s="24">
        <v>83.593901636003579</v>
      </c>
      <c r="Q260" s="21"/>
      <c r="R260" s="21"/>
    </row>
    <row r="261" spans="1:18" x14ac:dyDescent="0.35">
      <c r="A261" s="39" t="s">
        <v>60</v>
      </c>
      <c r="B261" s="35" t="s">
        <v>27</v>
      </c>
      <c r="C261" s="36" t="s">
        <v>30</v>
      </c>
      <c r="D261" s="24">
        <v>38.418322966033422</v>
      </c>
      <c r="E261" s="24">
        <v>40.258370291785937</v>
      </c>
      <c r="F261" s="24">
        <v>42.202500441536067</v>
      </c>
      <c r="G261" s="24">
        <v>44.254331795243829</v>
      </c>
      <c r="H261" s="24">
        <v>46.421077143843469</v>
      </c>
      <c r="I261" s="24">
        <v>48.724001894887657</v>
      </c>
      <c r="J261" s="24">
        <v>51.195513519929882</v>
      </c>
      <c r="K261" s="24">
        <v>53.821906971313354</v>
      </c>
      <c r="L261" s="24">
        <v>56.663366888886166</v>
      </c>
      <c r="M261" s="24">
        <v>59.743722134828595</v>
      </c>
      <c r="N261" s="24">
        <v>63.069935985886943</v>
      </c>
      <c r="O261" s="24">
        <v>66.62397179182868</v>
      </c>
      <c r="P261" s="24">
        <v>70.494876935439336</v>
      </c>
      <c r="Q261" s="21"/>
      <c r="R261" s="21"/>
    </row>
    <row r="262" spans="1:18" x14ac:dyDescent="0.35">
      <c r="A262" s="39" t="s">
        <v>60</v>
      </c>
      <c r="B262" s="35" t="s">
        <v>27</v>
      </c>
      <c r="C262" s="36" t="s">
        <v>31</v>
      </c>
      <c r="D262" s="24">
        <v>24.556256553655256</v>
      </c>
      <c r="E262" s="24">
        <v>25.444183491776236</v>
      </c>
      <c r="F262" s="24">
        <v>26.425483907787712</v>
      </c>
      <c r="G262" s="24">
        <v>27.459818735562028</v>
      </c>
      <c r="H262" s="24">
        <v>28.553885527175318</v>
      </c>
      <c r="I262" s="24">
        <v>29.705967709403943</v>
      </c>
      <c r="J262" s="24">
        <v>30.914008700907448</v>
      </c>
      <c r="K262" s="24">
        <v>32.186887944176263</v>
      </c>
      <c r="L262" s="24">
        <v>33.545887254842754</v>
      </c>
      <c r="M262" s="24">
        <v>35.008195170576691</v>
      </c>
      <c r="N262" s="24">
        <v>36.564171187075701</v>
      </c>
      <c r="O262" s="24">
        <v>38.210664737320741</v>
      </c>
      <c r="P262" s="24">
        <v>39.965628004275473</v>
      </c>
      <c r="Q262" s="21"/>
      <c r="R262" s="21"/>
    </row>
    <row r="263" spans="1:18" x14ac:dyDescent="0.35">
      <c r="A263" s="39" t="s">
        <v>60</v>
      </c>
      <c r="B263" s="35" t="s">
        <v>27</v>
      </c>
      <c r="C263" s="36" t="s">
        <v>32</v>
      </c>
      <c r="D263" s="24">
        <v>16.353601416892459</v>
      </c>
      <c r="E263" s="24">
        <v>16.623196627832876</v>
      </c>
      <c r="F263" s="24">
        <v>16.932259921473239</v>
      </c>
      <c r="G263" s="24">
        <v>17.248565315556295</v>
      </c>
      <c r="H263" s="24">
        <v>17.579011106721893</v>
      </c>
      <c r="I263" s="24">
        <v>17.931833731320566</v>
      </c>
      <c r="J263" s="24">
        <v>18.305799903083834</v>
      </c>
      <c r="K263" s="24">
        <v>18.738210644523075</v>
      </c>
      <c r="L263" s="24">
        <v>19.196322972885341</v>
      </c>
      <c r="M263" s="24">
        <v>19.690034232888515</v>
      </c>
      <c r="N263" s="24">
        <v>20.230995528223822</v>
      </c>
      <c r="O263" s="24">
        <v>20.823762157154349</v>
      </c>
      <c r="P263" s="24">
        <v>21.473466255038698</v>
      </c>
      <c r="Q263" s="21"/>
      <c r="R263" s="21"/>
    </row>
    <row r="264" spans="1:18" x14ac:dyDescent="0.35">
      <c r="A264" s="39" t="s">
        <v>60</v>
      </c>
      <c r="B264" s="35" t="s">
        <v>27</v>
      </c>
      <c r="C264" s="36" t="s">
        <v>33</v>
      </c>
      <c r="D264" s="24">
        <v>12.558666874763459</v>
      </c>
      <c r="E264" s="24">
        <v>12.912956710306965</v>
      </c>
      <c r="F264" s="24">
        <v>13.308696093487066</v>
      </c>
      <c r="G264" s="24">
        <v>13.726687197159155</v>
      </c>
      <c r="H264" s="24">
        <v>14.16887507235781</v>
      </c>
      <c r="I264" s="24">
        <v>14.642853410284967</v>
      </c>
      <c r="J264" s="24">
        <v>15.143779136029833</v>
      </c>
      <c r="K264" s="24">
        <v>15.678923033570612</v>
      </c>
      <c r="L264" s="24">
        <v>16.257394447439708</v>
      </c>
      <c r="M264" s="24">
        <v>16.870250255577943</v>
      </c>
      <c r="N264" s="24">
        <v>17.527020792623212</v>
      </c>
      <c r="O264" s="24">
        <v>18.231637126641822</v>
      </c>
      <c r="P264" s="24">
        <v>18.996573287901089</v>
      </c>
      <c r="Q264" s="21"/>
      <c r="R264" s="21"/>
    </row>
    <row r="265" spans="1:18" x14ac:dyDescent="0.35">
      <c r="A265" s="39" t="s">
        <v>60</v>
      </c>
      <c r="B265" s="35" t="s">
        <v>34</v>
      </c>
      <c r="C265" s="36" t="s">
        <v>35</v>
      </c>
      <c r="D265" s="24">
        <v>73.54676082200433</v>
      </c>
      <c r="E265" s="24">
        <v>75.470540140901306</v>
      </c>
      <c r="F265" s="24">
        <v>77.196744084625976</v>
      </c>
      <c r="G265" s="24">
        <v>78.96574019747527</v>
      </c>
      <c r="H265" s="24">
        <v>80.882663124917116</v>
      </c>
      <c r="I265" s="24">
        <v>82.99048837478162</v>
      </c>
      <c r="J265" s="24">
        <v>85.194729187807553</v>
      </c>
      <c r="K265" s="24">
        <v>87.642407963625715</v>
      </c>
      <c r="L265" s="24">
        <v>90.353880009749275</v>
      </c>
      <c r="M265" s="24">
        <v>93.09492206438415</v>
      </c>
      <c r="N265" s="24">
        <v>96.237377840246467</v>
      </c>
      <c r="O265" s="24">
        <v>99.49080793390425</v>
      </c>
      <c r="P265" s="24">
        <v>102.8690199412917</v>
      </c>
      <c r="Q265" s="21"/>
      <c r="R265" s="21"/>
    </row>
    <row r="266" spans="1:18" x14ac:dyDescent="0.35">
      <c r="A266" s="39" t="s">
        <v>60</v>
      </c>
      <c r="B266" s="35" t="s">
        <v>34</v>
      </c>
      <c r="C266" s="36" t="s">
        <v>36</v>
      </c>
      <c r="D266" s="24">
        <v>71.159281360690699</v>
      </c>
      <c r="E266" s="24">
        <v>73.920254503107344</v>
      </c>
      <c r="F266" s="24">
        <v>77.084307819201499</v>
      </c>
      <c r="G266" s="24">
        <v>80.439032026204259</v>
      </c>
      <c r="H266" s="24">
        <v>84.028633691830464</v>
      </c>
      <c r="I266" s="24">
        <v>87.84829946766294</v>
      </c>
      <c r="J266" s="24">
        <v>91.932939164842381</v>
      </c>
      <c r="K266" s="24">
        <v>96.37353038779635</v>
      </c>
      <c r="L266" s="24">
        <v>101.10069422471985</v>
      </c>
      <c r="M266" s="24">
        <v>106.21555081767968</v>
      </c>
      <c r="N266" s="24">
        <v>111.67350612846113</v>
      </c>
      <c r="O266" s="24">
        <v>117.54826874984187</v>
      </c>
      <c r="P266" s="24">
        <v>123.98101057900384</v>
      </c>
      <c r="Q266" s="21"/>
      <c r="R266" s="21"/>
    </row>
    <row r="267" spans="1:18" x14ac:dyDescent="0.35">
      <c r="A267" s="39" t="s">
        <v>60</v>
      </c>
      <c r="B267" s="35" t="s">
        <v>34</v>
      </c>
      <c r="C267" s="36" t="s">
        <v>37</v>
      </c>
      <c r="D267" s="24">
        <v>45.316358920933574</v>
      </c>
      <c r="E267" s="24">
        <v>46.795139082135016</v>
      </c>
      <c r="F267" s="24">
        <v>48.509529145506413</v>
      </c>
      <c r="G267" s="24">
        <v>50.321489270678512</v>
      </c>
      <c r="H267" s="24">
        <v>52.256732470255244</v>
      </c>
      <c r="I267" s="24">
        <v>54.309856837082009</v>
      </c>
      <c r="J267" s="24">
        <v>56.50011804719459</v>
      </c>
      <c r="K267" s="24">
        <v>58.880748939737629</v>
      </c>
      <c r="L267" s="24">
        <v>61.405726498615898</v>
      </c>
      <c r="M267" s="24">
        <v>64.133625133549344</v>
      </c>
      <c r="N267" s="24">
        <v>67.033627036490614</v>
      </c>
      <c r="O267" s="24">
        <v>70.146605648942426</v>
      </c>
      <c r="P267" s="24">
        <v>73.552695138788025</v>
      </c>
      <c r="Q267" s="21"/>
      <c r="R267" s="21"/>
    </row>
    <row r="268" spans="1:18" x14ac:dyDescent="0.35">
      <c r="A268" s="39" t="s">
        <v>60</v>
      </c>
      <c r="B268" s="35" t="s">
        <v>34</v>
      </c>
      <c r="C268" s="36" t="s">
        <v>38</v>
      </c>
      <c r="D268" s="24">
        <v>20.760056137259681</v>
      </c>
      <c r="E268" s="24">
        <v>21.244840917031965</v>
      </c>
      <c r="F268" s="24">
        <v>21.773712840320723</v>
      </c>
      <c r="G268" s="24">
        <v>22.357544760046906</v>
      </c>
      <c r="H268" s="24">
        <v>22.982395668214274</v>
      </c>
      <c r="I268" s="24">
        <v>23.686997579164736</v>
      </c>
      <c r="J268" s="24">
        <v>24.426014824384129</v>
      </c>
      <c r="K268" s="24">
        <v>25.25136891779221</v>
      </c>
      <c r="L268" s="24">
        <v>26.145453708615889</v>
      </c>
      <c r="M268" s="24">
        <v>27.114765194264457</v>
      </c>
      <c r="N268" s="24">
        <v>28.182396037542812</v>
      </c>
      <c r="O268" s="24">
        <v>29.359536683389351</v>
      </c>
      <c r="P268" s="24">
        <v>30.64042957165276</v>
      </c>
      <c r="Q268" s="14"/>
      <c r="R268" s="14"/>
    </row>
    <row r="269" spans="1:18" x14ac:dyDescent="0.35">
      <c r="A269" s="39" t="s">
        <v>60</v>
      </c>
      <c r="B269" s="35" t="s">
        <v>22</v>
      </c>
      <c r="C269" s="36" t="s">
        <v>39</v>
      </c>
      <c r="D269" s="24">
        <v>56.723468764498335</v>
      </c>
      <c r="E269" s="24">
        <v>58.553303778795794</v>
      </c>
      <c r="F269" s="24">
        <v>60.399321481149912</v>
      </c>
      <c r="G269" s="24">
        <v>62.364685593971615</v>
      </c>
      <c r="H269" s="24">
        <v>64.576449270457886</v>
      </c>
      <c r="I269" s="24">
        <v>67.01277919836653</v>
      </c>
      <c r="J269" s="24">
        <v>69.532716083322299</v>
      </c>
      <c r="K269" s="24">
        <v>72.410734346576305</v>
      </c>
      <c r="L269" s="24">
        <v>75.502426619435113</v>
      </c>
      <c r="M269" s="24">
        <v>78.756159522121493</v>
      </c>
      <c r="N269" s="24">
        <v>82.355926849507455</v>
      </c>
      <c r="O269" s="24">
        <v>86.106514675607855</v>
      </c>
      <c r="P269" s="24">
        <v>90.066536614316135</v>
      </c>
      <c r="Q269" s="14"/>
      <c r="R269" s="14"/>
    </row>
    <row r="270" spans="1:18" x14ac:dyDescent="0.35">
      <c r="A270" s="39" t="s">
        <v>60</v>
      </c>
      <c r="B270" s="35" t="s">
        <v>22</v>
      </c>
      <c r="C270" s="36" t="s">
        <v>40</v>
      </c>
      <c r="D270" s="24">
        <v>53.636464988357872</v>
      </c>
      <c r="E270" s="24">
        <v>55.046117545063133</v>
      </c>
      <c r="F270" s="24">
        <v>56.633506482674171</v>
      </c>
      <c r="G270" s="24">
        <v>58.283597982080614</v>
      </c>
      <c r="H270" s="24">
        <v>60.013591196308759</v>
      </c>
      <c r="I270" s="24">
        <v>61.857946154562605</v>
      </c>
      <c r="J270" s="24">
        <v>63.86565895603065</v>
      </c>
      <c r="K270" s="24">
        <v>66.0821657287281</v>
      </c>
      <c r="L270" s="24">
        <v>68.437145392010024</v>
      </c>
      <c r="M270" s="24">
        <v>70.94107168323913</v>
      </c>
      <c r="N270" s="24">
        <v>73.675502928283422</v>
      </c>
      <c r="O270" s="24">
        <v>76.665436974747323</v>
      </c>
      <c r="P270" s="24">
        <v>79.939247537843329</v>
      </c>
      <c r="Q270" s="14"/>
      <c r="R270" s="14"/>
    </row>
    <row r="271" spans="1:18" x14ac:dyDescent="0.35">
      <c r="A271" s="39" t="s">
        <v>60</v>
      </c>
      <c r="B271" s="35" t="s">
        <v>22</v>
      </c>
      <c r="C271" s="36" t="s">
        <v>41</v>
      </c>
      <c r="D271" s="24">
        <v>40.184375117213158</v>
      </c>
      <c r="E271" s="24">
        <v>41.150232629065236</v>
      </c>
      <c r="F271" s="24">
        <v>42.155612255256266</v>
      </c>
      <c r="G271" s="24">
        <v>43.199356473982824</v>
      </c>
      <c r="H271" s="24">
        <v>44.283738361742031</v>
      </c>
      <c r="I271" s="24">
        <v>45.424047584225505</v>
      </c>
      <c r="J271" s="24">
        <v>46.644379544529755</v>
      </c>
      <c r="K271" s="24">
        <v>47.924387395704343</v>
      </c>
      <c r="L271" s="24">
        <v>49.311048192919074</v>
      </c>
      <c r="M271" s="24">
        <v>50.815182047915535</v>
      </c>
      <c r="N271" s="24">
        <v>52.431882495818229</v>
      </c>
      <c r="O271" s="24">
        <v>54.135463308373879</v>
      </c>
      <c r="P271" s="24">
        <v>55.989136775378292</v>
      </c>
      <c r="Q271" s="14"/>
      <c r="R271" s="14"/>
    </row>
    <row r="272" spans="1:18" x14ac:dyDescent="0.35">
      <c r="A272" s="39" t="s">
        <v>60</v>
      </c>
      <c r="B272" s="35" t="s">
        <v>22</v>
      </c>
      <c r="C272" s="36" t="s">
        <v>42</v>
      </c>
      <c r="D272" s="24">
        <v>60.238148370818926</v>
      </c>
      <c r="E272" s="24">
        <v>62.681120690251454</v>
      </c>
      <c r="F272" s="24">
        <v>65.375853670574244</v>
      </c>
      <c r="G272" s="24">
        <v>68.236166204369852</v>
      </c>
      <c r="H272" s="24">
        <v>71.276646126708442</v>
      </c>
      <c r="I272" s="24">
        <v>74.540869321536675</v>
      </c>
      <c r="J272" s="24">
        <v>78.011046640345967</v>
      </c>
      <c r="K272" s="24">
        <v>81.73076873794318</v>
      </c>
      <c r="L272" s="24">
        <v>85.755134237336691</v>
      </c>
      <c r="M272" s="24">
        <v>90.046449956601506</v>
      </c>
      <c r="N272" s="24">
        <v>94.663594769131947</v>
      </c>
      <c r="O272" s="24">
        <v>99.637804057348859</v>
      </c>
      <c r="P272" s="24">
        <v>105.04823430319857</v>
      </c>
      <c r="Q272" s="14"/>
      <c r="R272" s="14"/>
    </row>
    <row r="273" spans="1:18" x14ac:dyDescent="0.35">
      <c r="A273" s="39" t="s">
        <v>61</v>
      </c>
      <c r="B273" s="35" t="s">
        <v>24</v>
      </c>
      <c r="C273" s="36" t="s">
        <v>25</v>
      </c>
      <c r="D273" s="24">
        <v>18.40653595655667</v>
      </c>
      <c r="E273" s="24">
        <v>18.757552162452939</v>
      </c>
      <c r="F273" s="24">
        <v>19.190361968441707</v>
      </c>
      <c r="G273" s="24">
        <v>19.646910044393906</v>
      </c>
      <c r="H273" s="24">
        <v>20.136028009635321</v>
      </c>
      <c r="I273" s="24">
        <v>20.654067766511893</v>
      </c>
      <c r="J273" s="24">
        <v>21.20691118800821</v>
      </c>
      <c r="K273" s="24">
        <v>21.812851942997842</v>
      </c>
      <c r="L273" s="24">
        <v>22.45242066977308</v>
      </c>
      <c r="M273" s="24">
        <v>23.145347223657776</v>
      </c>
      <c r="N273" s="24">
        <v>23.878035027886764</v>
      </c>
      <c r="O273" s="24">
        <v>24.663070418665288</v>
      </c>
      <c r="P273" s="24">
        <v>25.526143471209817</v>
      </c>
      <c r="Q273" s="14"/>
      <c r="R273" s="14"/>
    </row>
    <row r="274" spans="1:18" x14ac:dyDescent="0.35">
      <c r="A274" s="39" t="s">
        <v>61</v>
      </c>
      <c r="B274" s="35" t="s">
        <v>24</v>
      </c>
      <c r="C274" s="36" t="s">
        <v>26</v>
      </c>
      <c r="D274" s="24">
        <v>187.89331211599907</v>
      </c>
      <c r="E274" s="24">
        <v>193.20798100873296</v>
      </c>
      <c r="F274" s="24">
        <v>198.89317601882544</v>
      </c>
      <c r="G274" s="24">
        <v>204.87785563451143</v>
      </c>
      <c r="H274" s="24">
        <v>211.31256980226496</v>
      </c>
      <c r="I274" s="24">
        <v>218.24991797501403</v>
      </c>
      <c r="J274" s="24">
        <v>225.60883610271452</v>
      </c>
      <c r="K274" s="24">
        <v>233.70402879039884</v>
      </c>
      <c r="L274" s="24">
        <v>242.40538568771311</v>
      </c>
      <c r="M274" s="24">
        <v>251.65450891771013</v>
      </c>
      <c r="N274" s="24">
        <v>261.73530779080636</v>
      </c>
      <c r="O274" s="24">
        <v>272.47642987166256</v>
      </c>
      <c r="P274" s="24">
        <v>284.06899295075249</v>
      </c>
      <c r="Q274" s="14"/>
      <c r="R274" s="14"/>
    </row>
    <row r="275" spans="1:18" x14ac:dyDescent="0.35">
      <c r="A275" s="39" t="s">
        <v>61</v>
      </c>
      <c r="B275" s="35" t="s">
        <v>27</v>
      </c>
      <c r="C275" s="36" t="s">
        <v>28</v>
      </c>
      <c r="D275" s="24">
        <v>68.556383026493108</v>
      </c>
      <c r="E275" s="24">
        <v>69.731057074553064</v>
      </c>
      <c r="F275" s="24">
        <v>70.925030343484025</v>
      </c>
      <c r="G275" s="24">
        <v>72.172111925710112</v>
      </c>
      <c r="H275" s="24">
        <v>73.577509244403103</v>
      </c>
      <c r="I275" s="24">
        <v>75.149547888626245</v>
      </c>
      <c r="J275" s="24">
        <v>76.784249639959711</v>
      </c>
      <c r="K275" s="24">
        <v>78.728005734311978</v>
      </c>
      <c r="L275" s="24">
        <v>80.806419085380071</v>
      </c>
      <c r="M275" s="24">
        <v>82.934418803677119</v>
      </c>
      <c r="N275" s="24">
        <v>85.347774812726726</v>
      </c>
      <c r="O275" s="24">
        <v>87.891783083183185</v>
      </c>
      <c r="P275" s="24">
        <v>90.567304035734679</v>
      </c>
      <c r="Q275" s="14"/>
      <c r="R275" s="14"/>
    </row>
    <row r="276" spans="1:18" x14ac:dyDescent="0.35">
      <c r="A276" s="39" t="s">
        <v>61</v>
      </c>
      <c r="B276" s="35" t="s">
        <v>27</v>
      </c>
      <c r="C276" s="36" t="s">
        <v>29</v>
      </c>
      <c r="D276" s="24">
        <v>45.658788948709777</v>
      </c>
      <c r="E276" s="24">
        <v>47.450791005766163</v>
      </c>
      <c r="F276" s="24">
        <v>49.331928908102739</v>
      </c>
      <c r="G276" s="24">
        <v>51.30379325648326</v>
      </c>
      <c r="H276" s="24">
        <v>53.372046655424199</v>
      </c>
      <c r="I276" s="24">
        <v>55.558278290600718</v>
      </c>
      <c r="J276" s="24">
        <v>57.896024604242172</v>
      </c>
      <c r="K276" s="24">
        <v>60.365515173023901</v>
      </c>
      <c r="L276" s="24">
        <v>63.030434673771367</v>
      </c>
      <c r="M276" s="24">
        <v>65.911872363213121</v>
      </c>
      <c r="N276" s="24">
        <v>69.011532832039975</v>
      </c>
      <c r="O276" s="24">
        <v>72.303614689351448</v>
      </c>
      <c r="P276" s="24">
        <v>75.879276591280458</v>
      </c>
      <c r="Q276" s="14"/>
      <c r="R276" s="14"/>
    </row>
    <row r="277" spans="1:18" x14ac:dyDescent="0.35">
      <c r="A277" s="39" t="s">
        <v>61</v>
      </c>
      <c r="B277" s="35" t="s">
        <v>27</v>
      </c>
      <c r="C277" s="36" t="s">
        <v>30</v>
      </c>
      <c r="D277" s="24">
        <v>37.936027393058403</v>
      </c>
      <c r="E277" s="24">
        <v>39.410498247402529</v>
      </c>
      <c r="F277" s="24">
        <v>41.100065697725682</v>
      </c>
      <c r="G277" s="24">
        <v>42.89151857525173</v>
      </c>
      <c r="H277" s="24">
        <v>44.808448536383892</v>
      </c>
      <c r="I277" s="24">
        <v>46.8483133547536</v>
      </c>
      <c r="J277" s="24">
        <v>49.02975397419786</v>
      </c>
      <c r="K277" s="24">
        <v>51.401318268874803</v>
      </c>
      <c r="L277" s="24">
        <v>53.926039629138302</v>
      </c>
      <c r="M277" s="24">
        <v>56.657884329958279</v>
      </c>
      <c r="N277" s="24">
        <v>59.573105120889892</v>
      </c>
      <c r="O277" s="24">
        <v>62.711058128174798</v>
      </c>
      <c r="P277" s="24">
        <v>66.147100705441673</v>
      </c>
      <c r="Q277" s="14"/>
      <c r="R277" s="14"/>
    </row>
    <row r="278" spans="1:18" x14ac:dyDescent="0.35">
      <c r="A278" s="39" t="s">
        <v>61</v>
      </c>
      <c r="B278" s="35" t="s">
        <v>27</v>
      </c>
      <c r="C278" s="36" t="s">
        <v>31</v>
      </c>
      <c r="D278" s="24">
        <v>25.837822021287177</v>
      </c>
      <c r="E278" s="24">
        <v>26.611618340265512</v>
      </c>
      <c r="F278" s="24">
        <v>27.473411878910813</v>
      </c>
      <c r="G278" s="24">
        <v>28.384012224026328</v>
      </c>
      <c r="H278" s="24">
        <v>29.347682202548953</v>
      </c>
      <c r="I278" s="24">
        <v>30.380412411014646</v>
      </c>
      <c r="J278" s="24">
        <v>31.472496760025713</v>
      </c>
      <c r="K278" s="24">
        <v>32.6393382630392</v>
      </c>
      <c r="L278" s="24">
        <v>33.900269733935602</v>
      </c>
      <c r="M278" s="24">
        <v>35.237108844977826</v>
      </c>
      <c r="N278" s="24">
        <v>36.670135522496274</v>
      </c>
      <c r="O278" s="24">
        <v>38.208049312577302</v>
      </c>
      <c r="P278" s="24">
        <v>39.877509705986171</v>
      </c>
      <c r="Q278" s="14"/>
      <c r="R278" s="14"/>
    </row>
    <row r="279" spans="1:18" x14ac:dyDescent="0.35">
      <c r="A279" s="39" t="s">
        <v>61</v>
      </c>
      <c r="B279" s="35" t="s">
        <v>27</v>
      </c>
      <c r="C279" s="36" t="s">
        <v>32</v>
      </c>
      <c r="D279" s="24">
        <v>19.693779540935815</v>
      </c>
      <c r="E279" s="24">
        <v>19.936574065864857</v>
      </c>
      <c r="F279" s="24">
        <v>20.205083444816747</v>
      </c>
      <c r="G279" s="24">
        <v>20.490638659991564</v>
      </c>
      <c r="H279" s="24">
        <v>20.807228943289836</v>
      </c>
      <c r="I279" s="24">
        <v>21.158303388320576</v>
      </c>
      <c r="J279" s="24">
        <v>21.534091179732101</v>
      </c>
      <c r="K279" s="24">
        <v>21.96314635717297</v>
      </c>
      <c r="L279" s="24">
        <v>22.43041887507918</v>
      </c>
      <c r="M279" s="24">
        <v>22.928341024233777</v>
      </c>
      <c r="N279" s="24">
        <v>23.480937212185463</v>
      </c>
      <c r="O279" s="24">
        <v>24.069863299205046</v>
      </c>
      <c r="P279" s="24">
        <v>24.709835634817754</v>
      </c>
      <c r="Q279" s="14"/>
      <c r="R279" s="14"/>
    </row>
    <row r="280" spans="1:18" x14ac:dyDescent="0.35">
      <c r="A280" s="39" t="s">
        <v>61</v>
      </c>
      <c r="B280" s="35" t="s">
        <v>27</v>
      </c>
      <c r="C280" s="36" t="s">
        <v>33</v>
      </c>
      <c r="D280" s="24">
        <v>8.6170471420714456</v>
      </c>
      <c r="E280" s="24">
        <v>8.8249944373337801</v>
      </c>
      <c r="F280" s="24">
        <v>9.0480177142271607</v>
      </c>
      <c r="G280" s="24">
        <v>9.282691037442353</v>
      </c>
      <c r="H280" s="24">
        <v>9.5356822298502948</v>
      </c>
      <c r="I280" s="24">
        <v>9.8091304082101303</v>
      </c>
      <c r="J280" s="24">
        <v>10.099131132565155</v>
      </c>
      <c r="K280" s="24">
        <v>10.4195569369738</v>
      </c>
      <c r="L280" s="24">
        <v>10.764224360181691</v>
      </c>
      <c r="M280" s="24">
        <v>11.130230775307767</v>
      </c>
      <c r="N280" s="24">
        <v>11.529857318354766</v>
      </c>
      <c r="O280" s="24">
        <v>11.955131777836101</v>
      </c>
      <c r="P280" s="24">
        <v>12.41410974870157</v>
      </c>
      <c r="Q280" s="14"/>
      <c r="R280" s="14"/>
    </row>
    <row r="281" spans="1:18" x14ac:dyDescent="0.35">
      <c r="A281" s="39" t="s">
        <v>61</v>
      </c>
      <c r="B281" s="35" t="s">
        <v>34</v>
      </c>
      <c r="C281" s="36" t="s">
        <v>35</v>
      </c>
      <c r="D281" s="24">
        <v>72.448044664354939</v>
      </c>
      <c r="E281" s="24">
        <v>73.765851623807379</v>
      </c>
      <c r="F281" s="24">
        <v>75.034122880743837</v>
      </c>
      <c r="G281" s="24">
        <v>76.354261319227419</v>
      </c>
      <c r="H281" s="24">
        <v>77.836163444142045</v>
      </c>
      <c r="I281" s="24">
        <v>79.5109928684154</v>
      </c>
      <c r="J281" s="24">
        <v>81.233977012807969</v>
      </c>
      <c r="K281" s="24">
        <v>83.239369348846566</v>
      </c>
      <c r="L281" s="24">
        <v>85.435231666216168</v>
      </c>
      <c r="M281" s="24">
        <v>87.701313578428085</v>
      </c>
      <c r="N281" s="24">
        <v>90.333759298327806</v>
      </c>
      <c r="O281" s="24">
        <v>93.072484818215941</v>
      </c>
      <c r="P281" s="24">
        <v>95.966494579987625</v>
      </c>
      <c r="Q281" s="14"/>
      <c r="R281" s="14"/>
    </row>
    <row r="282" spans="1:18" x14ac:dyDescent="0.35">
      <c r="A282" s="39" t="s">
        <v>61</v>
      </c>
      <c r="B282" s="35" t="s">
        <v>34</v>
      </c>
      <c r="C282" s="36" t="s">
        <v>36</v>
      </c>
      <c r="D282" s="24">
        <v>70.313060182818148</v>
      </c>
      <c r="E282" s="24">
        <v>72.767010807470498</v>
      </c>
      <c r="F282" s="24">
        <v>75.597942617322502</v>
      </c>
      <c r="G282" s="24">
        <v>78.593182042309692</v>
      </c>
      <c r="H282" s="24">
        <v>81.79393446672556</v>
      </c>
      <c r="I282" s="24">
        <v>85.19305870342383</v>
      </c>
      <c r="J282" s="24">
        <v>88.822024459503922</v>
      </c>
      <c r="K282" s="24">
        <v>92.765984879440566</v>
      </c>
      <c r="L282" s="24">
        <v>96.95445153297355</v>
      </c>
      <c r="M282" s="24">
        <v>101.48146400661307</v>
      </c>
      <c r="N282" s="24">
        <v>106.30042324593786</v>
      </c>
      <c r="O282" s="24">
        <v>111.47800258372804</v>
      </c>
      <c r="P282" s="24">
        <v>117.14383967255563</v>
      </c>
      <c r="Q282" s="14"/>
      <c r="R282" s="14"/>
    </row>
    <row r="283" spans="1:18" x14ac:dyDescent="0.35">
      <c r="A283" s="39" t="s">
        <v>61</v>
      </c>
      <c r="B283" s="35" t="s">
        <v>34</v>
      </c>
      <c r="C283" s="36" t="s">
        <v>37</v>
      </c>
      <c r="D283" s="24">
        <v>42.653322088218786</v>
      </c>
      <c r="E283" s="24">
        <v>44.057079719479425</v>
      </c>
      <c r="F283" s="24">
        <v>45.549845953843295</v>
      </c>
      <c r="G283" s="24">
        <v>47.122157843468131</v>
      </c>
      <c r="H283" s="24">
        <v>48.766219558967386</v>
      </c>
      <c r="I283" s="24">
        <v>50.501874099184533</v>
      </c>
      <c r="J283" s="24">
        <v>52.376770123587725</v>
      </c>
      <c r="K283" s="24">
        <v>54.371082710728793</v>
      </c>
      <c r="L283" s="24">
        <v>56.512719517128666</v>
      </c>
      <c r="M283" s="24">
        <v>58.796334482036436</v>
      </c>
      <c r="N283" s="24">
        <v>61.213199586557671</v>
      </c>
      <c r="O283" s="24">
        <v>63.817313086364578</v>
      </c>
      <c r="P283" s="24">
        <v>66.627571901390198</v>
      </c>
      <c r="Q283" s="21"/>
      <c r="R283" s="21"/>
    </row>
    <row r="284" spans="1:18" x14ac:dyDescent="0.35">
      <c r="A284" s="39" t="s">
        <v>61</v>
      </c>
      <c r="B284" s="35" t="s">
        <v>34</v>
      </c>
      <c r="C284" s="36" t="s">
        <v>38</v>
      </c>
      <c r="D284" s="24">
        <v>20.885421137163867</v>
      </c>
      <c r="E284" s="24">
        <v>21.375591020428566</v>
      </c>
      <c r="F284" s="24">
        <v>21.901626535357551</v>
      </c>
      <c r="G284" s="24">
        <v>22.455164473900094</v>
      </c>
      <c r="H284" s="24">
        <v>23.052280342065266</v>
      </c>
      <c r="I284" s="24">
        <v>23.698060070502166</v>
      </c>
      <c r="J284" s="24">
        <v>24.382975694823116</v>
      </c>
      <c r="K284" s="24">
        <v>25.140443794380758</v>
      </c>
      <c r="L284" s="24">
        <v>25.955403641167791</v>
      </c>
      <c r="M284" s="24">
        <v>26.820744074290332</v>
      </c>
      <c r="N284" s="24">
        <v>27.765960687869782</v>
      </c>
      <c r="O284" s="24">
        <v>28.771699802019292</v>
      </c>
      <c r="P284" s="24">
        <v>29.85723026802884</v>
      </c>
      <c r="Q284" s="21"/>
      <c r="R284" s="21"/>
    </row>
    <row r="285" spans="1:18" x14ac:dyDescent="0.35">
      <c r="A285" s="39" t="s">
        <v>61</v>
      </c>
      <c r="B285" s="35" t="s">
        <v>22</v>
      </c>
      <c r="C285" s="36" t="s">
        <v>39</v>
      </c>
      <c r="D285" s="24">
        <v>51.662841089796245</v>
      </c>
      <c r="E285" s="24">
        <v>53.282514491201454</v>
      </c>
      <c r="F285" s="24">
        <v>55.040276730340508</v>
      </c>
      <c r="G285" s="24">
        <v>56.809458977013094</v>
      </c>
      <c r="H285" s="24">
        <v>58.764798984441484</v>
      </c>
      <c r="I285" s="24">
        <v>60.81997053188681</v>
      </c>
      <c r="J285" s="24">
        <v>62.964491453057775</v>
      </c>
      <c r="K285" s="24">
        <v>65.365005314990498</v>
      </c>
      <c r="L285" s="24">
        <v>67.9052897222181</v>
      </c>
      <c r="M285" s="24">
        <v>70.551670218136451</v>
      </c>
      <c r="N285" s="24">
        <v>73.474864358165405</v>
      </c>
      <c r="O285" s="24">
        <v>76.445883454816936</v>
      </c>
      <c r="P285" s="24">
        <v>79.63156819040438</v>
      </c>
      <c r="Q285" s="21"/>
      <c r="R285" s="21"/>
    </row>
    <row r="286" spans="1:18" x14ac:dyDescent="0.35">
      <c r="A286" s="39" t="s">
        <v>61</v>
      </c>
      <c r="B286" s="35" t="s">
        <v>22</v>
      </c>
      <c r="C286" s="36" t="s">
        <v>40</v>
      </c>
      <c r="D286" s="24">
        <v>53.125129264919956</v>
      </c>
      <c r="E286" s="24">
        <v>54.155152783626114</v>
      </c>
      <c r="F286" s="24">
        <v>55.288672135423489</v>
      </c>
      <c r="G286" s="24">
        <v>56.552042588962166</v>
      </c>
      <c r="H286" s="24">
        <v>57.908439172537442</v>
      </c>
      <c r="I286" s="24">
        <v>59.454314089564711</v>
      </c>
      <c r="J286" s="24">
        <v>61.073618026328219</v>
      </c>
      <c r="K286" s="24">
        <v>62.89524783306824</v>
      </c>
      <c r="L286" s="24">
        <v>64.872938900366265</v>
      </c>
      <c r="M286" s="24">
        <v>67.020922922248147</v>
      </c>
      <c r="N286" s="24">
        <v>69.394223958353322</v>
      </c>
      <c r="O286" s="24">
        <v>72.01770564784907</v>
      </c>
      <c r="P286" s="24">
        <v>74.874263197457964</v>
      </c>
      <c r="Q286" s="21"/>
      <c r="R286" s="21"/>
    </row>
    <row r="287" spans="1:18" x14ac:dyDescent="0.35">
      <c r="A287" s="39" t="s">
        <v>61</v>
      </c>
      <c r="B287" s="35" t="s">
        <v>22</v>
      </c>
      <c r="C287" s="36" t="s">
        <v>41</v>
      </c>
      <c r="D287" s="24">
        <v>41.603750431564954</v>
      </c>
      <c r="E287" s="24">
        <v>42.286827553907145</v>
      </c>
      <c r="F287" s="24">
        <v>43.029313857291861</v>
      </c>
      <c r="G287" s="24">
        <v>43.813436832391524</v>
      </c>
      <c r="H287" s="24">
        <v>44.669579377696756</v>
      </c>
      <c r="I287" s="24">
        <v>45.605981961447206</v>
      </c>
      <c r="J287" s="24">
        <v>46.602514916180155</v>
      </c>
      <c r="K287" s="24">
        <v>47.721656450223051</v>
      </c>
      <c r="L287" s="24">
        <v>48.932137953763764</v>
      </c>
      <c r="M287" s="24">
        <v>50.218499123818255</v>
      </c>
      <c r="N287" s="24">
        <v>51.634217139532311</v>
      </c>
      <c r="O287" s="24">
        <v>53.140448427293229</v>
      </c>
      <c r="P287" s="24">
        <v>54.770705540279032</v>
      </c>
      <c r="Q287" s="21"/>
      <c r="R287" s="21"/>
    </row>
    <row r="288" spans="1:18" x14ac:dyDescent="0.35">
      <c r="A288" s="39" t="s">
        <v>61</v>
      </c>
      <c r="B288" s="35" t="s">
        <v>22</v>
      </c>
      <c r="C288" s="36" t="s">
        <v>42</v>
      </c>
      <c r="D288" s="24">
        <v>59.908127286274592</v>
      </c>
      <c r="E288" s="24">
        <v>62.241038342451155</v>
      </c>
      <c r="F288" s="24">
        <v>64.725275264211305</v>
      </c>
      <c r="G288" s="24">
        <v>67.349827280538562</v>
      </c>
      <c r="H288" s="24">
        <v>70.105780277224596</v>
      </c>
      <c r="I288" s="24">
        <v>73.023719158627216</v>
      </c>
      <c r="J288" s="24">
        <v>76.175122895156591</v>
      </c>
      <c r="K288" s="24">
        <v>79.534971135114873</v>
      </c>
      <c r="L288" s="24">
        <v>83.147439781138075</v>
      </c>
      <c r="M288" s="24">
        <v>87.008763877165052</v>
      </c>
      <c r="N288" s="24">
        <v>91.110037362642089</v>
      </c>
      <c r="O288" s="24">
        <v>95.535462760368631</v>
      </c>
      <c r="P288" s="24">
        <v>100.31859949382093</v>
      </c>
      <c r="Q288" s="21"/>
      <c r="R288" s="21"/>
    </row>
    <row r="289" spans="1:18" x14ac:dyDescent="0.35">
      <c r="A289" s="39" t="s">
        <v>62</v>
      </c>
      <c r="B289" s="35" t="s">
        <v>24</v>
      </c>
      <c r="C289" s="36" t="s">
        <v>25</v>
      </c>
      <c r="D289" s="24">
        <v>54.450829256717931</v>
      </c>
      <c r="E289" s="24">
        <v>56.705422022590405</v>
      </c>
      <c r="F289" s="24">
        <v>59.140826970862776</v>
      </c>
      <c r="G289" s="24">
        <v>61.794348154665727</v>
      </c>
      <c r="H289" s="24">
        <v>64.637031991155681</v>
      </c>
      <c r="I289" s="24">
        <v>67.78566720384805</v>
      </c>
      <c r="J289" s="24">
        <v>71.124348961237089</v>
      </c>
      <c r="K289" s="24">
        <v>74.811733088418805</v>
      </c>
      <c r="L289" s="24">
        <v>78.811288483813939</v>
      </c>
      <c r="M289" s="24">
        <v>83.155999810116896</v>
      </c>
      <c r="N289" s="24">
        <v>87.931544612124156</v>
      </c>
      <c r="O289" s="24">
        <v>93.191862611631691</v>
      </c>
      <c r="P289" s="24">
        <v>98.940128425657463</v>
      </c>
      <c r="Q289" s="21"/>
      <c r="R289" s="21"/>
    </row>
    <row r="290" spans="1:18" x14ac:dyDescent="0.35">
      <c r="A290" s="39" t="s">
        <v>62</v>
      </c>
      <c r="B290" s="35" t="s">
        <v>24</v>
      </c>
      <c r="C290" s="36" t="s">
        <v>26</v>
      </c>
      <c r="D290" s="24">
        <v>582.42209717266235</v>
      </c>
      <c r="E290" s="24">
        <v>615.71097424449601</v>
      </c>
      <c r="F290" s="24">
        <v>651.07106090913692</v>
      </c>
      <c r="G290" s="24">
        <v>688.8408419839601</v>
      </c>
      <c r="H290" s="24">
        <v>729.42970008692384</v>
      </c>
      <c r="I290" s="24">
        <v>772.92328077092395</v>
      </c>
      <c r="J290" s="24">
        <v>819.22434576834291</v>
      </c>
      <c r="K290" s="24">
        <v>869.03332306388188</v>
      </c>
      <c r="L290" s="24">
        <v>923.22174228090398</v>
      </c>
      <c r="M290" s="24">
        <v>981.38348266936453</v>
      </c>
      <c r="N290" s="24">
        <v>1044.5114096858404</v>
      </c>
      <c r="O290" s="24">
        <v>1112.776245754153</v>
      </c>
      <c r="P290" s="24">
        <v>1186.6838340259321</v>
      </c>
      <c r="Q290" s="21"/>
      <c r="R290" s="21"/>
    </row>
    <row r="291" spans="1:18" x14ac:dyDescent="0.35">
      <c r="A291" s="39" t="s">
        <v>62</v>
      </c>
      <c r="B291" s="35" t="s">
        <v>27</v>
      </c>
      <c r="C291" s="36" t="s">
        <v>28</v>
      </c>
      <c r="D291" s="24">
        <v>193.76151605921734</v>
      </c>
      <c r="E291" s="24">
        <v>205.72834829774746</v>
      </c>
      <c r="F291" s="24">
        <v>217.93715372103838</v>
      </c>
      <c r="G291" s="24">
        <v>230.52884997500075</v>
      </c>
      <c r="H291" s="24">
        <v>243.93730009438605</v>
      </c>
      <c r="I291" s="24">
        <v>257.45863216034013</v>
      </c>
      <c r="J291" s="24">
        <v>271.59531750307508</v>
      </c>
      <c r="K291" s="24">
        <v>285.89518502626504</v>
      </c>
      <c r="L291" s="24">
        <v>301.32177159948219</v>
      </c>
      <c r="M291" s="24">
        <v>317.18641492031441</v>
      </c>
      <c r="N291" s="24">
        <v>333.67374828718334</v>
      </c>
      <c r="O291" s="24">
        <v>350.47823656717321</v>
      </c>
      <c r="P291" s="24">
        <v>367.77016315121955</v>
      </c>
      <c r="Q291" s="21"/>
      <c r="R291" s="21"/>
    </row>
    <row r="292" spans="1:18" x14ac:dyDescent="0.35">
      <c r="A292" s="39" t="s">
        <v>62</v>
      </c>
      <c r="B292" s="35" t="s">
        <v>27</v>
      </c>
      <c r="C292" s="36" t="s">
        <v>29</v>
      </c>
      <c r="D292" s="24">
        <v>148.11909008850321</v>
      </c>
      <c r="E292" s="24">
        <v>156.48522321492706</v>
      </c>
      <c r="F292" s="24">
        <v>165.56524803402195</v>
      </c>
      <c r="G292" s="24">
        <v>175.48993857855584</v>
      </c>
      <c r="H292" s="24">
        <v>186.20864867230966</v>
      </c>
      <c r="I292" s="24">
        <v>198.08671292248246</v>
      </c>
      <c r="J292" s="24">
        <v>210.82962151522298</v>
      </c>
      <c r="K292" s="24">
        <v>224.93847335481848</v>
      </c>
      <c r="L292" s="24">
        <v>240.35531799805557</v>
      </c>
      <c r="M292" s="24">
        <v>257.22933777582966</v>
      </c>
      <c r="N292" s="24">
        <v>275.87980018223385</v>
      </c>
      <c r="O292" s="24">
        <v>296.5430103530104</v>
      </c>
      <c r="P292" s="24">
        <v>319.30520783364182</v>
      </c>
      <c r="Q292" s="21"/>
      <c r="R292" s="21"/>
    </row>
    <row r="293" spans="1:18" x14ac:dyDescent="0.35">
      <c r="A293" s="39" t="s">
        <v>62</v>
      </c>
      <c r="B293" s="35" t="s">
        <v>27</v>
      </c>
      <c r="C293" s="36" t="s">
        <v>30</v>
      </c>
      <c r="D293" s="24">
        <v>101.91096528481764</v>
      </c>
      <c r="E293" s="24">
        <v>108.17454988764321</v>
      </c>
      <c r="F293" s="24">
        <v>114.98994359518845</v>
      </c>
      <c r="G293" s="24">
        <v>122.45545292165123</v>
      </c>
      <c r="H293" s="24">
        <v>130.54457075363626</v>
      </c>
      <c r="I293" s="24">
        <v>139.52184256767237</v>
      </c>
      <c r="J293" s="24">
        <v>149.19193617583821</v>
      </c>
      <c r="K293" s="24">
        <v>159.91876141584024</v>
      </c>
      <c r="L293" s="24">
        <v>171.67549545815865</v>
      </c>
      <c r="M293" s="24">
        <v>184.5826330401913</v>
      </c>
      <c r="N293" s="24">
        <v>198.88484402238078</v>
      </c>
      <c r="O293" s="24">
        <v>214.77140470855196</v>
      </c>
      <c r="P293" s="24">
        <v>232.32625377583787</v>
      </c>
      <c r="Q293" s="21"/>
      <c r="R293" s="21"/>
    </row>
    <row r="294" spans="1:18" x14ac:dyDescent="0.35">
      <c r="A294" s="39" t="s">
        <v>62</v>
      </c>
      <c r="B294" s="35" t="s">
        <v>27</v>
      </c>
      <c r="C294" s="36" t="s">
        <v>31</v>
      </c>
      <c r="D294" s="24">
        <v>95.599758492093699</v>
      </c>
      <c r="E294" s="24">
        <v>100.43424922892422</v>
      </c>
      <c r="F294" s="24">
        <v>105.66812341706054</v>
      </c>
      <c r="G294" s="24">
        <v>111.37757534007578</v>
      </c>
      <c r="H294" s="24">
        <v>117.52187634755578</v>
      </c>
      <c r="I294" s="24">
        <v>124.32364784586348</v>
      </c>
      <c r="J294" s="24">
        <v>131.58633556408509</v>
      </c>
      <c r="K294" s="24">
        <v>139.61419036950122</v>
      </c>
      <c r="L294" s="24">
        <v>148.35762519800713</v>
      </c>
      <c r="M294" s="24">
        <v>157.89585083940938</v>
      </c>
      <c r="N294" s="24">
        <v>168.41058221835266</v>
      </c>
      <c r="O294" s="24">
        <v>180.02871632088969</v>
      </c>
      <c r="P294" s="24">
        <v>192.78305598328089</v>
      </c>
      <c r="Q294" s="21"/>
      <c r="R294" s="21"/>
    </row>
    <row r="295" spans="1:18" x14ac:dyDescent="0.35">
      <c r="A295" s="39" t="s">
        <v>62</v>
      </c>
      <c r="B295" s="35" t="s">
        <v>27</v>
      </c>
      <c r="C295" s="36" t="s">
        <v>32</v>
      </c>
      <c r="D295" s="24">
        <v>59.100560926132289</v>
      </c>
      <c r="E295" s="24">
        <v>61.309611696088496</v>
      </c>
      <c r="F295" s="24">
        <v>63.671106098847702</v>
      </c>
      <c r="G295" s="24">
        <v>66.165879031780619</v>
      </c>
      <c r="H295" s="24">
        <v>68.845585671169502</v>
      </c>
      <c r="I295" s="24">
        <v>71.731734300096676</v>
      </c>
      <c r="J295" s="24">
        <v>74.802578046624674</v>
      </c>
      <c r="K295" s="24">
        <v>78.166734580123489</v>
      </c>
      <c r="L295" s="24">
        <v>81.787780607424537</v>
      </c>
      <c r="M295" s="24">
        <v>85.652078620238768</v>
      </c>
      <c r="N295" s="24">
        <v>89.861908550206536</v>
      </c>
      <c r="O295" s="24">
        <v>94.366719516908887</v>
      </c>
      <c r="P295" s="24">
        <v>99.239577183718211</v>
      </c>
      <c r="Q295" s="21"/>
      <c r="R295" s="21"/>
    </row>
    <row r="296" spans="1:18" x14ac:dyDescent="0.35">
      <c r="A296" s="39" t="s">
        <v>62</v>
      </c>
      <c r="B296" s="35" t="s">
        <v>27</v>
      </c>
      <c r="C296" s="36" t="s">
        <v>33</v>
      </c>
      <c r="D296" s="24">
        <v>38.381035578616078</v>
      </c>
      <c r="E296" s="24">
        <v>40.28441394175595</v>
      </c>
      <c r="F296" s="24">
        <v>42.380313013842652</v>
      </c>
      <c r="G296" s="24">
        <v>44.617494291561655</v>
      </c>
      <c r="H296" s="24">
        <v>47.008750539022309</v>
      </c>
      <c r="I296" s="24">
        <v>49.58637817831687</v>
      </c>
      <c r="J296" s="24">
        <v>52.342905924733905</v>
      </c>
      <c r="K296" s="24">
        <v>55.311711405752206</v>
      </c>
      <c r="L296" s="24">
        <v>58.535039903589926</v>
      </c>
      <c r="M296" s="24">
        <v>61.993167283498032</v>
      </c>
      <c r="N296" s="24">
        <v>65.732071037607341</v>
      </c>
      <c r="O296" s="24">
        <v>69.780020899250516</v>
      </c>
      <c r="P296" s="24">
        <v>74.199704523891413</v>
      </c>
      <c r="Q296" s="21"/>
      <c r="R296" s="21"/>
    </row>
    <row r="297" spans="1:18" x14ac:dyDescent="0.35">
      <c r="A297" s="39" t="s">
        <v>62</v>
      </c>
      <c r="B297" s="35" t="s">
        <v>34</v>
      </c>
      <c r="C297" s="36" t="s">
        <v>35</v>
      </c>
      <c r="D297" s="24">
        <v>202.84813139929872</v>
      </c>
      <c r="E297" s="24">
        <v>213.07584061394164</v>
      </c>
      <c r="F297" s="24">
        <v>223.21583398735891</v>
      </c>
      <c r="G297" s="24">
        <v>233.97244263228254</v>
      </c>
      <c r="H297" s="24">
        <v>245.60484023175002</v>
      </c>
      <c r="I297" s="24">
        <v>257.98806166587678</v>
      </c>
      <c r="J297" s="24">
        <v>270.50944967132568</v>
      </c>
      <c r="K297" s="24">
        <v>283.82055653512691</v>
      </c>
      <c r="L297" s="24">
        <v>298.33007623976721</v>
      </c>
      <c r="M297" s="24">
        <v>313.54355918607644</v>
      </c>
      <c r="N297" s="24">
        <v>330.29713838576697</v>
      </c>
      <c r="O297" s="24">
        <v>348.08618552814971</v>
      </c>
      <c r="P297" s="24">
        <v>366.70105536698748</v>
      </c>
      <c r="Q297" s="21"/>
      <c r="R297" s="21"/>
    </row>
    <row r="298" spans="1:18" x14ac:dyDescent="0.35">
      <c r="A298" s="39" t="s">
        <v>62</v>
      </c>
      <c r="B298" s="35" t="s">
        <v>34</v>
      </c>
      <c r="C298" s="36" t="s">
        <v>36</v>
      </c>
      <c r="D298" s="24">
        <v>232.54375977528207</v>
      </c>
      <c r="E298" s="24">
        <v>247.27186430314339</v>
      </c>
      <c r="F298" s="24">
        <v>263.17304094152928</v>
      </c>
      <c r="G298" s="24">
        <v>280.26412788073429</v>
      </c>
      <c r="H298" s="24">
        <v>298.56909126135793</v>
      </c>
      <c r="I298" s="24">
        <v>318.27919889462174</v>
      </c>
      <c r="J298" s="24">
        <v>339.77869748614069</v>
      </c>
      <c r="K298" s="24">
        <v>363.05360053623048</v>
      </c>
      <c r="L298" s="24">
        <v>388.39952129310456</v>
      </c>
      <c r="M298" s="24">
        <v>415.91093517994148</v>
      </c>
      <c r="N298" s="24">
        <v>445.66088356528735</v>
      </c>
      <c r="O298" s="24">
        <v>478.17879806728098</v>
      </c>
      <c r="P298" s="24">
        <v>513.78394203629944</v>
      </c>
      <c r="Q298" s="21"/>
      <c r="R298" s="21"/>
    </row>
    <row r="299" spans="1:18" x14ac:dyDescent="0.35">
      <c r="A299" s="39" t="s">
        <v>62</v>
      </c>
      <c r="B299" s="35" t="s">
        <v>34</v>
      </c>
      <c r="C299" s="36" t="s">
        <v>37</v>
      </c>
      <c r="D299" s="24">
        <v>146.23651400938675</v>
      </c>
      <c r="E299" s="24">
        <v>154.27386616318279</v>
      </c>
      <c r="F299" s="24">
        <v>163.12875851337571</v>
      </c>
      <c r="G299" s="24">
        <v>172.61598542833613</v>
      </c>
      <c r="H299" s="24">
        <v>182.79416172437394</v>
      </c>
      <c r="I299" s="24">
        <v>193.79884882465572</v>
      </c>
      <c r="J299" s="24">
        <v>205.61284774352552</v>
      </c>
      <c r="K299" s="24">
        <v>218.37895430133776</v>
      </c>
      <c r="L299" s="24">
        <v>232.27776627199944</v>
      </c>
      <c r="M299" s="24">
        <v>247.24750809401868</v>
      </c>
      <c r="N299" s="24">
        <v>263.48702893003338</v>
      </c>
      <c r="O299" s="24">
        <v>281.12807984143353</v>
      </c>
      <c r="P299" s="24">
        <v>300.44356498276835</v>
      </c>
      <c r="Q299" s="14"/>
      <c r="R299" s="14"/>
    </row>
    <row r="300" spans="1:18" x14ac:dyDescent="0.35">
      <c r="A300" s="39" t="s">
        <v>62</v>
      </c>
      <c r="B300" s="35" t="s">
        <v>34</v>
      </c>
      <c r="C300" s="36" t="s">
        <v>38</v>
      </c>
      <c r="D300" s="24">
        <v>55.24452124541277</v>
      </c>
      <c r="E300" s="24">
        <v>57.794825186818542</v>
      </c>
      <c r="F300" s="24">
        <v>60.694254437735829</v>
      </c>
      <c r="G300" s="24">
        <v>63.782634197272884</v>
      </c>
      <c r="H300" s="24">
        <v>67.098638860597717</v>
      </c>
      <c r="I300" s="24">
        <v>70.64283858961771</v>
      </c>
      <c r="J300" s="24">
        <v>74.447699828588043</v>
      </c>
      <c r="K300" s="24">
        <v>78.591944779605598</v>
      </c>
      <c r="L300" s="24">
        <v>83.02566695984676</v>
      </c>
      <c r="M300" s="24">
        <v>87.83748001944484</v>
      </c>
      <c r="N300" s="24">
        <v>92.997903416876753</v>
      </c>
      <c r="O300" s="24">
        <v>98.575044928920391</v>
      </c>
      <c r="P300" s="24">
        <v>104.69540006553443</v>
      </c>
      <c r="Q300" s="14"/>
      <c r="R300" s="14"/>
    </row>
    <row r="301" spans="1:18" x14ac:dyDescent="0.35">
      <c r="A301" s="39" t="s">
        <v>62</v>
      </c>
      <c r="B301" s="35" t="s">
        <v>22</v>
      </c>
      <c r="C301" s="36" t="s">
        <v>39</v>
      </c>
      <c r="D301" s="24">
        <v>165.34993889605607</v>
      </c>
      <c r="E301" s="24">
        <v>174.73982533151604</v>
      </c>
      <c r="F301" s="24">
        <v>184.74871179291597</v>
      </c>
      <c r="G301" s="24">
        <v>195.52655127340506</v>
      </c>
      <c r="H301" s="24">
        <v>207.17201039917097</v>
      </c>
      <c r="I301" s="24">
        <v>219.76336406912424</v>
      </c>
      <c r="J301" s="24">
        <v>233.04422017165655</v>
      </c>
      <c r="K301" s="24">
        <v>247.46952185195914</v>
      </c>
      <c r="L301" s="24">
        <v>263.14606539544604</v>
      </c>
      <c r="M301" s="24">
        <v>279.87131208770211</v>
      </c>
      <c r="N301" s="24">
        <v>298.07092867639199</v>
      </c>
      <c r="O301" s="24">
        <v>317.89768692498012</v>
      </c>
      <c r="P301" s="24">
        <v>339.27039662162201</v>
      </c>
      <c r="Q301" s="14"/>
      <c r="R301" s="14"/>
    </row>
    <row r="302" spans="1:18" x14ac:dyDescent="0.35">
      <c r="A302" s="39" t="s">
        <v>62</v>
      </c>
      <c r="B302" s="35" t="s">
        <v>22</v>
      </c>
      <c r="C302" s="36" t="s">
        <v>40</v>
      </c>
      <c r="D302" s="24">
        <v>173.49806844080302</v>
      </c>
      <c r="E302" s="24">
        <v>182.54609340508526</v>
      </c>
      <c r="F302" s="24">
        <v>192.11595069669875</v>
      </c>
      <c r="G302" s="24">
        <v>202.29932833939685</v>
      </c>
      <c r="H302" s="24">
        <v>213.20691756296438</v>
      </c>
      <c r="I302" s="24">
        <v>224.85259484945863</v>
      </c>
      <c r="J302" s="24">
        <v>237.19666049401633</v>
      </c>
      <c r="K302" s="24">
        <v>250.43100474032104</v>
      </c>
      <c r="L302" s="24">
        <v>264.79309083560617</v>
      </c>
      <c r="M302" s="24">
        <v>280.1493207528024</v>
      </c>
      <c r="N302" s="24">
        <v>296.7678043276544</v>
      </c>
      <c r="O302" s="24">
        <v>314.67786260767252</v>
      </c>
      <c r="P302" s="24">
        <v>334.00284209794569</v>
      </c>
      <c r="Q302" s="14"/>
      <c r="R302" s="14"/>
    </row>
    <row r="303" spans="1:18" x14ac:dyDescent="0.35">
      <c r="A303" s="39" t="s">
        <v>62</v>
      </c>
      <c r="B303" s="35" t="s">
        <v>22</v>
      </c>
      <c r="C303" s="36" t="s">
        <v>41</v>
      </c>
      <c r="D303" s="24">
        <v>113.27920339747037</v>
      </c>
      <c r="E303" s="24">
        <v>118.36334208780238</v>
      </c>
      <c r="F303" s="24">
        <v>123.72256974452904</v>
      </c>
      <c r="G303" s="24">
        <v>129.36495649760329</v>
      </c>
      <c r="H303" s="24">
        <v>135.30897114610474</v>
      </c>
      <c r="I303" s="24">
        <v>141.61381468586134</v>
      </c>
      <c r="J303" s="24">
        <v>148.37037455576069</v>
      </c>
      <c r="K303" s="24">
        <v>155.53483578297812</v>
      </c>
      <c r="L303" s="24">
        <v>163.2773880325143</v>
      </c>
      <c r="M303" s="24">
        <v>171.66148822316526</v>
      </c>
      <c r="N303" s="24">
        <v>180.70137766252657</v>
      </c>
      <c r="O303" s="24">
        <v>190.3394741601204</v>
      </c>
      <c r="P303" s="24">
        <v>200.82474744559539</v>
      </c>
      <c r="Q303" s="14"/>
      <c r="R303" s="14"/>
    </row>
    <row r="304" spans="1:18" x14ac:dyDescent="0.35">
      <c r="A304" s="39" t="s">
        <v>62</v>
      </c>
      <c r="B304" s="35" t="s">
        <v>22</v>
      </c>
      <c r="C304" s="36" t="s">
        <v>42</v>
      </c>
      <c r="D304" s="24">
        <v>184.74571569505082</v>
      </c>
      <c r="E304" s="24">
        <v>196.76713544268276</v>
      </c>
      <c r="F304" s="24">
        <v>209.62465564585597</v>
      </c>
      <c r="G304" s="24">
        <v>223.44435402822063</v>
      </c>
      <c r="H304" s="24">
        <v>238.37883296983946</v>
      </c>
      <c r="I304" s="24">
        <v>254.4791743703278</v>
      </c>
      <c r="J304" s="24">
        <v>271.73743950814639</v>
      </c>
      <c r="K304" s="24">
        <v>290.40969377704238</v>
      </c>
      <c r="L304" s="24">
        <v>310.81648650115147</v>
      </c>
      <c r="M304" s="24">
        <v>332.85736141581157</v>
      </c>
      <c r="N304" s="24">
        <v>356.90284363139148</v>
      </c>
      <c r="O304" s="24">
        <v>383.05308467301165</v>
      </c>
      <c r="P304" s="24">
        <v>411.52597628642656</v>
      </c>
      <c r="Q304" s="14"/>
      <c r="R304" s="14"/>
    </row>
    <row r="305" spans="1:18" x14ac:dyDescent="0.35">
      <c r="A305" s="39" t="s">
        <v>63</v>
      </c>
      <c r="B305" s="35" t="s">
        <v>24</v>
      </c>
      <c r="C305" s="36" t="s">
        <v>25</v>
      </c>
      <c r="D305" s="24">
        <v>34.605688384395052</v>
      </c>
      <c r="E305" s="24">
        <v>35.503463938376825</v>
      </c>
      <c r="F305" s="24">
        <v>36.479288526464053</v>
      </c>
      <c r="G305" s="24">
        <v>37.5519552135422</v>
      </c>
      <c r="H305" s="24">
        <v>38.698765671758949</v>
      </c>
      <c r="I305" s="24">
        <v>39.98548152340895</v>
      </c>
      <c r="J305" s="24">
        <v>41.33661010953567</v>
      </c>
      <c r="K305" s="24">
        <v>42.840484000206111</v>
      </c>
      <c r="L305" s="24">
        <v>44.468361533026467</v>
      </c>
      <c r="M305" s="24">
        <v>46.23219938760748</v>
      </c>
      <c r="N305" s="24">
        <v>48.172366902164562</v>
      </c>
      <c r="O305" s="24">
        <v>50.309285905313722</v>
      </c>
      <c r="P305" s="24">
        <v>52.634532339633871</v>
      </c>
      <c r="Q305" s="14"/>
      <c r="R305" s="14"/>
    </row>
    <row r="306" spans="1:18" x14ac:dyDescent="0.35">
      <c r="A306" s="39" t="s">
        <v>63</v>
      </c>
      <c r="B306" s="35" t="s">
        <v>24</v>
      </c>
      <c r="C306" s="36" t="s">
        <v>26</v>
      </c>
      <c r="D306" s="24">
        <v>345.70208940090015</v>
      </c>
      <c r="E306" s="24">
        <v>358.84702707717554</v>
      </c>
      <c r="F306" s="24">
        <v>373.36590416144583</v>
      </c>
      <c r="G306" s="24">
        <v>388.756222867394</v>
      </c>
      <c r="H306" s="24">
        <v>405.09441863740335</v>
      </c>
      <c r="I306" s="24">
        <v>422.6209033376403</v>
      </c>
      <c r="J306" s="24">
        <v>441.22580607398481</v>
      </c>
      <c r="K306" s="24">
        <v>461.14743556099995</v>
      </c>
      <c r="L306" s="24">
        <v>482.68668614502957</v>
      </c>
      <c r="M306" s="24">
        <v>505.61920516287336</v>
      </c>
      <c r="N306" s="24">
        <v>530.26500549998741</v>
      </c>
      <c r="O306" s="24">
        <v>556.78611531400168</v>
      </c>
      <c r="P306" s="24">
        <v>585.61072698925807</v>
      </c>
      <c r="Q306" s="21"/>
      <c r="R306" s="21"/>
    </row>
    <row r="307" spans="1:18" x14ac:dyDescent="0.35">
      <c r="A307" s="39" t="s">
        <v>63</v>
      </c>
      <c r="B307" s="35" t="s">
        <v>27</v>
      </c>
      <c r="C307" s="36" t="s">
        <v>28</v>
      </c>
      <c r="D307" s="24">
        <v>137.68408224781479</v>
      </c>
      <c r="E307" s="24">
        <v>141.59659925514333</v>
      </c>
      <c r="F307" s="24">
        <v>146.02677140207288</v>
      </c>
      <c r="G307" s="24">
        <v>150.74164889590185</v>
      </c>
      <c r="H307" s="24">
        <v>155.72702837408502</v>
      </c>
      <c r="I307" s="24">
        <v>161.14659406267936</v>
      </c>
      <c r="J307" s="24">
        <v>166.73405401976748</v>
      </c>
      <c r="K307" s="24">
        <v>172.59900113867974</v>
      </c>
      <c r="L307" s="24">
        <v>179.01755439154584</v>
      </c>
      <c r="M307" s="24">
        <v>185.61700150441465</v>
      </c>
      <c r="N307" s="24">
        <v>192.61944495054172</v>
      </c>
      <c r="O307" s="24">
        <v>200.10969197976777</v>
      </c>
      <c r="P307" s="24">
        <v>208.13867266937621</v>
      </c>
      <c r="Q307" s="21"/>
      <c r="R307" s="21"/>
    </row>
    <row r="308" spans="1:18" x14ac:dyDescent="0.35">
      <c r="A308" s="39" t="s">
        <v>63</v>
      </c>
      <c r="B308" s="35" t="s">
        <v>27</v>
      </c>
      <c r="C308" s="36" t="s">
        <v>29</v>
      </c>
      <c r="D308" s="24">
        <v>75.894735795949686</v>
      </c>
      <c r="E308" s="24">
        <v>79.631866619444878</v>
      </c>
      <c r="F308" s="24">
        <v>83.584574097669844</v>
      </c>
      <c r="G308" s="24">
        <v>87.760847693552719</v>
      </c>
      <c r="H308" s="24">
        <v>92.175844381012993</v>
      </c>
      <c r="I308" s="24">
        <v>96.872700838908074</v>
      </c>
      <c r="J308" s="24">
        <v>101.91692587771273</v>
      </c>
      <c r="K308" s="24">
        <v>107.28256384858381</v>
      </c>
      <c r="L308" s="24">
        <v>113.09080675896735</v>
      </c>
      <c r="M308" s="24">
        <v>119.39090400571344</v>
      </c>
      <c r="N308" s="24">
        <v>126.19864865545702</v>
      </c>
      <c r="O308" s="24">
        <v>133.47988692092446</v>
      </c>
      <c r="P308" s="24">
        <v>141.41482788093427</v>
      </c>
      <c r="Q308" s="21"/>
      <c r="R308" s="21"/>
    </row>
    <row r="309" spans="1:18" x14ac:dyDescent="0.35">
      <c r="A309" s="39" t="s">
        <v>63</v>
      </c>
      <c r="B309" s="35" t="s">
        <v>27</v>
      </c>
      <c r="C309" s="36" t="s">
        <v>30</v>
      </c>
      <c r="D309" s="24">
        <v>61.554392314615043</v>
      </c>
      <c r="E309" s="24">
        <v>64.561975709454586</v>
      </c>
      <c r="F309" s="24">
        <v>67.974998302371773</v>
      </c>
      <c r="G309" s="24">
        <v>71.617158235505656</v>
      </c>
      <c r="H309" s="24">
        <v>75.533599969419413</v>
      </c>
      <c r="I309" s="24">
        <v>79.727028738403618</v>
      </c>
      <c r="J309" s="24">
        <v>84.23616573112588</v>
      </c>
      <c r="K309" s="24">
        <v>89.152456575718446</v>
      </c>
      <c r="L309" s="24">
        <v>94.422357864641981</v>
      </c>
      <c r="M309" s="24">
        <v>100.14929909785404</v>
      </c>
      <c r="N309" s="24">
        <v>106.30310609918908</v>
      </c>
      <c r="O309" s="24">
        <v>112.96483174353939</v>
      </c>
      <c r="P309" s="24">
        <v>120.28325133612014</v>
      </c>
      <c r="Q309" s="21"/>
      <c r="R309" s="21"/>
    </row>
    <row r="310" spans="1:18" x14ac:dyDescent="0.35">
      <c r="A310" s="39" t="s">
        <v>63</v>
      </c>
      <c r="B310" s="35" t="s">
        <v>27</v>
      </c>
      <c r="C310" s="36" t="s">
        <v>31</v>
      </c>
      <c r="D310" s="24">
        <v>51.927784550326713</v>
      </c>
      <c r="E310" s="24">
        <v>53.931540923047166</v>
      </c>
      <c r="F310" s="24">
        <v>56.150456752038501</v>
      </c>
      <c r="G310" s="24">
        <v>58.477447826687339</v>
      </c>
      <c r="H310" s="24">
        <v>60.932804205647983</v>
      </c>
      <c r="I310" s="24">
        <v>63.555232949964932</v>
      </c>
      <c r="J310" s="24">
        <v>66.400129536820728</v>
      </c>
      <c r="K310" s="24">
        <v>69.521700901620633</v>
      </c>
      <c r="L310" s="24">
        <v>72.85477291640143</v>
      </c>
      <c r="M310" s="24">
        <v>76.416861122238586</v>
      </c>
      <c r="N310" s="24">
        <v>80.302724566058416</v>
      </c>
      <c r="O310" s="24">
        <v>84.549793445844074</v>
      </c>
      <c r="P310" s="24">
        <v>89.200735420971682</v>
      </c>
      <c r="Q310" s="21"/>
      <c r="R310" s="21"/>
    </row>
    <row r="311" spans="1:18" x14ac:dyDescent="0.35">
      <c r="A311" s="39" t="s">
        <v>63</v>
      </c>
      <c r="B311" s="35" t="s">
        <v>27</v>
      </c>
      <c r="C311" s="36" t="s">
        <v>32</v>
      </c>
      <c r="D311" s="24">
        <v>32.791191656953757</v>
      </c>
      <c r="E311" s="24">
        <v>33.391419741508209</v>
      </c>
      <c r="F311" s="24">
        <v>34.054135302717988</v>
      </c>
      <c r="G311" s="24">
        <v>34.795369903920495</v>
      </c>
      <c r="H311" s="24">
        <v>35.59221338159481</v>
      </c>
      <c r="I311" s="24">
        <v>36.503768379381434</v>
      </c>
      <c r="J311" s="24">
        <v>37.458415895925775</v>
      </c>
      <c r="K311" s="24">
        <v>38.535072232687405</v>
      </c>
      <c r="L311" s="24">
        <v>39.705001902276514</v>
      </c>
      <c r="M311" s="24">
        <v>40.976616280618707</v>
      </c>
      <c r="N311" s="24">
        <v>42.383231516911295</v>
      </c>
      <c r="O311" s="24">
        <v>43.93960302316205</v>
      </c>
      <c r="P311" s="24">
        <v>45.634818302270247</v>
      </c>
      <c r="Q311" s="21"/>
      <c r="R311" s="21"/>
    </row>
    <row r="312" spans="1:18" x14ac:dyDescent="0.35">
      <c r="A312" s="39" t="s">
        <v>63</v>
      </c>
      <c r="B312" s="35" t="s">
        <v>27</v>
      </c>
      <c r="C312" s="36" t="s">
        <v>33</v>
      </c>
      <c r="D312" s="24">
        <v>20.455591219635217</v>
      </c>
      <c r="E312" s="24">
        <v>21.237088766954226</v>
      </c>
      <c r="F312" s="24">
        <v>22.054256831038906</v>
      </c>
      <c r="G312" s="24">
        <v>22.915705525368182</v>
      </c>
      <c r="H312" s="24">
        <v>23.831693997402017</v>
      </c>
      <c r="I312" s="24">
        <v>24.801059891711844</v>
      </c>
      <c r="J312" s="24">
        <v>25.816725122167867</v>
      </c>
      <c r="K312" s="24">
        <v>26.897124863916012</v>
      </c>
      <c r="L312" s="24">
        <v>28.06455384422285</v>
      </c>
      <c r="M312" s="24">
        <v>29.300722539641448</v>
      </c>
      <c r="N312" s="24">
        <v>30.630216613994413</v>
      </c>
      <c r="O312" s="24">
        <v>32.051594106077637</v>
      </c>
      <c r="P312" s="24">
        <v>33.572953719219392</v>
      </c>
      <c r="Q312" s="21"/>
      <c r="R312" s="21"/>
    </row>
    <row r="313" spans="1:18" x14ac:dyDescent="0.35">
      <c r="A313" s="39" t="s">
        <v>63</v>
      </c>
      <c r="B313" s="35" t="s">
        <v>34</v>
      </c>
      <c r="C313" s="36" t="s">
        <v>35</v>
      </c>
      <c r="D313" s="24">
        <v>136.10233660977994</v>
      </c>
      <c r="E313" s="24">
        <v>139.95952642880485</v>
      </c>
      <c r="F313" s="24">
        <v>144.24310733248075</v>
      </c>
      <c r="G313" s="24">
        <v>148.94295783147976</v>
      </c>
      <c r="H313" s="24">
        <v>153.99623495527931</v>
      </c>
      <c r="I313" s="24">
        <v>159.52931921169852</v>
      </c>
      <c r="J313" s="24">
        <v>165.19976137368189</v>
      </c>
      <c r="K313" s="24">
        <v>170.87005813760771</v>
      </c>
      <c r="L313" s="24">
        <v>177.19882969936896</v>
      </c>
      <c r="M313" s="24">
        <v>183.81490218582053</v>
      </c>
      <c r="N313" s="24">
        <v>190.69275624187537</v>
      </c>
      <c r="O313" s="24">
        <v>197.82665769357652</v>
      </c>
      <c r="P313" s="24">
        <v>205.42194446304507</v>
      </c>
      <c r="Q313" s="21"/>
      <c r="R313" s="21"/>
    </row>
    <row r="314" spans="1:18" x14ac:dyDescent="0.35">
      <c r="A314" s="39" t="s">
        <v>63</v>
      </c>
      <c r="B314" s="35" t="s">
        <v>34</v>
      </c>
      <c r="C314" s="36" t="s">
        <v>36</v>
      </c>
      <c r="D314" s="24">
        <v>129.39699959819959</v>
      </c>
      <c r="E314" s="24">
        <v>135.21569036773917</v>
      </c>
      <c r="F314" s="24">
        <v>141.64162265349552</v>
      </c>
      <c r="G314" s="24">
        <v>148.41527130590663</v>
      </c>
      <c r="H314" s="24">
        <v>155.59389041879228</v>
      </c>
      <c r="I314" s="24">
        <v>163.28309475315049</v>
      </c>
      <c r="J314" s="24">
        <v>171.63387589667005</v>
      </c>
      <c r="K314" s="24">
        <v>180.79773486408482</v>
      </c>
      <c r="L314" s="24">
        <v>190.61926029224261</v>
      </c>
      <c r="M314" s="24">
        <v>201.15542981963006</v>
      </c>
      <c r="N314" s="24">
        <v>212.6678046055606</v>
      </c>
      <c r="O314" s="24">
        <v>225.27232871873139</v>
      </c>
      <c r="P314" s="24">
        <v>239.1015029315119</v>
      </c>
      <c r="Q314" s="21"/>
      <c r="R314" s="21"/>
    </row>
    <row r="315" spans="1:18" x14ac:dyDescent="0.35">
      <c r="A315" s="39" t="s">
        <v>63</v>
      </c>
      <c r="B315" s="35" t="s">
        <v>34</v>
      </c>
      <c r="C315" s="36" t="s">
        <v>37</v>
      </c>
      <c r="D315" s="24">
        <v>77.857569404670357</v>
      </c>
      <c r="E315" s="24">
        <v>80.989975102140122</v>
      </c>
      <c r="F315" s="24">
        <v>84.419044555947792</v>
      </c>
      <c r="G315" s="24">
        <v>88.000756986714592</v>
      </c>
      <c r="H315" s="24">
        <v>91.776430515134763</v>
      </c>
      <c r="I315" s="24">
        <v>95.797873274591979</v>
      </c>
      <c r="J315" s="24">
        <v>100.07065164486144</v>
      </c>
      <c r="K315" s="24">
        <v>104.81086397921715</v>
      </c>
      <c r="L315" s="24">
        <v>109.86224142981678</v>
      </c>
      <c r="M315" s="24">
        <v>115.29670842685211</v>
      </c>
      <c r="N315" s="24">
        <v>121.20232152480985</v>
      </c>
      <c r="O315" s="24">
        <v>127.63174891610143</v>
      </c>
      <c r="P315" s="24">
        <v>134.64476525941114</v>
      </c>
      <c r="Q315" s="14"/>
      <c r="R315" s="14"/>
    </row>
    <row r="316" spans="1:18" x14ac:dyDescent="0.35">
      <c r="A316" s="39" t="s">
        <v>63</v>
      </c>
      <c r="B316" s="35" t="s">
        <v>34</v>
      </c>
      <c r="C316" s="36" t="s">
        <v>38</v>
      </c>
      <c r="D316" s="24">
        <v>36.950872172645347</v>
      </c>
      <c r="E316" s="24">
        <v>38.185299116868251</v>
      </c>
      <c r="F316" s="24">
        <v>39.54141814598583</v>
      </c>
      <c r="G316" s="24">
        <v>40.949191956835264</v>
      </c>
      <c r="H316" s="24">
        <v>42.426628419955911</v>
      </c>
      <c r="I316" s="24">
        <v>43.996097621608243</v>
      </c>
      <c r="J316" s="24">
        <v>45.658127268307112</v>
      </c>
      <c r="K316" s="24">
        <v>47.509262580296443</v>
      </c>
      <c r="L316" s="24">
        <v>49.474716256627616</v>
      </c>
      <c r="M316" s="24">
        <v>51.584364118178222</v>
      </c>
      <c r="N316" s="24">
        <v>53.87449002990607</v>
      </c>
      <c r="O316" s="24">
        <v>56.364665890906039</v>
      </c>
      <c r="P316" s="24">
        <v>59.077046674923849</v>
      </c>
      <c r="Q316" s="14"/>
      <c r="R316" s="14"/>
    </row>
    <row r="317" spans="1:18" x14ac:dyDescent="0.35">
      <c r="A317" s="39" t="s">
        <v>63</v>
      </c>
      <c r="B317" s="35" t="s">
        <v>22</v>
      </c>
      <c r="C317" s="36" t="s">
        <v>39</v>
      </c>
      <c r="D317" s="24">
        <v>104.36214998622063</v>
      </c>
      <c r="E317" s="24">
        <v>108.38446443361232</v>
      </c>
      <c r="F317" s="24">
        <v>112.63374256107335</v>
      </c>
      <c r="G317" s="24">
        <v>117.24262615363472</v>
      </c>
      <c r="H317" s="24">
        <v>122.13188432188144</v>
      </c>
      <c r="I317" s="24">
        <v>127.57267473116286</v>
      </c>
      <c r="J317" s="24">
        <v>133.32893388603907</v>
      </c>
      <c r="K317" s="24">
        <v>139.35370925720036</v>
      </c>
      <c r="L317" s="24">
        <v>146.100949887105</v>
      </c>
      <c r="M317" s="24">
        <v>153.07243836295459</v>
      </c>
      <c r="N317" s="24">
        <v>160.65939673516414</v>
      </c>
      <c r="O317" s="24">
        <v>168.89664160810105</v>
      </c>
      <c r="P317" s="24">
        <v>177.864187676482</v>
      </c>
      <c r="Q317" s="14"/>
      <c r="R317" s="14"/>
    </row>
    <row r="318" spans="1:18" x14ac:dyDescent="0.35">
      <c r="A318" s="39" t="s">
        <v>63</v>
      </c>
      <c r="B318" s="35" t="s">
        <v>22</v>
      </c>
      <c r="C318" s="36" t="s">
        <v>40</v>
      </c>
      <c r="D318" s="24">
        <v>89.06533472794375</v>
      </c>
      <c r="E318" s="24">
        <v>92.239975708913008</v>
      </c>
      <c r="F318" s="24">
        <v>95.749878013052466</v>
      </c>
      <c r="G318" s="24">
        <v>99.448373612818642</v>
      </c>
      <c r="H318" s="24">
        <v>103.35943262560389</v>
      </c>
      <c r="I318" s="24">
        <v>107.47651986215361</v>
      </c>
      <c r="J318" s="24">
        <v>111.79188253437587</v>
      </c>
      <c r="K318" s="24">
        <v>116.33732986546364</v>
      </c>
      <c r="L318" s="24">
        <v>121.18943526449002</v>
      </c>
      <c r="M318" s="24">
        <v>126.40983276439164</v>
      </c>
      <c r="N318" s="24">
        <v>131.96315824370896</v>
      </c>
      <c r="O318" s="24">
        <v>137.83753952538882</v>
      </c>
      <c r="P318" s="24">
        <v>144.09725126510054</v>
      </c>
      <c r="Q318" s="14"/>
      <c r="R318" s="14"/>
    </row>
    <row r="319" spans="1:18" x14ac:dyDescent="0.35">
      <c r="A319" s="39" t="s">
        <v>63</v>
      </c>
      <c r="B319" s="35" t="s">
        <v>22</v>
      </c>
      <c r="C319" s="36" t="s">
        <v>41</v>
      </c>
      <c r="D319" s="24">
        <v>77.628063204607059</v>
      </c>
      <c r="E319" s="24">
        <v>79.661354661499772</v>
      </c>
      <c r="F319" s="24">
        <v>81.915743495775189</v>
      </c>
      <c r="G319" s="24">
        <v>84.241167725632806</v>
      </c>
      <c r="H319" s="24">
        <v>86.672808895579394</v>
      </c>
      <c r="I319" s="24">
        <v>89.253755267154631</v>
      </c>
      <c r="J319" s="24">
        <v>91.981550031627236</v>
      </c>
      <c r="K319" s="24">
        <v>95.04719211823209</v>
      </c>
      <c r="L319" s="24">
        <v>98.29356643986236</v>
      </c>
      <c r="M319" s="24">
        <v>101.77575544183578</v>
      </c>
      <c r="N319" s="24">
        <v>105.55990293799303</v>
      </c>
      <c r="O319" s="24">
        <v>109.67750853222581</v>
      </c>
      <c r="P319" s="24">
        <v>114.16414068985681</v>
      </c>
      <c r="Q319" s="14"/>
      <c r="R319" s="14"/>
    </row>
    <row r="320" spans="1:18" x14ac:dyDescent="0.35">
      <c r="A320" s="39" t="s">
        <v>63</v>
      </c>
      <c r="B320" s="35" t="s">
        <v>22</v>
      </c>
      <c r="C320" s="36" t="s">
        <v>42</v>
      </c>
      <c r="D320" s="24">
        <v>109.25222986652382</v>
      </c>
      <c r="E320" s="24">
        <v>114.06469621152728</v>
      </c>
      <c r="F320" s="24">
        <v>119.54582861800887</v>
      </c>
      <c r="G320" s="24">
        <v>125.37601058885002</v>
      </c>
      <c r="H320" s="24">
        <v>131.62905846609752</v>
      </c>
      <c r="I320" s="24">
        <v>138.30343500057816</v>
      </c>
      <c r="J320" s="24">
        <v>145.46004973147831</v>
      </c>
      <c r="K320" s="24">
        <v>153.24968832030999</v>
      </c>
      <c r="L320" s="24">
        <v>161.57109608659866</v>
      </c>
      <c r="M320" s="24">
        <v>170.59337798129886</v>
      </c>
      <c r="N320" s="24">
        <v>180.25491448528581</v>
      </c>
      <c r="O320" s="24">
        <v>190.68371155359964</v>
      </c>
      <c r="P320" s="24">
        <v>202.11967969745263</v>
      </c>
      <c r="Q320" s="14"/>
      <c r="R320" s="14"/>
    </row>
    <row r="321" spans="1:18" x14ac:dyDescent="0.35">
      <c r="A321" s="39" t="s">
        <v>64</v>
      </c>
      <c r="B321" s="35" t="s">
        <v>24</v>
      </c>
      <c r="C321" s="36" t="s">
        <v>25</v>
      </c>
      <c r="D321" s="24">
        <v>40.980064363354508</v>
      </c>
      <c r="E321" s="24">
        <v>42.66762196493319</v>
      </c>
      <c r="F321" s="24">
        <v>44.441581545962478</v>
      </c>
      <c r="G321" s="24">
        <v>46.303845333800361</v>
      </c>
      <c r="H321" s="24">
        <v>48.260003267530124</v>
      </c>
      <c r="I321" s="24">
        <v>50.330086334594156</v>
      </c>
      <c r="J321" s="24">
        <v>52.545095553817298</v>
      </c>
      <c r="K321" s="24">
        <v>54.887879676090257</v>
      </c>
      <c r="L321" s="24">
        <v>57.417039733548016</v>
      </c>
      <c r="M321" s="24">
        <v>60.152806362679677</v>
      </c>
      <c r="N321" s="24">
        <v>63.097864898399536</v>
      </c>
      <c r="O321" s="24">
        <v>66.229767255010429</v>
      </c>
      <c r="P321" s="24">
        <v>69.633030564154097</v>
      </c>
      <c r="Q321" s="14"/>
      <c r="R321" s="14"/>
    </row>
    <row r="322" spans="1:18" x14ac:dyDescent="0.35">
      <c r="A322" s="39" t="s">
        <v>64</v>
      </c>
      <c r="B322" s="35" t="s">
        <v>24</v>
      </c>
      <c r="C322" s="36" t="s">
        <v>26</v>
      </c>
      <c r="D322" s="24">
        <v>363.90458474622767</v>
      </c>
      <c r="E322" s="24">
        <v>380.47114968468588</v>
      </c>
      <c r="F322" s="24">
        <v>398.59352013823741</v>
      </c>
      <c r="G322" s="24">
        <v>417.61429866740747</v>
      </c>
      <c r="H322" s="24">
        <v>437.74204373680146</v>
      </c>
      <c r="I322" s="24">
        <v>459.23945797714396</v>
      </c>
      <c r="J322" s="24">
        <v>482.15274140335339</v>
      </c>
      <c r="K322" s="24">
        <v>507.54320257162254</v>
      </c>
      <c r="L322" s="24">
        <v>534.6902325708968</v>
      </c>
      <c r="M322" s="24">
        <v>563.96888346940057</v>
      </c>
      <c r="N322" s="24">
        <v>595.84043694976663</v>
      </c>
      <c r="O322" s="24">
        <v>630.6011875420553</v>
      </c>
      <c r="P322" s="24">
        <v>668.58811904395429</v>
      </c>
      <c r="Q322" s="14"/>
      <c r="R322" s="14"/>
    </row>
    <row r="323" spans="1:18" x14ac:dyDescent="0.35">
      <c r="A323" s="39" t="s">
        <v>64</v>
      </c>
      <c r="B323" s="35" t="s">
        <v>27</v>
      </c>
      <c r="C323" s="36" t="s">
        <v>28</v>
      </c>
      <c r="D323" s="24">
        <v>130.52898884122345</v>
      </c>
      <c r="E323" s="24">
        <v>135.74943282350773</v>
      </c>
      <c r="F323" s="24">
        <v>140.99889230130196</v>
      </c>
      <c r="G323" s="24">
        <v>146.29398670888366</v>
      </c>
      <c r="H323" s="24">
        <v>151.68123887005186</v>
      </c>
      <c r="I323" s="24">
        <v>157.37129848823253</v>
      </c>
      <c r="J323" s="24">
        <v>163.24482710771355</v>
      </c>
      <c r="K323" s="24">
        <v>169.99031583560503</v>
      </c>
      <c r="L323" s="24">
        <v>177.13706179622227</v>
      </c>
      <c r="M323" s="24">
        <v>184.73811546323338</v>
      </c>
      <c r="N323" s="24">
        <v>193.17815605135274</v>
      </c>
      <c r="O323" s="24">
        <v>202.43434208094197</v>
      </c>
      <c r="P323" s="24">
        <v>212.41043954098996</v>
      </c>
      <c r="Q323" s="14"/>
      <c r="R323" s="14"/>
    </row>
    <row r="324" spans="1:18" x14ac:dyDescent="0.35">
      <c r="A324" s="39" t="s">
        <v>64</v>
      </c>
      <c r="B324" s="35" t="s">
        <v>27</v>
      </c>
      <c r="C324" s="36" t="s">
        <v>29</v>
      </c>
      <c r="D324" s="24">
        <v>86.639976350069162</v>
      </c>
      <c r="E324" s="24">
        <v>91.02329399610754</v>
      </c>
      <c r="F324" s="24">
        <v>95.992804026565736</v>
      </c>
      <c r="G324" s="24">
        <v>101.30241723453848</v>
      </c>
      <c r="H324" s="24">
        <v>107.01765075035381</v>
      </c>
      <c r="I324" s="24">
        <v>113.14431892203764</v>
      </c>
      <c r="J324" s="24">
        <v>119.73938075986756</v>
      </c>
      <c r="K324" s="24">
        <v>126.93510991654959</v>
      </c>
      <c r="L324" s="24">
        <v>134.65820482727833</v>
      </c>
      <c r="M324" s="24">
        <v>143.05873933827263</v>
      </c>
      <c r="N324" s="24">
        <v>152.0969147527579</v>
      </c>
      <c r="O324" s="24">
        <v>161.89180597027462</v>
      </c>
      <c r="P324" s="24">
        <v>172.66031127976834</v>
      </c>
      <c r="Q324" s="14"/>
      <c r="R324" s="14"/>
    </row>
    <row r="325" spans="1:18" x14ac:dyDescent="0.35">
      <c r="A325" s="39" t="s">
        <v>64</v>
      </c>
      <c r="B325" s="35" t="s">
        <v>27</v>
      </c>
      <c r="C325" s="36" t="s">
        <v>30</v>
      </c>
      <c r="D325" s="24">
        <v>73.084471769651572</v>
      </c>
      <c r="E325" s="24">
        <v>77.191029540595494</v>
      </c>
      <c r="F325" s="24">
        <v>81.725618539967684</v>
      </c>
      <c r="G325" s="24">
        <v>86.551017821832957</v>
      </c>
      <c r="H325" s="24">
        <v>91.708586269717344</v>
      </c>
      <c r="I325" s="24">
        <v>97.269783615423094</v>
      </c>
      <c r="J325" s="24">
        <v>103.33595706076031</v>
      </c>
      <c r="K325" s="24">
        <v>110.01284015992242</v>
      </c>
      <c r="L325" s="24">
        <v>117.22360237132384</v>
      </c>
      <c r="M325" s="24">
        <v>125.0183657754111</v>
      </c>
      <c r="N325" s="24">
        <v>133.57621000327526</v>
      </c>
      <c r="O325" s="24">
        <v>142.99200517254837</v>
      </c>
      <c r="P325" s="24">
        <v>153.37467619002325</v>
      </c>
      <c r="Q325" s="14"/>
      <c r="R325" s="14"/>
    </row>
    <row r="326" spans="1:18" x14ac:dyDescent="0.35">
      <c r="A326" s="39" t="s">
        <v>64</v>
      </c>
      <c r="B326" s="35" t="s">
        <v>27</v>
      </c>
      <c r="C326" s="36" t="s">
        <v>31</v>
      </c>
      <c r="D326" s="24">
        <v>58.470469786499834</v>
      </c>
      <c r="E326" s="24">
        <v>61.082928043529016</v>
      </c>
      <c r="F326" s="24">
        <v>64.056668685275923</v>
      </c>
      <c r="G326" s="24">
        <v>67.221084414191424</v>
      </c>
      <c r="H326" s="24">
        <v>70.616097429729379</v>
      </c>
      <c r="I326" s="24">
        <v>74.241300104125273</v>
      </c>
      <c r="J326" s="24">
        <v>78.12980492193752</v>
      </c>
      <c r="K326" s="24">
        <v>82.363077981766892</v>
      </c>
      <c r="L326" s="24">
        <v>86.887322682074085</v>
      </c>
      <c r="M326" s="24">
        <v>91.794003067847854</v>
      </c>
      <c r="N326" s="24">
        <v>97.050651819609712</v>
      </c>
      <c r="O326" s="24">
        <v>102.72681937659043</v>
      </c>
      <c r="P326" s="24">
        <v>108.95250804830684</v>
      </c>
      <c r="Q326" s="14"/>
      <c r="R326" s="14"/>
    </row>
    <row r="327" spans="1:18" x14ac:dyDescent="0.35">
      <c r="A327" s="39" t="s">
        <v>64</v>
      </c>
      <c r="B327" s="35" t="s">
        <v>27</v>
      </c>
      <c r="C327" s="36" t="s">
        <v>32</v>
      </c>
      <c r="D327" s="24">
        <v>37.632726333517198</v>
      </c>
      <c r="E327" s="24">
        <v>38.836400961978946</v>
      </c>
      <c r="F327" s="24">
        <v>40.172088999104524</v>
      </c>
      <c r="G327" s="24">
        <v>41.576804995843112</v>
      </c>
      <c r="H327" s="24">
        <v>43.05978136458377</v>
      </c>
      <c r="I327" s="24">
        <v>44.617406343431711</v>
      </c>
      <c r="J327" s="24">
        <v>46.245607286448681</v>
      </c>
      <c r="K327" s="24">
        <v>47.956728607252273</v>
      </c>
      <c r="L327" s="24">
        <v>49.781387967897359</v>
      </c>
      <c r="M327" s="24">
        <v>51.743629321747349</v>
      </c>
      <c r="N327" s="24">
        <v>53.827445993565952</v>
      </c>
      <c r="O327" s="24">
        <v>56.026627653752932</v>
      </c>
      <c r="P327" s="24">
        <v>58.365992608772721</v>
      </c>
      <c r="Q327" s="14"/>
      <c r="R327" s="14"/>
    </row>
    <row r="328" spans="1:18" x14ac:dyDescent="0.35">
      <c r="A328" s="39" t="s">
        <v>64</v>
      </c>
      <c r="B328" s="35" t="s">
        <v>27</v>
      </c>
      <c r="C328" s="36" t="s">
        <v>33</v>
      </c>
      <c r="D328" s="24">
        <v>18.528016028620979</v>
      </c>
      <c r="E328" s="24">
        <v>19.255686283900321</v>
      </c>
      <c r="F328" s="24">
        <v>20.089029131984063</v>
      </c>
      <c r="G328" s="24">
        <v>20.972832825918175</v>
      </c>
      <c r="H328" s="24">
        <v>21.918692319895353</v>
      </c>
      <c r="I328" s="24">
        <v>22.925436838487897</v>
      </c>
      <c r="J328" s="24">
        <v>24.002259820443083</v>
      </c>
      <c r="K328" s="24">
        <v>25.173009746616568</v>
      </c>
      <c r="L328" s="24">
        <v>26.419692659648948</v>
      </c>
      <c r="M328" s="24">
        <v>27.76883686556798</v>
      </c>
      <c r="N328" s="24">
        <v>29.208923227604551</v>
      </c>
      <c r="O328" s="24">
        <v>30.759354542957411</v>
      </c>
      <c r="P328" s="24">
        <v>32.457221940247337</v>
      </c>
      <c r="Q328" s="14"/>
      <c r="R328" s="14"/>
    </row>
    <row r="329" spans="1:18" x14ac:dyDescent="0.35">
      <c r="A329" s="39" t="s">
        <v>64</v>
      </c>
      <c r="B329" s="35" t="s">
        <v>34</v>
      </c>
      <c r="C329" s="36" t="s">
        <v>35</v>
      </c>
      <c r="D329" s="24">
        <v>140.7672978710732</v>
      </c>
      <c r="E329" s="24">
        <v>145.50177727165908</v>
      </c>
      <c r="F329" s="24">
        <v>150.53714092780439</v>
      </c>
      <c r="G329" s="24">
        <v>155.53361504170931</v>
      </c>
      <c r="H329" s="24">
        <v>160.62367653493152</v>
      </c>
      <c r="I329" s="24">
        <v>165.99735183921621</v>
      </c>
      <c r="J329" s="24">
        <v>171.78580866619899</v>
      </c>
      <c r="K329" s="24">
        <v>178.80615450853622</v>
      </c>
      <c r="L329" s="24">
        <v>186.15121532385723</v>
      </c>
      <c r="M329" s="24">
        <v>193.95626596405157</v>
      </c>
      <c r="N329" s="24">
        <v>202.67172077026379</v>
      </c>
      <c r="O329" s="24">
        <v>212.5107510751327</v>
      </c>
      <c r="P329" s="24">
        <v>223.6278382887765</v>
      </c>
      <c r="Q329" s="14"/>
      <c r="R329" s="14"/>
    </row>
    <row r="330" spans="1:18" x14ac:dyDescent="0.35">
      <c r="A330" s="39" t="s">
        <v>64</v>
      </c>
      <c r="B330" s="35" t="s">
        <v>34</v>
      </c>
      <c r="C330" s="36" t="s">
        <v>36</v>
      </c>
      <c r="D330" s="24">
        <v>145.13588562234409</v>
      </c>
      <c r="E330" s="24">
        <v>153.22680960860836</v>
      </c>
      <c r="F330" s="24">
        <v>162.13773491615231</v>
      </c>
      <c r="G330" s="24">
        <v>171.66006958771032</v>
      </c>
      <c r="H330" s="24">
        <v>181.86196598902086</v>
      </c>
      <c r="I330" s="24">
        <v>192.7620437764204</v>
      </c>
      <c r="J330" s="24">
        <v>204.37691185019014</v>
      </c>
      <c r="K330" s="24">
        <v>216.79550304049346</v>
      </c>
      <c r="L330" s="24">
        <v>230.19573823860958</v>
      </c>
      <c r="M330" s="24">
        <v>244.73941680687918</v>
      </c>
      <c r="N330" s="24">
        <v>260.41115730470619</v>
      </c>
      <c r="O330" s="24">
        <v>277.23855868532496</v>
      </c>
      <c r="P330" s="24">
        <v>295.40238866272608</v>
      </c>
      <c r="Q330" s="21"/>
      <c r="R330" s="21"/>
    </row>
    <row r="331" spans="1:18" x14ac:dyDescent="0.35">
      <c r="A331" s="39" t="s">
        <v>64</v>
      </c>
      <c r="B331" s="35" t="s">
        <v>34</v>
      </c>
      <c r="C331" s="36" t="s">
        <v>37</v>
      </c>
      <c r="D331" s="24">
        <v>84.885785662254349</v>
      </c>
      <c r="E331" s="24">
        <v>89.094397451949249</v>
      </c>
      <c r="F331" s="24">
        <v>93.726201272457942</v>
      </c>
      <c r="G331" s="24">
        <v>98.652673284251861</v>
      </c>
      <c r="H331" s="24">
        <v>103.90723764952608</v>
      </c>
      <c r="I331" s="24">
        <v>109.49416998917422</v>
      </c>
      <c r="J331" s="24">
        <v>115.41642729229643</v>
      </c>
      <c r="K331" s="24">
        <v>121.7176619154222</v>
      </c>
      <c r="L331" s="24">
        <v>128.49039198221766</v>
      </c>
      <c r="M331" s="24">
        <v>135.81589704262123</v>
      </c>
      <c r="N331" s="24">
        <v>143.67513686660573</v>
      </c>
      <c r="O331" s="24">
        <v>152.07310029637981</v>
      </c>
      <c r="P331" s="24">
        <v>161.09855303968797</v>
      </c>
      <c r="Q331" s="21"/>
      <c r="R331" s="21"/>
    </row>
    <row r="332" spans="1:18" x14ac:dyDescent="0.35">
      <c r="A332" s="39" t="s">
        <v>64</v>
      </c>
      <c r="B332" s="35" t="s">
        <v>34</v>
      </c>
      <c r="C332" s="36" t="s">
        <v>38</v>
      </c>
      <c r="D332" s="24">
        <v>34.095679953910576</v>
      </c>
      <c r="E332" s="24">
        <v>35.315787317402375</v>
      </c>
      <c r="F332" s="24">
        <v>36.634024567785275</v>
      </c>
      <c r="G332" s="24">
        <v>38.071786087536346</v>
      </c>
      <c r="H332" s="24">
        <v>39.609166830853013</v>
      </c>
      <c r="I332" s="24">
        <v>41.315978706927275</v>
      </c>
      <c r="J332" s="24">
        <v>43.11868914848516</v>
      </c>
      <c r="K332" s="24">
        <v>45.111762783260872</v>
      </c>
      <c r="L332" s="24">
        <v>47.269926759760324</v>
      </c>
      <c r="M332" s="24">
        <v>49.610110018528289</v>
      </c>
      <c r="N332" s="24">
        <v>52.180286906590403</v>
      </c>
      <c r="O332" s="24">
        <v>55.008544740228238</v>
      </c>
      <c r="P332" s="24">
        <v>58.092369616917878</v>
      </c>
      <c r="Q332" s="21"/>
      <c r="R332" s="21"/>
    </row>
    <row r="333" spans="1:18" x14ac:dyDescent="0.35">
      <c r="A333" s="39" t="s">
        <v>64</v>
      </c>
      <c r="B333" s="35" t="s">
        <v>22</v>
      </c>
      <c r="C333" s="36" t="s">
        <v>39</v>
      </c>
      <c r="D333" s="24">
        <v>105.55122791497507</v>
      </c>
      <c r="E333" s="24">
        <v>109.81928621311636</v>
      </c>
      <c r="F333" s="24">
        <v>114.68430004981752</v>
      </c>
      <c r="G333" s="24">
        <v>119.65112084708232</v>
      </c>
      <c r="H333" s="24">
        <v>124.85392587541276</v>
      </c>
      <c r="I333" s="24">
        <v>130.47154179846871</v>
      </c>
      <c r="J333" s="24">
        <v>136.43033891023833</v>
      </c>
      <c r="K333" s="24">
        <v>143.77854573981773</v>
      </c>
      <c r="L333" s="24">
        <v>151.45049157079399</v>
      </c>
      <c r="M333" s="24">
        <v>159.62094439103788</v>
      </c>
      <c r="N333" s="24">
        <v>168.75450047549884</v>
      </c>
      <c r="O333" s="24">
        <v>179.20203751087865</v>
      </c>
      <c r="P333" s="24">
        <v>190.86451112792724</v>
      </c>
      <c r="Q333" s="21"/>
      <c r="R333" s="21"/>
    </row>
    <row r="334" spans="1:18" x14ac:dyDescent="0.35">
      <c r="A334" s="39" t="s">
        <v>64</v>
      </c>
      <c r="B334" s="35" t="s">
        <v>22</v>
      </c>
      <c r="C334" s="36" t="s">
        <v>40</v>
      </c>
      <c r="D334" s="24">
        <v>106.45237569932144</v>
      </c>
      <c r="E334" s="24">
        <v>111.10936358286894</v>
      </c>
      <c r="F334" s="24">
        <v>116.01411206451768</v>
      </c>
      <c r="G334" s="24">
        <v>121.1733545592981</v>
      </c>
      <c r="H334" s="24">
        <v>126.60353324462837</v>
      </c>
      <c r="I334" s="24">
        <v>132.35912823902726</v>
      </c>
      <c r="J334" s="24">
        <v>138.52399666251583</v>
      </c>
      <c r="K334" s="24">
        <v>145.05586652711736</v>
      </c>
      <c r="L334" s="24">
        <v>152.11223185002203</v>
      </c>
      <c r="M334" s="24">
        <v>159.75046829096922</v>
      </c>
      <c r="N334" s="24">
        <v>167.98189931480871</v>
      </c>
      <c r="O334" s="24">
        <v>176.7510273440156</v>
      </c>
      <c r="P334" s="24">
        <v>186.28725594174077</v>
      </c>
      <c r="Q334" s="21"/>
      <c r="R334" s="21"/>
    </row>
    <row r="335" spans="1:18" x14ac:dyDescent="0.35">
      <c r="A335" s="39" t="s">
        <v>64</v>
      </c>
      <c r="B335" s="35" t="s">
        <v>22</v>
      </c>
      <c r="C335" s="36" t="s">
        <v>41</v>
      </c>
      <c r="D335" s="24">
        <v>75.432405459899528</v>
      </c>
      <c r="E335" s="24">
        <v>78.205296219413768</v>
      </c>
      <c r="F335" s="24">
        <v>81.111109642246973</v>
      </c>
      <c r="G335" s="24">
        <v>84.151446893010558</v>
      </c>
      <c r="H335" s="24">
        <v>87.334567846678382</v>
      </c>
      <c r="I335" s="24">
        <v>90.694709383262122</v>
      </c>
      <c r="J335" s="24">
        <v>94.285278545363624</v>
      </c>
      <c r="K335" s="24">
        <v>98.072354033435985</v>
      </c>
      <c r="L335" s="24">
        <v>102.15791474729592</v>
      </c>
      <c r="M335" s="24">
        <v>106.57392262747177</v>
      </c>
      <c r="N335" s="24">
        <v>111.32068209251598</v>
      </c>
      <c r="O335" s="24">
        <v>116.35411435408184</v>
      </c>
      <c r="P335" s="24">
        <v>121.81876463769991</v>
      </c>
      <c r="Q335" s="21"/>
      <c r="R335" s="21"/>
    </row>
    <row r="336" spans="1:18" x14ac:dyDescent="0.35">
      <c r="A336" s="39" t="s">
        <v>64</v>
      </c>
      <c r="B336" s="35" t="s">
        <v>22</v>
      </c>
      <c r="C336" s="36" t="s">
        <v>42</v>
      </c>
      <c r="D336" s="24">
        <v>117.44864003538621</v>
      </c>
      <c r="E336" s="24">
        <v>124.00482563421998</v>
      </c>
      <c r="F336" s="24">
        <v>131.22557992761773</v>
      </c>
      <c r="G336" s="24">
        <v>138.94222170181686</v>
      </c>
      <c r="H336" s="24">
        <v>147.21002003761203</v>
      </c>
      <c r="I336" s="24">
        <v>156.04416489098003</v>
      </c>
      <c r="J336" s="24">
        <v>165.45822283905287</v>
      </c>
      <c r="K336" s="24">
        <v>175.52431594734168</v>
      </c>
      <c r="L336" s="24">
        <v>186.38663413633287</v>
      </c>
      <c r="M336" s="24">
        <v>198.1763545226014</v>
      </c>
      <c r="N336" s="24">
        <v>210.88121996534264</v>
      </c>
      <c r="O336" s="24">
        <v>224.52377558808968</v>
      </c>
      <c r="P336" s="24">
        <v>239.25061790074039</v>
      </c>
      <c r="Q336" s="21"/>
      <c r="R336" s="21"/>
    </row>
    <row r="337" spans="1:18" x14ac:dyDescent="0.35">
      <c r="A337" s="39" t="s">
        <v>65</v>
      </c>
      <c r="B337" s="35" t="s">
        <v>24</v>
      </c>
      <c r="C337" s="36" t="s">
        <v>25</v>
      </c>
      <c r="D337" s="24">
        <v>11.47614589836428</v>
      </c>
      <c r="E337" s="24">
        <v>11.704664263733218</v>
      </c>
      <c r="F337" s="24">
        <v>11.965916644008699</v>
      </c>
      <c r="G337" s="24">
        <v>12.239878027693091</v>
      </c>
      <c r="H337" s="24">
        <v>12.528690678944386</v>
      </c>
      <c r="I337" s="24">
        <v>12.830647507246219</v>
      </c>
      <c r="J337" s="24">
        <v>13.14397432272521</v>
      </c>
      <c r="K337" s="24">
        <v>13.471632754621645</v>
      </c>
      <c r="L337" s="24">
        <v>13.821568093342915</v>
      </c>
      <c r="M337" s="24">
        <v>14.199516803927109</v>
      </c>
      <c r="N337" s="24">
        <v>14.599937901114656</v>
      </c>
      <c r="O337" s="24">
        <v>15.020179910761584</v>
      </c>
      <c r="P337" s="24">
        <v>15.466011925992177</v>
      </c>
      <c r="Q337" s="21"/>
      <c r="R337" s="21"/>
    </row>
    <row r="338" spans="1:18" x14ac:dyDescent="0.35">
      <c r="A338" s="39" t="s">
        <v>65</v>
      </c>
      <c r="B338" s="35" t="s">
        <v>24</v>
      </c>
      <c r="C338" s="36" t="s">
        <v>26</v>
      </c>
      <c r="D338" s="24">
        <v>127.55948107088487</v>
      </c>
      <c r="E338" s="24">
        <v>130.18673342183578</v>
      </c>
      <c r="F338" s="24">
        <v>133.06888826378847</v>
      </c>
      <c r="G338" s="24">
        <v>136.2702729975756</v>
      </c>
      <c r="H338" s="24">
        <v>139.70327382827779</v>
      </c>
      <c r="I338" s="24">
        <v>143.6013890117535</v>
      </c>
      <c r="J338" s="24">
        <v>147.68595336816597</v>
      </c>
      <c r="K338" s="24">
        <v>152.2693054964582</v>
      </c>
      <c r="L338" s="24">
        <v>157.2411825222344</v>
      </c>
      <c r="M338" s="24">
        <v>162.63743159922572</v>
      </c>
      <c r="N338" s="24">
        <v>168.59305278158854</v>
      </c>
      <c r="O338" s="24">
        <v>175.17039676978226</v>
      </c>
      <c r="P338" s="24">
        <v>182.33001690084822</v>
      </c>
      <c r="Q338" s="21"/>
      <c r="R338" s="21"/>
    </row>
    <row r="339" spans="1:18" x14ac:dyDescent="0.35">
      <c r="A339" s="39" t="s">
        <v>65</v>
      </c>
      <c r="B339" s="35" t="s">
        <v>27</v>
      </c>
      <c r="C339" s="36" t="s">
        <v>28</v>
      </c>
      <c r="D339" s="24">
        <v>50.609481911001552</v>
      </c>
      <c r="E339" s="24">
        <v>50.77044714597406</v>
      </c>
      <c r="F339" s="24">
        <v>50.981469811044008</v>
      </c>
      <c r="G339" s="24">
        <v>51.362605358484515</v>
      </c>
      <c r="H339" s="24">
        <v>51.819760718258422</v>
      </c>
      <c r="I339" s="24">
        <v>52.563034028137167</v>
      </c>
      <c r="J339" s="24">
        <v>53.261562524148331</v>
      </c>
      <c r="K339" s="24">
        <v>54.222083789669767</v>
      </c>
      <c r="L339" s="24">
        <v>55.307542983084403</v>
      </c>
      <c r="M339" s="24">
        <v>56.544540520442212</v>
      </c>
      <c r="N339" s="24">
        <v>58.074093939358306</v>
      </c>
      <c r="O339" s="24">
        <v>59.900400982893217</v>
      </c>
      <c r="P339" s="24">
        <v>61.932382081715247</v>
      </c>
      <c r="Q339" s="21"/>
      <c r="R339" s="21"/>
    </row>
    <row r="340" spans="1:18" x14ac:dyDescent="0.35">
      <c r="A340" s="39" t="s">
        <v>65</v>
      </c>
      <c r="B340" s="35" t="s">
        <v>27</v>
      </c>
      <c r="C340" s="36" t="s">
        <v>29</v>
      </c>
      <c r="D340" s="24">
        <v>28.440654819323171</v>
      </c>
      <c r="E340" s="24">
        <v>29.431602146033477</v>
      </c>
      <c r="F340" s="24">
        <v>30.485675017459283</v>
      </c>
      <c r="G340" s="24">
        <v>31.596885826474288</v>
      </c>
      <c r="H340" s="24">
        <v>32.760318761954217</v>
      </c>
      <c r="I340" s="24">
        <v>33.989587469290335</v>
      </c>
      <c r="J340" s="24">
        <v>35.317120398189218</v>
      </c>
      <c r="K340" s="24">
        <v>36.730089574541012</v>
      </c>
      <c r="L340" s="24">
        <v>38.247814814783659</v>
      </c>
      <c r="M340" s="24">
        <v>39.867251702648623</v>
      </c>
      <c r="N340" s="24">
        <v>41.583037818922136</v>
      </c>
      <c r="O340" s="24">
        <v>43.432379804276323</v>
      </c>
      <c r="P340" s="24">
        <v>45.428869240551251</v>
      </c>
      <c r="Q340" s="21"/>
      <c r="R340" s="21"/>
    </row>
    <row r="341" spans="1:18" x14ac:dyDescent="0.35">
      <c r="A341" s="39" t="s">
        <v>65</v>
      </c>
      <c r="B341" s="35" t="s">
        <v>27</v>
      </c>
      <c r="C341" s="36" t="s">
        <v>30</v>
      </c>
      <c r="D341" s="24">
        <v>21.349428080774796</v>
      </c>
      <c r="E341" s="24">
        <v>22.206773781354467</v>
      </c>
      <c r="F341" s="24">
        <v>23.152020255484352</v>
      </c>
      <c r="G341" s="24">
        <v>24.15080908036985</v>
      </c>
      <c r="H341" s="24">
        <v>25.209613322395995</v>
      </c>
      <c r="I341" s="24">
        <v>26.32757256926806</v>
      </c>
      <c r="J341" s="24">
        <v>27.503506875266567</v>
      </c>
      <c r="K341" s="24">
        <v>28.745942892842429</v>
      </c>
      <c r="L341" s="24">
        <v>30.074610136513979</v>
      </c>
      <c r="M341" s="24">
        <v>31.505865864564914</v>
      </c>
      <c r="N341" s="24">
        <v>33.032165815651098</v>
      </c>
      <c r="O341" s="24">
        <v>34.651704455404669</v>
      </c>
      <c r="P341" s="24">
        <v>36.381778090186351</v>
      </c>
      <c r="Q341" s="21"/>
      <c r="R341" s="21"/>
    </row>
    <row r="342" spans="1:18" x14ac:dyDescent="0.35">
      <c r="A342" s="39" t="s">
        <v>65</v>
      </c>
      <c r="B342" s="35" t="s">
        <v>27</v>
      </c>
      <c r="C342" s="36" t="s">
        <v>31</v>
      </c>
      <c r="D342" s="24">
        <v>20.188294499188228</v>
      </c>
      <c r="E342" s="24">
        <v>20.772347337328561</v>
      </c>
      <c r="F342" s="24">
        <v>21.393481219722545</v>
      </c>
      <c r="G342" s="24">
        <v>22.046793173172194</v>
      </c>
      <c r="H342" s="24">
        <v>22.728232300928276</v>
      </c>
      <c r="I342" s="24">
        <v>23.44668847607435</v>
      </c>
      <c r="J342" s="24">
        <v>24.223821574164116</v>
      </c>
      <c r="K342" s="24">
        <v>25.049749460609618</v>
      </c>
      <c r="L342" s="24">
        <v>25.936727779579112</v>
      </c>
      <c r="M342" s="24">
        <v>26.881558045348314</v>
      </c>
      <c r="N342" s="24">
        <v>27.879539088630374</v>
      </c>
      <c r="O342" s="24">
        <v>28.954604988705135</v>
      </c>
      <c r="P342" s="24">
        <v>30.114393346916795</v>
      </c>
      <c r="Q342" s="21"/>
      <c r="R342" s="21"/>
    </row>
    <row r="343" spans="1:18" x14ac:dyDescent="0.35">
      <c r="A343" s="39" t="s">
        <v>65</v>
      </c>
      <c r="B343" s="35" t="s">
        <v>27</v>
      </c>
      <c r="C343" s="36" t="s">
        <v>32</v>
      </c>
      <c r="D343" s="24">
        <v>10.218582275914896</v>
      </c>
      <c r="E343" s="24">
        <v>10.321837435315242</v>
      </c>
      <c r="F343" s="24">
        <v>10.437899672649161</v>
      </c>
      <c r="G343" s="24">
        <v>10.562204603711685</v>
      </c>
      <c r="H343" s="24">
        <v>10.701907104857719</v>
      </c>
      <c r="I343" s="24">
        <v>10.858677986392836</v>
      </c>
      <c r="J343" s="24">
        <v>11.027388503486673</v>
      </c>
      <c r="K343" s="24">
        <v>11.222580117949413</v>
      </c>
      <c r="L343" s="24">
        <v>11.43638662977601</v>
      </c>
      <c r="M343" s="24">
        <v>11.664824797344869</v>
      </c>
      <c r="N343" s="24">
        <v>11.920018138229491</v>
      </c>
      <c r="O343" s="24">
        <v>12.192476235185586</v>
      </c>
      <c r="P343" s="24">
        <v>12.489537079414161</v>
      </c>
      <c r="Q343" s="21"/>
      <c r="R343" s="21"/>
    </row>
    <row r="344" spans="1:18" x14ac:dyDescent="0.35">
      <c r="A344" s="39" t="s">
        <v>65</v>
      </c>
      <c r="B344" s="35" t="s">
        <v>27</v>
      </c>
      <c r="C344" s="36" t="s">
        <v>33</v>
      </c>
      <c r="D344" s="24">
        <v>8.2291853830465129</v>
      </c>
      <c r="E344" s="24">
        <v>8.3883898395631817</v>
      </c>
      <c r="F344" s="24">
        <v>8.5842589314378177</v>
      </c>
      <c r="G344" s="24">
        <v>8.7908529830561495</v>
      </c>
      <c r="H344" s="24">
        <v>9.0121322988275541</v>
      </c>
      <c r="I344" s="24">
        <v>9.2464759898369859</v>
      </c>
      <c r="J344" s="24">
        <v>9.4965278156362505</v>
      </c>
      <c r="K344" s="24">
        <v>9.7704924154675972</v>
      </c>
      <c r="L344" s="24">
        <v>10.059668271840144</v>
      </c>
      <c r="M344" s="24">
        <v>10.372907472803902</v>
      </c>
      <c r="N344" s="24">
        <v>10.704135881911778</v>
      </c>
      <c r="O344" s="24">
        <v>11.059010214078905</v>
      </c>
      <c r="P344" s="24">
        <v>11.449068988056602</v>
      </c>
      <c r="Q344" s="21"/>
      <c r="R344" s="21"/>
    </row>
    <row r="345" spans="1:18" x14ac:dyDescent="0.35">
      <c r="A345" s="39" t="s">
        <v>65</v>
      </c>
      <c r="B345" s="35" t="s">
        <v>34</v>
      </c>
      <c r="C345" s="36" t="s">
        <v>35</v>
      </c>
      <c r="D345" s="24">
        <v>46.732970940232349</v>
      </c>
      <c r="E345" s="24">
        <v>47.297908018685604</v>
      </c>
      <c r="F345" s="24">
        <v>47.897015992327667</v>
      </c>
      <c r="G345" s="24">
        <v>48.564914802244076</v>
      </c>
      <c r="H345" s="24">
        <v>49.307933303889257</v>
      </c>
      <c r="I345" s="24">
        <v>50.134954584191249</v>
      </c>
      <c r="J345" s="24">
        <v>50.916622027061564</v>
      </c>
      <c r="K345" s="24">
        <v>51.795789433154184</v>
      </c>
      <c r="L345" s="24">
        <v>52.8032069300302</v>
      </c>
      <c r="M345" s="24">
        <v>53.866407919725987</v>
      </c>
      <c r="N345" s="24">
        <v>55.016947515973044</v>
      </c>
      <c r="O345" s="24">
        <v>56.288513115596373</v>
      </c>
      <c r="P345" s="24">
        <v>57.659476753049091</v>
      </c>
      <c r="Q345" s="21"/>
      <c r="R345" s="21"/>
    </row>
    <row r="346" spans="1:18" x14ac:dyDescent="0.35">
      <c r="A346" s="39" t="s">
        <v>65</v>
      </c>
      <c r="B346" s="35" t="s">
        <v>34</v>
      </c>
      <c r="C346" s="36" t="s">
        <v>36</v>
      </c>
      <c r="D346" s="24">
        <v>50.518261491888467</v>
      </c>
      <c r="E346" s="24">
        <v>51.99557376385561</v>
      </c>
      <c r="F346" s="24">
        <v>53.574034410440738</v>
      </c>
      <c r="G346" s="24">
        <v>55.314428900797438</v>
      </c>
      <c r="H346" s="24">
        <v>57.147879476011212</v>
      </c>
      <c r="I346" s="24">
        <v>59.218699633155204</v>
      </c>
      <c r="J346" s="24">
        <v>61.451817370027285</v>
      </c>
      <c r="K346" s="24">
        <v>63.922643796153871</v>
      </c>
      <c r="L346" s="24">
        <v>66.576745310349523</v>
      </c>
      <c r="M346" s="24">
        <v>69.46643329419031</v>
      </c>
      <c r="N346" s="24">
        <v>72.656641950377193</v>
      </c>
      <c r="O346" s="24">
        <v>76.174177392615888</v>
      </c>
      <c r="P346" s="24">
        <v>79.985364397438119</v>
      </c>
      <c r="Q346" s="14"/>
      <c r="R346" s="14"/>
    </row>
    <row r="347" spans="1:18" x14ac:dyDescent="0.35">
      <c r="A347" s="39" t="s">
        <v>65</v>
      </c>
      <c r="B347" s="35" t="s">
        <v>34</v>
      </c>
      <c r="C347" s="36" t="s">
        <v>37</v>
      </c>
      <c r="D347" s="24">
        <v>30.021782219140697</v>
      </c>
      <c r="E347" s="24">
        <v>30.640519408638848</v>
      </c>
      <c r="F347" s="24">
        <v>31.381795698210357</v>
      </c>
      <c r="G347" s="24">
        <v>32.200064839265593</v>
      </c>
      <c r="H347" s="24">
        <v>33.080005887419382</v>
      </c>
      <c r="I347" s="24">
        <v>34.076306678324535</v>
      </c>
      <c r="J347" s="24">
        <v>35.136650255187917</v>
      </c>
      <c r="K347" s="24">
        <v>36.338293839596197</v>
      </c>
      <c r="L347" s="24">
        <v>37.608211219708835</v>
      </c>
      <c r="M347" s="24">
        <v>39.008335323981058</v>
      </c>
      <c r="N347" s="24">
        <v>40.553052291815732</v>
      </c>
      <c r="O347" s="24">
        <v>42.245203801620228</v>
      </c>
      <c r="P347" s="24">
        <v>44.104914705267525</v>
      </c>
      <c r="Q347" s="14"/>
      <c r="R347" s="14"/>
    </row>
    <row r="348" spans="1:18" x14ac:dyDescent="0.35">
      <c r="A348" s="39" t="s">
        <v>65</v>
      </c>
      <c r="B348" s="35" t="s">
        <v>34</v>
      </c>
      <c r="C348" s="36" t="s">
        <v>38</v>
      </c>
      <c r="D348" s="24">
        <v>11.762612317987649</v>
      </c>
      <c r="E348" s="24">
        <v>11.957396494388931</v>
      </c>
      <c r="F348" s="24">
        <v>12.181958806818399</v>
      </c>
      <c r="G348" s="24">
        <v>12.430742482961588</v>
      </c>
      <c r="H348" s="24">
        <v>12.69614583990233</v>
      </c>
      <c r="I348" s="24">
        <v>13.002075623328738</v>
      </c>
      <c r="J348" s="24">
        <v>13.324838038614402</v>
      </c>
      <c r="K348" s="24">
        <v>13.684211182175597</v>
      </c>
      <c r="L348" s="24">
        <v>14.074587155488736</v>
      </c>
      <c r="M348" s="24">
        <v>14.49577186525547</v>
      </c>
      <c r="N348" s="24">
        <v>14.966348924537224</v>
      </c>
      <c r="O348" s="24">
        <v>15.482682370711357</v>
      </c>
      <c r="P348" s="24">
        <v>16.046272971085671</v>
      </c>
      <c r="Q348" s="14"/>
      <c r="R348" s="14"/>
    </row>
    <row r="349" spans="1:18" x14ac:dyDescent="0.35">
      <c r="A349" s="39" t="s">
        <v>65</v>
      </c>
      <c r="B349" s="35" t="s">
        <v>22</v>
      </c>
      <c r="C349" s="36" t="s">
        <v>39</v>
      </c>
      <c r="D349" s="24">
        <v>41.311900933456428</v>
      </c>
      <c r="E349" s="24">
        <v>41.71295697623151</v>
      </c>
      <c r="F349" s="24">
        <v>42.151076760140654</v>
      </c>
      <c r="G349" s="24">
        <v>42.775665518992895</v>
      </c>
      <c r="H349" s="24">
        <v>43.477449063262668</v>
      </c>
      <c r="I349" s="24">
        <v>44.472909469492834</v>
      </c>
      <c r="J349" s="24">
        <v>45.510974118001286</v>
      </c>
      <c r="K349" s="24">
        <v>46.855099764170177</v>
      </c>
      <c r="L349" s="24">
        <v>48.327384134079693</v>
      </c>
      <c r="M349" s="24">
        <v>50.0024777114578</v>
      </c>
      <c r="N349" s="24">
        <v>51.970913900152397</v>
      </c>
      <c r="O349" s="24">
        <v>54.291584061755998</v>
      </c>
      <c r="P349" s="24">
        <v>56.867347610881353</v>
      </c>
      <c r="Q349" s="14"/>
      <c r="R349" s="14"/>
    </row>
    <row r="350" spans="1:18" x14ac:dyDescent="0.35">
      <c r="A350" s="39" t="s">
        <v>65</v>
      </c>
      <c r="B350" s="35" t="s">
        <v>22</v>
      </c>
      <c r="C350" s="36" t="s">
        <v>40</v>
      </c>
      <c r="D350" s="24">
        <v>33.432446033412369</v>
      </c>
      <c r="E350" s="24">
        <v>34.191949700524013</v>
      </c>
      <c r="F350" s="24">
        <v>35.051038204731583</v>
      </c>
      <c r="G350" s="24">
        <v>35.951858296515383</v>
      </c>
      <c r="H350" s="24">
        <v>36.901028196550662</v>
      </c>
      <c r="I350" s="24">
        <v>37.893899210935203</v>
      </c>
      <c r="J350" s="24">
        <v>38.925571353364859</v>
      </c>
      <c r="K350" s="24">
        <v>40.005114071512622</v>
      </c>
      <c r="L350" s="24">
        <v>41.15649383495014</v>
      </c>
      <c r="M350" s="24">
        <v>42.397359915059518</v>
      </c>
      <c r="N350" s="24">
        <v>43.711878374717259</v>
      </c>
      <c r="O350" s="24">
        <v>45.092689304666983</v>
      </c>
      <c r="P350" s="24">
        <v>46.55762894353041</v>
      </c>
      <c r="Q350" s="14"/>
      <c r="R350" s="14"/>
    </row>
    <row r="351" spans="1:18" x14ac:dyDescent="0.35">
      <c r="A351" s="39" t="s">
        <v>65</v>
      </c>
      <c r="B351" s="35" t="s">
        <v>22</v>
      </c>
      <c r="C351" s="36" t="s">
        <v>41</v>
      </c>
      <c r="D351" s="24">
        <v>26.635592142791026</v>
      </c>
      <c r="E351" s="24">
        <v>27.084592961056483</v>
      </c>
      <c r="F351" s="24">
        <v>27.548577157894936</v>
      </c>
      <c r="G351" s="24">
        <v>28.036545325577066</v>
      </c>
      <c r="H351" s="24">
        <v>28.55871654155488</v>
      </c>
      <c r="I351" s="24">
        <v>29.110701511739517</v>
      </c>
      <c r="J351" s="24">
        <v>29.681418960767974</v>
      </c>
      <c r="K351" s="24">
        <v>30.289929923957175</v>
      </c>
      <c r="L351" s="24">
        <v>30.958006638117322</v>
      </c>
      <c r="M351" s="24">
        <v>31.660750660279149</v>
      </c>
      <c r="N351" s="24">
        <v>32.421453581691893</v>
      </c>
      <c r="O351" s="24">
        <v>33.233838027660461</v>
      </c>
      <c r="P351" s="24">
        <v>34.101857307601051</v>
      </c>
      <c r="Q351" s="14"/>
      <c r="R351" s="14"/>
    </row>
    <row r="352" spans="1:18" x14ac:dyDescent="0.35">
      <c r="A352" s="39" t="s">
        <v>65</v>
      </c>
      <c r="B352" s="35" t="s">
        <v>22</v>
      </c>
      <c r="C352" s="36" t="s">
        <v>42</v>
      </c>
      <c r="D352" s="24">
        <v>37.655687859589335</v>
      </c>
      <c r="E352" s="24">
        <v>38.901898047756987</v>
      </c>
      <c r="F352" s="24">
        <v>40.284112785029997</v>
      </c>
      <c r="G352" s="24">
        <v>41.746081884183347</v>
      </c>
      <c r="H352" s="24">
        <v>43.294770705853985</v>
      </c>
      <c r="I352" s="24">
        <v>44.954526326832166</v>
      </c>
      <c r="J352" s="24">
        <v>46.711963258757045</v>
      </c>
      <c r="K352" s="24">
        <v>48.590794491439873</v>
      </c>
      <c r="L352" s="24">
        <v>50.620866008430148</v>
      </c>
      <c r="M352" s="24">
        <v>52.776360116356365</v>
      </c>
      <c r="N352" s="24">
        <v>55.088744826141635</v>
      </c>
      <c r="O352" s="24">
        <v>57.572465286460393</v>
      </c>
      <c r="P352" s="24">
        <v>60.269194964827584</v>
      </c>
      <c r="Q352" s="14"/>
      <c r="R352" s="14"/>
    </row>
    <row r="353" spans="1:18" x14ac:dyDescent="0.35">
      <c r="A353" s="39" t="s">
        <v>66</v>
      </c>
      <c r="B353" s="35" t="s">
        <v>24</v>
      </c>
      <c r="C353" s="36" t="s">
        <v>25</v>
      </c>
      <c r="D353" s="24">
        <v>4.5162869518199198</v>
      </c>
      <c r="E353" s="24">
        <v>4.5840061870386801</v>
      </c>
      <c r="F353" s="24">
        <v>4.6539957211741543</v>
      </c>
      <c r="G353" s="24">
        <v>4.7277628701186192</v>
      </c>
      <c r="H353" s="24">
        <v>4.8070093391702367</v>
      </c>
      <c r="I353" s="24">
        <v>4.890965431807877</v>
      </c>
      <c r="J353" s="24">
        <v>4.9777426457011904</v>
      </c>
      <c r="K353" s="24">
        <v>5.0705212265026081</v>
      </c>
      <c r="L353" s="24">
        <v>5.172911993766304</v>
      </c>
      <c r="M353" s="24">
        <v>5.2807009272397627</v>
      </c>
      <c r="N353" s="24">
        <v>5.3977421773956307</v>
      </c>
      <c r="O353" s="24">
        <v>5.5229389073645558</v>
      </c>
      <c r="P353" s="24">
        <v>5.6569022833959917</v>
      </c>
      <c r="Q353" s="21"/>
      <c r="R353" s="21"/>
    </row>
    <row r="354" spans="1:18" x14ac:dyDescent="0.35">
      <c r="A354" s="39" t="s">
        <v>66</v>
      </c>
      <c r="B354" s="35" t="s">
        <v>24</v>
      </c>
      <c r="C354" s="36" t="s">
        <v>26</v>
      </c>
      <c r="D354" s="24">
        <v>46.027300622377986</v>
      </c>
      <c r="E354" s="24">
        <v>46.700439063073709</v>
      </c>
      <c r="F354" s="24">
        <v>47.502780315576068</v>
      </c>
      <c r="G354" s="24">
        <v>48.333103655569232</v>
      </c>
      <c r="H354" s="24">
        <v>49.204331550382982</v>
      </c>
      <c r="I354" s="24">
        <v>50.142926038092902</v>
      </c>
      <c r="J354" s="24">
        <v>51.185898190024517</v>
      </c>
      <c r="K354" s="24">
        <v>52.365678117287302</v>
      </c>
      <c r="L354" s="24">
        <v>53.621422820813635</v>
      </c>
      <c r="M354" s="24">
        <v>54.958226175012854</v>
      </c>
      <c r="N354" s="24">
        <v>56.435957478352677</v>
      </c>
      <c r="O354" s="24">
        <v>58.06840302803046</v>
      </c>
      <c r="P354" s="24">
        <v>59.8711783132606</v>
      </c>
      <c r="Q354" s="21"/>
      <c r="R354" s="21"/>
    </row>
    <row r="355" spans="1:18" x14ac:dyDescent="0.35">
      <c r="A355" s="39" t="s">
        <v>66</v>
      </c>
      <c r="B355" s="35" t="s">
        <v>27</v>
      </c>
      <c r="C355" s="36" t="s">
        <v>28</v>
      </c>
      <c r="D355" s="24">
        <v>19.504503868029495</v>
      </c>
      <c r="E355" s="24">
        <v>19.511026423340489</v>
      </c>
      <c r="F355" s="24">
        <v>19.578047248708259</v>
      </c>
      <c r="G355" s="24">
        <v>19.627802540860024</v>
      </c>
      <c r="H355" s="24">
        <v>19.670930351975279</v>
      </c>
      <c r="I355" s="24">
        <v>19.72304739458135</v>
      </c>
      <c r="J355" s="24">
        <v>19.837169010909079</v>
      </c>
      <c r="K355" s="24">
        <v>20.024347260097869</v>
      </c>
      <c r="L355" s="24">
        <v>20.210004817733179</v>
      </c>
      <c r="M355" s="24">
        <v>20.404832276472376</v>
      </c>
      <c r="N355" s="24">
        <v>20.656627403096351</v>
      </c>
      <c r="O355" s="24">
        <v>20.977973997231388</v>
      </c>
      <c r="P355" s="24">
        <v>21.371875482670617</v>
      </c>
      <c r="Q355" s="21"/>
      <c r="R355" s="21"/>
    </row>
    <row r="356" spans="1:18" x14ac:dyDescent="0.35">
      <c r="A356" s="39" t="s">
        <v>66</v>
      </c>
      <c r="B356" s="35" t="s">
        <v>27</v>
      </c>
      <c r="C356" s="36" t="s">
        <v>29</v>
      </c>
      <c r="D356" s="24">
        <v>9.8199330225859462</v>
      </c>
      <c r="E356" s="24">
        <v>10.100846901188607</v>
      </c>
      <c r="F356" s="24">
        <v>10.392561880638057</v>
      </c>
      <c r="G356" s="24">
        <v>10.698750969743951</v>
      </c>
      <c r="H356" s="24">
        <v>11.023714675557812</v>
      </c>
      <c r="I356" s="24">
        <v>11.366303017043386</v>
      </c>
      <c r="J356" s="24">
        <v>11.722686581182481</v>
      </c>
      <c r="K356" s="24">
        <v>12.100751815365449</v>
      </c>
      <c r="L356" s="24">
        <v>12.509822435440634</v>
      </c>
      <c r="M356" s="24">
        <v>12.940776235794399</v>
      </c>
      <c r="N356" s="24">
        <v>13.403745554440656</v>
      </c>
      <c r="O356" s="24">
        <v>13.897088165675807</v>
      </c>
      <c r="P356" s="24">
        <v>14.423341164357598</v>
      </c>
      <c r="Q356" s="21"/>
      <c r="R356" s="21"/>
    </row>
    <row r="357" spans="1:18" x14ac:dyDescent="0.35">
      <c r="A357" s="39" t="s">
        <v>66</v>
      </c>
      <c r="B357" s="35" t="s">
        <v>27</v>
      </c>
      <c r="C357" s="36" t="s">
        <v>30</v>
      </c>
      <c r="D357" s="24">
        <v>8.107253774117595</v>
      </c>
      <c r="E357" s="24">
        <v>8.36229614513835</v>
      </c>
      <c r="F357" s="24">
        <v>8.6454973423963839</v>
      </c>
      <c r="G357" s="24">
        <v>8.9432588042480905</v>
      </c>
      <c r="H357" s="24">
        <v>9.2575438284694211</v>
      </c>
      <c r="I357" s="24">
        <v>9.5875502915468083</v>
      </c>
      <c r="J357" s="24">
        <v>9.932378634975322</v>
      </c>
      <c r="K357" s="24">
        <v>10.294657063521324</v>
      </c>
      <c r="L357" s="24">
        <v>10.680931053214506</v>
      </c>
      <c r="M357" s="24">
        <v>11.096322339159059</v>
      </c>
      <c r="N357" s="24">
        <v>11.537353469436413</v>
      </c>
      <c r="O357" s="24">
        <v>12.002653736885764</v>
      </c>
      <c r="P357" s="24">
        <v>12.497502464083533</v>
      </c>
      <c r="Q357" s="21"/>
      <c r="R357" s="21"/>
    </row>
    <row r="358" spans="1:18" x14ac:dyDescent="0.35">
      <c r="A358" s="39" t="s">
        <v>66</v>
      </c>
      <c r="B358" s="35" t="s">
        <v>27</v>
      </c>
      <c r="C358" s="36" t="s">
        <v>31</v>
      </c>
      <c r="D358" s="24">
        <v>6.7613251970224191</v>
      </c>
      <c r="E358" s="24">
        <v>6.8967215316034753</v>
      </c>
      <c r="F358" s="24">
        <v>7.0516289617676238</v>
      </c>
      <c r="G358" s="24">
        <v>7.2153797830402659</v>
      </c>
      <c r="H358" s="24">
        <v>7.3887514336908806</v>
      </c>
      <c r="I358" s="24">
        <v>7.5754386854114832</v>
      </c>
      <c r="J358" s="24">
        <v>7.7725811795807527</v>
      </c>
      <c r="K358" s="24">
        <v>7.983621324138249</v>
      </c>
      <c r="L358" s="24">
        <v>8.2128245285104953</v>
      </c>
      <c r="M358" s="24">
        <v>8.4551963468297071</v>
      </c>
      <c r="N358" s="24">
        <v>8.7151515901682348</v>
      </c>
      <c r="O358" s="24">
        <v>8.994176331724276</v>
      </c>
      <c r="P358" s="24">
        <v>9.2979174051840179</v>
      </c>
      <c r="Q358" s="21"/>
      <c r="R358" s="21"/>
    </row>
    <row r="359" spans="1:18" x14ac:dyDescent="0.35">
      <c r="A359" s="39" t="s">
        <v>66</v>
      </c>
      <c r="B359" s="35" t="s">
        <v>27</v>
      </c>
      <c r="C359" s="36" t="s">
        <v>32</v>
      </c>
      <c r="D359" s="24">
        <v>4.3548575906754801</v>
      </c>
      <c r="E359" s="24">
        <v>4.3826772222000443</v>
      </c>
      <c r="F359" s="24">
        <v>4.4174341028264887</v>
      </c>
      <c r="G359" s="24">
        <v>4.4609457960043564</v>
      </c>
      <c r="H359" s="24">
        <v>4.5099469642776935</v>
      </c>
      <c r="I359" s="24">
        <v>4.5717093840565397</v>
      </c>
      <c r="J359" s="24">
        <v>4.6367906757295243</v>
      </c>
      <c r="K359" s="24">
        <v>4.7148108937106628</v>
      </c>
      <c r="L359" s="24">
        <v>4.8017697256925587</v>
      </c>
      <c r="M359" s="24">
        <v>4.8983342051168766</v>
      </c>
      <c r="N359" s="24">
        <v>5.0081102750601971</v>
      </c>
      <c r="O359" s="24">
        <v>5.1323365980135467</v>
      </c>
      <c r="P359" s="24">
        <v>5.2691862966436256</v>
      </c>
      <c r="Q359" s="21"/>
      <c r="R359" s="21"/>
    </row>
    <row r="360" spans="1:18" x14ac:dyDescent="0.35">
      <c r="A360" s="39" t="s">
        <v>66</v>
      </c>
      <c r="B360" s="35" t="s">
        <v>27</v>
      </c>
      <c r="C360" s="36" t="s">
        <v>33</v>
      </c>
      <c r="D360" s="24">
        <v>1.995714121766972</v>
      </c>
      <c r="E360" s="24">
        <v>2.0308770266414262</v>
      </c>
      <c r="F360" s="24">
        <v>2.0716065004134112</v>
      </c>
      <c r="G360" s="24">
        <v>2.1147286317911624</v>
      </c>
      <c r="H360" s="24">
        <v>2.1604536355821287</v>
      </c>
      <c r="I360" s="24">
        <v>2.2098426972612173</v>
      </c>
      <c r="J360" s="24">
        <v>2.2620347533485545</v>
      </c>
      <c r="K360" s="24">
        <v>2.3180109869563514</v>
      </c>
      <c r="L360" s="24">
        <v>2.3789822539885677</v>
      </c>
      <c r="M360" s="24">
        <v>2.4434656988802028</v>
      </c>
      <c r="N360" s="24">
        <v>2.5127113635464529</v>
      </c>
      <c r="O360" s="24">
        <v>2.5871131058642307</v>
      </c>
      <c r="P360" s="24">
        <v>2.6682577837171988</v>
      </c>
      <c r="Q360" s="21"/>
      <c r="R360" s="21"/>
    </row>
    <row r="361" spans="1:18" x14ac:dyDescent="0.35">
      <c r="A361" s="39" t="s">
        <v>66</v>
      </c>
      <c r="B361" s="35" t="s">
        <v>34</v>
      </c>
      <c r="C361" s="36" t="s">
        <v>35</v>
      </c>
      <c r="D361" s="24">
        <v>16.333725365657727</v>
      </c>
      <c r="E361" s="24">
        <v>16.434056803164907</v>
      </c>
      <c r="F361" s="24">
        <v>16.58666550100218</v>
      </c>
      <c r="G361" s="24">
        <v>16.738929221382925</v>
      </c>
      <c r="H361" s="24">
        <v>16.889346296163289</v>
      </c>
      <c r="I361" s="24">
        <v>17.072067713942687</v>
      </c>
      <c r="J361" s="24">
        <v>17.252201432201318</v>
      </c>
      <c r="K361" s="24">
        <v>17.478876326824235</v>
      </c>
      <c r="L361" s="24">
        <v>17.709532956005049</v>
      </c>
      <c r="M361" s="24">
        <v>17.944554069643573</v>
      </c>
      <c r="N361" s="24">
        <v>18.215226537445005</v>
      </c>
      <c r="O361" s="24">
        <v>18.526675214970204</v>
      </c>
      <c r="P361" s="24">
        <v>18.874393154628393</v>
      </c>
      <c r="Q361" s="21"/>
      <c r="R361" s="21"/>
    </row>
    <row r="362" spans="1:18" x14ac:dyDescent="0.35">
      <c r="A362" s="39" t="s">
        <v>66</v>
      </c>
      <c r="B362" s="35" t="s">
        <v>34</v>
      </c>
      <c r="C362" s="36" t="s">
        <v>36</v>
      </c>
      <c r="D362" s="24">
        <v>18.592571664854848</v>
      </c>
      <c r="E362" s="24">
        <v>18.967073190651554</v>
      </c>
      <c r="F362" s="24">
        <v>19.392344060531574</v>
      </c>
      <c r="G362" s="24">
        <v>19.83744167106958</v>
      </c>
      <c r="H362" s="24">
        <v>20.308264174472011</v>
      </c>
      <c r="I362" s="24">
        <v>20.80239945242143</v>
      </c>
      <c r="J362" s="24">
        <v>21.368877978032401</v>
      </c>
      <c r="K362" s="24">
        <v>21.993785098768633</v>
      </c>
      <c r="L362" s="24">
        <v>22.66415440161731</v>
      </c>
      <c r="M362" s="24">
        <v>23.383910266360122</v>
      </c>
      <c r="N362" s="24">
        <v>24.165225915134638</v>
      </c>
      <c r="O362" s="24">
        <v>25.023742204099083</v>
      </c>
      <c r="P362" s="24">
        <v>25.968961665676883</v>
      </c>
      <c r="Q362" s="14"/>
      <c r="R362" s="14"/>
    </row>
    <row r="363" spans="1:18" x14ac:dyDescent="0.35">
      <c r="A363" s="39" t="s">
        <v>66</v>
      </c>
      <c r="B363" s="35" t="s">
        <v>34</v>
      </c>
      <c r="C363" s="36" t="s">
        <v>37</v>
      </c>
      <c r="D363" s="24">
        <v>10.704307717995004</v>
      </c>
      <c r="E363" s="24">
        <v>10.897402439887371</v>
      </c>
      <c r="F363" s="24">
        <v>11.110797722182079</v>
      </c>
      <c r="G363" s="24">
        <v>11.333768873949365</v>
      </c>
      <c r="H363" s="24">
        <v>11.574630352631255</v>
      </c>
      <c r="I363" s="24">
        <v>11.82754286355452</v>
      </c>
      <c r="J363" s="24">
        <v>12.105008482727783</v>
      </c>
      <c r="K363" s="24">
        <v>12.410847208613413</v>
      </c>
      <c r="L363" s="24">
        <v>12.742578573291517</v>
      </c>
      <c r="M363" s="24">
        <v>13.094419379053187</v>
      </c>
      <c r="N363" s="24">
        <v>13.484069895542072</v>
      </c>
      <c r="O363" s="24">
        <v>13.907355002469698</v>
      </c>
      <c r="P363" s="24">
        <v>14.36785476451826</v>
      </c>
      <c r="Q363" s="14"/>
      <c r="R363" s="14"/>
    </row>
    <row r="364" spans="1:18" x14ac:dyDescent="0.35">
      <c r="A364" s="39" t="s">
        <v>66</v>
      </c>
      <c r="B364" s="35" t="s">
        <v>34</v>
      </c>
      <c r="C364" s="36" t="s">
        <v>38</v>
      </c>
      <c r="D364" s="24">
        <v>4.9129828256903254</v>
      </c>
      <c r="E364" s="24">
        <v>4.9859128164085558</v>
      </c>
      <c r="F364" s="24">
        <v>5.0669687530343852</v>
      </c>
      <c r="G364" s="24">
        <v>5.1507267592859804</v>
      </c>
      <c r="H364" s="24">
        <v>5.239100066286662</v>
      </c>
      <c r="I364" s="24">
        <v>5.3318814399821415</v>
      </c>
      <c r="J364" s="24">
        <v>5.4375529427642064</v>
      </c>
      <c r="K364" s="24">
        <v>5.5526907095836302</v>
      </c>
      <c r="L364" s="24">
        <v>5.6780688836660609</v>
      </c>
      <c r="M364" s="24">
        <v>5.8160433871957338</v>
      </c>
      <c r="N364" s="24">
        <v>5.9691773076265848</v>
      </c>
      <c r="O364" s="24">
        <v>6.1335695138560347</v>
      </c>
      <c r="P364" s="24">
        <v>6.316871011833058</v>
      </c>
      <c r="Q364" s="14"/>
      <c r="R364" s="14"/>
    </row>
    <row r="365" spans="1:18" x14ac:dyDescent="0.35">
      <c r="A365" s="39" t="s">
        <v>66</v>
      </c>
      <c r="B365" s="35" t="s">
        <v>22</v>
      </c>
      <c r="C365" s="36" t="s">
        <v>39</v>
      </c>
      <c r="D365" s="24">
        <v>12.903651182563294</v>
      </c>
      <c r="E365" s="24">
        <v>12.972977950003482</v>
      </c>
      <c r="F365" s="24">
        <v>13.129808669564817</v>
      </c>
      <c r="G365" s="24">
        <v>13.265552372242823</v>
      </c>
      <c r="H365" s="24">
        <v>13.400213674698158</v>
      </c>
      <c r="I365" s="24">
        <v>13.532289989100747</v>
      </c>
      <c r="J365" s="24">
        <v>13.721426635966559</v>
      </c>
      <c r="K365" s="24">
        <v>13.972906824497983</v>
      </c>
      <c r="L365" s="24">
        <v>14.216633373126626</v>
      </c>
      <c r="M365" s="24">
        <v>14.455679611471723</v>
      </c>
      <c r="N365" s="24">
        <v>14.735019299731398</v>
      </c>
      <c r="O365" s="24">
        <v>15.074369219429819</v>
      </c>
      <c r="P365" s="24">
        <v>15.470217419359223</v>
      </c>
      <c r="Q365" s="14"/>
      <c r="R365" s="14"/>
    </row>
    <row r="366" spans="1:18" x14ac:dyDescent="0.35">
      <c r="A366" s="39" t="s">
        <v>66</v>
      </c>
      <c r="B366" s="35" t="s">
        <v>22</v>
      </c>
      <c r="C366" s="36" t="s">
        <v>40</v>
      </c>
      <c r="D366" s="24">
        <v>13.561583267043277</v>
      </c>
      <c r="E366" s="24">
        <v>13.693635810037916</v>
      </c>
      <c r="F366" s="24">
        <v>13.848094279689505</v>
      </c>
      <c r="G366" s="24">
        <v>14.03087610429986</v>
      </c>
      <c r="H366" s="24">
        <v>14.231988324397273</v>
      </c>
      <c r="I366" s="24">
        <v>14.47455517534264</v>
      </c>
      <c r="J366" s="24">
        <v>14.72908625203091</v>
      </c>
      <c r="K366" s="24">
        <v>15.026251570068986</v>
      </c>
      <c r="L366" s="24">
        <v>15.353716046893165</v>
      </c>
      <c r="M366" s="24">
        <v>15.713902750228987</v>
      </c>
      <c r="N366" s="24">
        <v>16.118692343966039</v>
      </c>
      <c r="O366" s="24">
        <v>16.572499566664856</v>
      </c>
      <c r="P366" s="24">
        <v>17.069894583207898</v>
      </c>
      <c r="Q366" s="14"/>
      <c r="R366" s="14"/>
    </row>
    <row r="367" spans="1:18" x14ac:dyDescent="0.35">
      <c r="A367" s="39" t="s">
        <v>66</v>
      </c>
      <c r="B367" s="35" t="s">
        <v>22</v>
      </c>
      <c r="C367" s="36" t="s">
        <v>41</v>
      </c>
      <c r="D367" s="24">
        <v>9.6623637310569261</v>
      </c>
      <c r="E367" s="24">
        <v>9.8058159164494896</v>
      </c>
      <c r="F367" s="24">
        <v>9.9540822365816268</v>
      </c>
      <c r="G367" s="24">
        <v>10.110384457280386</v>
      </c>
      <c r="H367" s="24">
        <v>10.278358171281978</v>
      </c>
      <c r="I367" s="24">
        <v>10.456352498505131</v>
      </c>
      <c r="J367" s="24">
        <v>10.640325635433754</v>
      </c>
      <c r="K367" s="24">
        <v>10.837072985807879</v>
      </c>
      <c r="L367" s="24">
        <v>11.05430625687957</v>
      </c>
      <c r="M367" s="24">
        <v>11.28301131375318</v>
      </c>
      <c r="N367" s="24">
        <v>11.531418111580606</v>
      </c>
      <c r="O367" s="24">
        <v>11.797174842703029</v>
      </c>
      <c r="P367" s="24">
        <v>12.08157941357155</v>
      </c>
      <c r="Q367" s="14"/>
      <c r="R367" s="14"/>
    </row>
    <row r="368" spans="1:18" x14ac:dyDescent="0.35">
      <c r="A368" s="39" t="s">
        <v>66</v>
      </c>
      <c r="B368" s="35" t="s">
        <v>22</v>
      </c>
      <c r="C368" s="36" t="s">
        <v>42</v>
      </c>
      <c r="D368" s="24">
        <v>14.41598939353441</v>
      </c>
      <c r="E368" s="24">
        <v>14.812015573621499</v>
      </c>
      <c r="F368" s="24">
        <v>15.224790850914275</v>
      </c>
      <c r="G368" s="24">
        <v>15.654053591864779</v>
      </c>
      <c r="H368" s="24">
        <v>16.100780719175813</v>
      </c>
      <c r="I368" s="24">
        <v>16.57069380695226</v>
      </c>
      <c r="J368" s="24">
        <v>17.072802312294488</v>
      </c>
      <c r="K368" s="24">
        <v>17.599967963415065</v>
      </c>
      <c r="L368" s="24">
        <v>18.169679137680582</v>
      </c>
      <c r="M368" s="24">
        <v>18.786333426798731</v>
      </c>
      <c r="N368" s="24">
        <v>19.448569900470261</v>
      </c>
      <c r="O368" s="24">
        <v>20.147298306597307</v>
      </c>
      <c r="P368" s="24">
        <v>20.906389180517923</v>
      </c>
      <c r="Q368" s="14"/>
      <c r="R368" s="14"/>
    </row>
    <row r="369" spans="1:18" x14ac:dyDescent="0.35">
      <c r="A369" s="39" t="s">
        <v>67</v>
      </c>
      <c r="B369" s="35" t="s">
        <v>24</v>
      </c>
      <c r="C369" s="36" t="s">
        <v>25</v>
      </c>
      <c r="D369" s="24">
        <v>69.446703022318076</v>
      </c>
      <c r="E369" s="24">
        <v>72.835776680073408</v>
      </c>
      <c r="F369" s="24">
        <v>76.681853530559792</v>
      </c>
      <c r="G369" s="24">
        <v>80.785971215999581</v>
      </c>
      <c r="H369" s="24">
        <v>85.199009438406264</v>
      </c>
      <c r="I369" s="24">
        <v>89.923966557696488</v>
      </c>
      <c r="J369" s="24">
        <v>95.004462550528061</v>
      </c>
      <c r="K369" s="24">
        <v>100.54357196935695</v>
      </c>
      <c r="L369" s="24">
        <v>106.48083167705461</v>
      </c>
      <c r="M369" s="24">
        <v>112.93281166097682</v>
      </c>
      <c r="N369" s="24">
        <v>119.86539821591425</v>
      </c>
      <c r="O369" s="24">
        <v>127.36990276995495</v>
      </c>
      <c r="P369" s="24">
        <v>135.61397447828315</v>
      </c>
      <c r="Q369" s="14"/>
      <c r="R369" s="14"/>
    </row>
    <row r="370" spans="1:18" x14ac:dyDescent="0.35">
      <c r="A370" s="39" t="s">
        <v>67</v>
      </c>
      <c r="B370" s="35" t="s">
        <v>24</v>
      </c>
      <c r="C370" s="36" t="s">
        <v>26</v>
      </c>
      <c r="D370" s="24">
        <v>655.33737517715724</v>
      </c>
      <c r="E370" s="24">
        <v>695.07216351624095</v>
      </c>
      <c r="F370" s="24">
        <v>737.89156729797185</v>
      </c>
      <c r="G370" s="24">
        <v>783.81808270375711</v>
      </c>
      <c r="H370" s="24">
        <v>832.89376468235093</v>
      </c>
      <c r="I370" s="24">
        <v>885.62679615397496</v>
      </c>
      <c r="J370" s="24">
        <v>943.05702103562226</v>
      </c>
      <c r="K370" s="24">
        <v>1005.1082738916903</v>
      </c>
      <c r="L370" s="24">
        <v>1072.5620625777824</v>
      </c>
      <c r="M370" s="24">
        <v>1145.636330199392</v>
      </c>
      <c r="N370" s="24">
        <v>1224.4875188108804</v>
      </c>
      <c r="O370" s="24">
        <v>1310.5241807468224</v>
      </c>
      <c r="P370" s="24">
        <v>1404.5643814295061</v>
      </c>
      <c r="Q370" s="14"/>
      <c r="R370" s="14"/>
    </row>
    <row r="371" spans="1:18" x14ac:dyDescent="0.35">
      <c r="A371" s="39" t="s">
        <v>67</v>
      </c>
      <c r="B371" s="35" t="s">
        <v>27</v>
      </c>
      <c r="C371" s="36" t="s">
        <v>28</v>
      </c>
      <c r="D371" s="24">
        <v>252.25239190414925</v>
      </c>
      <c r="E371" s="24">
        <v>265.61504732273022</v>
      </c>
      <c r="F371" s="24">
        <v>279.68100004551093</v>
      </c>
      <c r="G371" s="24">
        <v>294.67191052425994</v>
      </c>
      <c r="H371" s="24">
        <v>310.40716693022796</v>
      </c>
      <c r="I371" s="24">
        <v>327.03749099187951</v>
      </c>
      <c r="J371" s="24">
        <v>345.26673109355681</v>
      </c>
      <c r="K371" s="24">
        <v>364.57406477183997</v>
      </c>
      <c r="L371" s="24">
        <v>385.38787156230251</v>
      </c>
      <c r="M371" s="24">
        <v>407.33508991859037</v>
      </c>
      <c r="N371" s="24">
        <v>430.24427894150472</v>
      </c>
      <c r="O371" s="24">
        <v>455.23041681247992</v>
      </c>
      <c r="P371" s="24">
        <v>481.90165531827756</v>
      </c>
      <c r="Q371" s="14"/>
      <c r="R371" s="14"/>
    </row>
    <row r="372" spans="1:18" x14ac:dyDescent="0.35">
      <c r="A372" s="39" t="s">
        <v>67</v>
      </c>
      <c r="B372" s="35" t="s">
        <v>27</v>
      </c>
      <c r="C372" s="36" t="s">
        <v>29</v>
      </c>
      <c r="D372" s="24">
        <v>151.13650568859606</v>
      </c>
      <c r="E372" s="24">
        <v>160.75604297813757</v>
      </c>
      <c r="F372" s="24">
        <v>171.63146396379818</v>
      </c>
      <c r="G372" s="24">
        <v>183.3656155107326</v>
      </c>
      <c r="H372" s="24">
        <v>196.10461655219376</v>
      </c>
      <c r="I372" s="24">
        <v>209.89171650049661</v>
      </c>
      <c r="J372" s="24">
        <v>224.8663609597333</v>
      </c>
      <c r="K372" s="24">
        <v>241.31547223698547</v>
      </c>
      <c r="L372" s="24">
        <v>259.14833380889587</v>
      </c>
      <c r="M372" s="24">
        <v>278.698434979284</v>
      </c>
      <c r="N372" s="24">
        <v>299.9446635448341</v>
      </c>
      <c r="O372" s="24">
        <v>323.17678654297924</v>
      </c>
      <c r="P372" s="24">
        <v>348.89272705930654</v>
      </c>
      <c r="Q372" s="14"/>
      <c r="R372" s="14"/>
    </row>
    <row r="373" spans="1:18" x14ac:dyDescent="0.35">
      <c r="A373" s="39" t="s">
        <v>67</v>
      </c>
      <c r="B373" s="35" t="s">
        <v>27</v>
      </c>
      <c r="C373" s="36" t="s">
        <v>30</v>
      </c>
      <c r="D373" s="24">
        <v>133.05013943587076</v>
      </c>
      <c r="E373" s="24">
        <v>142.89400414222078</v>
      </c>
      <c r="F373" s="24">
        <v>153.52280463073259</v>
      </c>
      <c r="G373" s="24">
        <v>164.99246239338873</v>
      </c>
      <c r="H373" s="24">
        <v>177.37552396013027</v>
      </c>
      <c r="I373" s="24">
        <v>190.80294812586803</v>
      </c>
      <c r="J373" s="24">
        <v>205.45963085846654</v>
      </c>
      <c r="K373" s="24">
        <v>221.36062946978859</v>
      </c>
      <c r="L373" s="24">
        <v>238.82262417341724</v>
      </c>
      <c r="M373" s="24">
        <v>258.03673032444499</v>
      </c>
      <c r="N373" s="24">
        <v>279.13530580519028</v>
      </c>
      <c r="O373" s="24">
        <v>302.14772148704697</v>
      </c>
      <c r="P373" s="24">
        <v>327.58610293613941</v>
      </c>
      <c r="Q373" s="14"/>
      <c r="R373" s="14"/>
    </row>
    <row r="374" spans="1:18" x14ac:dyDescent="0.35">
      <c r="A374" s="39" t="s">
        <v>67</v>
      </c>
      <c r="B374" s="35" t="s">
        <v>27</v>
      </c>
      <c r="C374" s="36" t="s">
        <v>31</v>
      </c>
      <c r="D374" s="24">
        <v>100.35139715199092</v>
      </c>
      <c r="E374" s="24">
        <v>106.683058705951</v>
      </c>
      <c r="F374" s="24">
        <v>113.45649241637676</v>
      </c>
      <c r="G374" s="24">
        <v>120.6971237085986</v>
      </c>
      <c r="H374" s="24">
        <v>128.44117909949392</v>
      </c>
      <c r="I374" s="24">
        <v>136.76536461246585</v>
      </c>
      <c r="J374" s="24">
        <v>145.78156409921547</v>
      </c>
      <c r="K374" s="24">
        <v>155.47619829945609</v>
      </c>
      <c r="L374" s="24">
        <v>166.04758461854638</v>
      </c>
      <c r="M374" s="24">
        <v>177.59822525419818</v>
      </c>
      <c r="N374" s="24">
        <v>190.18542081305489</v>
      </c>
      <c r="O374" s="24">
        <v>203.79329579018881</v>
      </c>
      <c r="P374" s="24">
        <v>218.7314753315855</v>
      </c>
      <c r="Q374" s="14"/>
      <c r="R374" s="14"/>
    </row>
    <row r="375" spans="1:18" x14ac:dyDescent="0.35">
      <c r="A375" s="39" t="s">
        <v>67</v>
      </c>
      <c r="B375" s="35" t="s">
        <v>27</v>
      </c>
      <c r="C375" s="36" t="s">
        <v>32</v>
      </c>
      <c r="D375" s="24">
        <v>57.891404623458328</v>
      </c>
      <c r="E375" s="24">
        <v>60.356215433882554</v>
      </c>
      <c r="F375" s="24">
        <v>63.053134723405243</v>
      </c>
      <c r="G375" s="24">
        <v>65.876131987871659</v>
      </c>
      <c r="H375" s="24">
        <v>68.856958059056794</v>
      </c>
      <c r="I375" s="24">
        <v>72.035516314282987</v>
      </c>
      <c r="J375" s="24">
        <v>75.417292718795011</v>
      </c>
      <c r="K375" s="24">
        <v>79.166482331012887</v>
      </c>
      <c r="L375" s="24">
        <v>83.167486092574052</v>
      </c>
      <c r="M375" s="24">
        <v>87.476404907341632</v>
      </c>
      <c r="N375" s="24">
        <v>92.16207377566613</v>
      </c>
      <c r="O375" s="24">
        <v>97.267023834959318</v>
      </c>
      <c r="P375" s="24">
        <v>102.83956966587415</v>
      </c>
      <c r="Q375" s="14"/>
      <c r="R375" s="14"/>
    </row>
    <row r="376" spans="1:18" x14ac:dyDescent="0.35">
      <c r="A376" s="39" t="s">
        <v>67</v>
      </c>
      <c r="B376" s="35" t="s">
        <v>27</v>
      </c>
      <c r="C376" s="36" t="s">
        <v>33</v>
      </c>
      <c r="D376" s="24">
        <v>30.102239395409939</v>
      </c>
      <c r="E376" s="24">
        <v>31.603571613392251</v>
      </c>
      <c r="F376" s="24">
        <v>33.228525048707972</v>
      </c>
      <c r="G376" s="24">
        <v>35.000809794905031</v>
      </c>
      <c r="H376" s="24">
        <v>36.907329519654439</v>
      </c>
      <c r="I376" s="24">
        <v>39.017726166678429</v>
      </c>
      <c r="J376" s="24">
        <v>41.26990385638323</v>
      </c>
      <c r="K376" s="24">
        <v>43.758998751964242</v>
      </c>
      <c r="L376" s="24">
        <v>46.468993999100832</v>
      </c>
      <c r="M376" s="24">
        <v>49.424256476509605</v>
      </c>
      <c r="N376" s="24">
        <v>52.681174146544485</v>
      </c>
      <c r="O376" s="24">
        <v>56.278839049122958</v>
      </c>
      <c r="P376" s="24">
        <v>60.226825596606126</v>
      </c>
      <c r="Q376" s="14"/>
      <c r="R376" s="14"/>
    </row>
    <row r="377" spans="1:18" x14ac:dyDescent="0.35">
      <c r="A377" s="39" t="s">
        <v>67</v>
      </c>
      <c r="B377" s="35" t="s">
        <v>34</v>
      </c>
      <c r="C377" s="36" t="s">
        <v>35</v>
      </c>
      <c r="D377" s="24">
        <v>247.62700873450342</v>
      </c>
      <c r="E377" s="24">
        <v>260.1145996733606</v>
      </c>
      <c r="F377" s="24">
        <v>273.40822438071712</v>
      </c>
      <c r="G377" s="24">
        <v>287.69497653489054</v>
      </c>
      <c r="H377" s="24">
        <v>302.69518762761368</v>
      </c>
      <c r="I377" s="24">
        <v>318.60444421303748</v>
      </c>
      <c r="J377" s="24">
        <v>336.39174300771401</v>
      </c>
      <c r="K377" s="24">
        <v>354.90712127821132</v>
      </c>
      <c r="L377" s="24">
        <v>374.9485784232337</v>
      </c>
      <c r="M377" s="24">
        <v>396.46451613057229</v>
      </c>
      <c r="N377" s="24">
        <v>418.74211053652539</v>
      </c>
      <c r="O377" s="24">
        <v>442.77533163800558</v>
      </c>
      <c r="P377" s="24">
        <v>468.81685899713534</v>
      </c>
      <c r="Q377" s="21"/>
      <c r="R377" s="21"/>
    </row>
    <row r="378" spans="1:18" x14ac:dyDescent="0.35">
      <c r="A378" s="39" t="s">
        <v>67</v>
      </c>
      <c r="B378" s="35" t="s">
        <v>34</v>
      </c>
      <c r="C378" s="36" t="s">
        <v>36</v>
      </c>
      <c r="D378" s="24">
        <v>251.78979983734698</v>
      </c>
      <c r="E378" s="24">
        <v>268.50845296597663</v>
      </c>
      <c r="F378" s="24">
        <v>286.90293725450869</v>
      </c>
      <c r="G378" s="24">
        <v>306.58290398498366</v>
      </c>
      <c r="H378" s="24">
        <v>327.75912036111032</v>
      </c>
      <c r="I378" s="24">
        <v>350.69719487825176</v>
      </c>
      <c r="J378" s="24">
        <v>375.51559724601083</v>
      </c>
      <c r="K378" s="24">
        <v>403.12928327771107</v>
      </c>
      <c r="L378" s="24">
        <v>433.10674440874726</v>
      </c>
      <c r="M378" s="24">
        <v>465.86387571347285</v>
      </c>
      <c r="N378" s="24">
        <v>501.91602689258934</v>
      </c>
      <c r="O378" s="24">
        <v>541.67470188726998</v>
      </c>
      <c r="P378" s="24">
        <v>585.61210643394281</v>
      </c>
      <c r="Q378" s="21"/>
      <c r="R378" s="21"/>
    </row>
    <row r="379" spans="1:18" x14ac:dyDescent="0.35">
      <c r="A379" s="39" t="s">
        <v>67</v>
      </c>
      <c r="B379" s="35" t="s">
        <v>34</v>
      </c>
      <c r="C379" s="36" t="s">
        <v>37</v>
      </c>
      <c r="D379" s="24">
        <v>166.77947348587603</v>
      </c>
      <c r="E379" s="24">
        <v>177.42376421673814</v>
      </c>
      <c r="F379" s="24">
        <v>188.79597100980121</v>
      </c>
      <c r="G379" s="24">
        <v>201.00698864413752</v>
      </c>
      <c r="H379" s="24">
        <v>214.19104420237267</v>
      </c>
      <c r="I379" s="24">
        <v>228.39050659008268</v>
      </c>
      <c r="J379" s="24">
        <v>243.59456450547131</v>
      </c>
      <c r="K379" s="24">
        <v>260.02910618074105</v>
      </c>
      <c r="L379" s="24">
        <v>277.97668929598268</v>
      </c>
      <c r="M379" s="24">
        <v>297.34201437848247</v>
      </c>
      <c r="N379" s="24">
        <v>318.45093609591618</v>
      </c>
      <c r="O379" s="24">
        <v>341.38652883199904</v>
      </c>
      <c r="P379" s="24">
        <v>366.33639151218193</v>
      </c>
      <c r="Q379" s="21"/>
      <c r="R379" s="21"/>
    </row>
    <row r="380" spans="1:18" x14ac:dyDescent="0.35">
      <c r="A380" s="39" t="s">
        <v>67</v>
      </c>
      <c r="B380" s="35" t="s">
        <v>34</v>
      </c>
      <c r="C380" s="36" t="s">
        <v>38</v>
      </c>
      <c r="D380" s="24">
        <v>58.587796141748839</v>
      </c>
      <c r="E380" s="24">
        <v>61.861123340238997</v>
      </c>
      <c r="F380" s="24">
        <v>65.466288183504574</v>
      </c>
      <c r="G380" s="24">
        <v>69.319184755744928</v>
      </c>
      <c r="H380" s="24">
        <v>73.447421929660578</v>
      </c>
      <c r="I380" s="24">
        <v>77.858617030299541</v>
      </c>
      <c r="J380" s="24">
        <v>82.55957882695435</v>
      </c>
      <c r="K380" s="24">
        <v>87.586335124383695</v>
      </c>
      <c r="L380" s="24">
        <v>93.010882126873256</v>
      </c>
      <c r="M380" s="24">
        <v>98.898735637841085</v>
      </c>
      <c r="N380" s="24">
        <v>105.24384350176364</v>
      </c>
      <c r="O380" s="24">
        <v>112.05752115950267</v>
      </c>
      <c r="P380" s="24">
        <v>119.41299896452917</v>
      </c>
      <c r="Q380" s="21"/>
      <c r="R380" s="21"/>
    </row>
    <row r="381" spans="1:18" x14ac:dyDescent="0.35">
      <c r="A381" s="39" t="s">
        <v>67</v>
      </c>
      <c r="B381" s="35" t="s">
        <v>22</v>
      </c>
      <c r="C381" s="36" t="s">
        <v>39</v>
      </c>
      <c r="D381" s="24">
        <v>169.30355108273784</v>
      </c>
      <c r="E381" s="24">
        <v>179.72615486942732</v>
      </c>
      <c r="F381" s="24">
        <v>190.79797156364293</v>
      </c>
      <c r="G381" s="24">
        <v>202.64072764726711</v>
      </c>
      <c r="H381" s="24">
        <v>215.01732769908131</v>
      </c>
      <c r="I381" s="24">
        <v>228.17276111811168</v>
      </c>
      <c r="J381" s="24">
        <v>243.20296936187697</v>
      </c>
      <c r="K381" s="24">
        <v>259.54409493837773</v>
      </c>
      <c r="L381" s="24">
        <v>277.11269644601634</v>
      </c>
      <c r="M381" s="24">
        <v>296.29435442184183</v>
      </c>
      <c r="N381" s="24">
        <v>316.49534288527116</v>
      </c>
      <c r="O381" s="24">
        <v>338.879219464676</v>
      </c>
      <c r="P381" s="24">
        <v>363.62319455061584</v>
      </c>
      <c r="Q381" s="21"/>
      <c r="R381" s="21"/>
    </row>
    <row r="382" spans="1:18" x14ac:dyDescent="0.35">
      <c r="A382" s="39" t="s">
        <v>67</v>
      </c>
      <c r="B382" s="35" t="s">
        <v>22</v>
      </c>
      <c r="C382" s="36" t="s">
        <v>40</v>
      </c>
      <c r="D382" s="24">
        <v>197.69886824124421</v>
      </c>
      <c r="E382" s="24">
        <v>208.25947637233929</v>
      </c>
      <c r="F382" s="24">
        <v>219.89150791685779</v>
      </c>
      <c r="G382" s="24">
        <v>232.34049614264296</v>
      </c>
      <c r="H382" s="24">
        <v>245.68162635471464</v>
      </c>
      <c r="I382" s="24">
        <v>260.09305057207462</v>
      </c>
      <c r="J382" s="24">
        <v>275.54685177559099</v>
      </c>
      <c r="K382" s="24">
        <v>292.22967110455397</v>
      </c>
      <c r="L382" s="24">
        <v>310.37763214997005</v>
      </c>
      <c r="M382" s="24">
        <v>329.90159937921777</v>
      </c>
      <c r="N382" s="24">
        <v>351.06068145575767</v>
      </c>
      <c r="O382" s="24">
        <v>374.02306189309377</v>
      </c>
      <c r="P382" s="24">
        <v>399.14371804226198</v>
      </c>
      <c r="Q382" s="21"/>
      <c r="R382" s="21"/>
    </row>
    <row r="383" spans="1:18" x14ac:dyDescent="0.35">
      <c r="A383" s="39" t="s">
        <v>67</v>
      </c>
      <c r="B383" s="35" t="s">
        <v>22</v>
      </c>
      <c r="C383" s="36" t="s">
        <v>41</v>
      </c>
      <c r="D383" s="24">
        <v>138.17330295354566</v>
      </c>
      <c r="E383" s="24">
        <v>144.94001356676898</v>
      </c>
      <c r="F383" s="24">
        <v>152.38710875352729</v>
      </c>
      <c r="G383" s="24">
        <v>160.30442853755099</v>
      </c>
      <c r="H383" s="24">
        <v>168.74545188339516</v>
      </c>
      <c r="I383" s="24">
        <v>177.71619566137599</v>
      </c>
      <c r="J383" s="24">
        <v>187.22052096934232</v>
      </c>
      <c r="K383" s="24">
        <v>197.3282914146919</v>
      </c>
      <c r="L383" s="24">
        <v>208.18842886417278</v>
      </c>
      <c r="M383" s="24">
        <v>219.93130102884132</v>
      </c>
      <c r="N383" s="24">
        <v>232.52452256910723</v>
      </c>
      <c r="O383" s="24">
        <v>245.97466868682346</v>
      </c>
      <c r="P383" s="24">
        <v>260.42380372890358</v>
      </c>
      <c r="Q383" s="21"/>
      <c r="R383" s="21"/>
    </row>
    <row r="384" spans="1:18" x14ac:dyDescent="0.35">
      <c r="A384" s="39" t="s">
        <v>67</v>
      </c>
      <c r="B384" s="35" t="s">
        <v>22</v>
      </c>
      <c r="C384" s="36" t="s">
        <v>42</v>
      </c>
      <c r="D384" s="24">
        <v>219.60835592194763</v>
      </c>
      <c r="E384" s="24">
        <v>234.98229538777878</v>
      </c>
      <c r="F384" s="24">
        <v>251.49683259450362</v>
      </c>
      <c r="G384" s="24">
        <v>269.31840159229557</v>
      </c>
      <c r="H384" s="24">
        <v>288.64836818356611</v>
      </c>
      <c r="I384" s="24">
        <v>309.56875536010921</v>
      </c>
      <c r="J384" s="24">
        <v>332.09114147934008</v>
      </c>
      <c r="K384" s="24">
        <v>356.54978840342358</v>
      </c>
      <c r="L384" s="24">
        <v>383.36413679467779</v>
      </c>
      <c r="M384" s="24">
        <v>412.4418870304678</v>
      </c>
      <c r="N384" s="24">
        <v>444.27237011665841</v>
      </c>
      <c r="O384" s="24">
        <v>479.01713347218407</v>
      </c>
      <c r="P384" s="24">
        <v>516.98763958600784</v>
      </c>
      <c r="Q384" s="21"/>
      <c r="R384" s="21"/>
    </row>
    <row r="385" spans="1:18" x14ac:dyDescent="0.35">
      <c r="A385" s="39" t="s">
        <v>68</v>
      </c>
      <c r="B385" s="35" t="s">
        <v>24</v>
      </c>
      <c r="C385" s="36" t="s">
        <v>25</v>
      </c>
      <c r="D385" s="24">
        <v>5.3365485060767623</v>
      </c>
      <c r="E385" s="24">
        <v>5.4260488906724111</v>
      </c>
      <c r="F385" s="24">
        <v>5.5185357033184816</v>
      </c>
      <c r="G385" s="24">
        <v>5.6158111827910142</v>
      </c>
      <c r="H385" s="24">
        <v>5.7199210254056618</v>
      </c>
      <c r="I385" s="24">
        <v>5.8299843797478665</v>
      </c>
      <c r="J385" s="24">
        <v>5.9437804927273277</v>
      </c>
      <c r="K385" s="24">
        <v>6.065125435553071</v>
      </c>
      <c r="L385" s="24">
        <v>6.1983768727117168</v>
      </c>
      <c r="M385" s="24">
        <v>6.338546652906655</v>
      </c>
      <c r="N385" s="24">
        <v>6.4902960465178028</v>
      </c>
      <c r="O385" s="24">
        <v>6.6523654886440458</v>
      </c>
      <c r="P385" s="24">
        <v>6.8255436986082199</v>
      </c>
      <c r="Q385" s="21"/>
      <c r="R385" s="21"/>
    </row>
    <row r="386" spans="1:18" x14ac:dyDescent="0.35">
      <c r="A386" s="39" t="s">
        <v>68</v>
      </c>
      <c r="B386" s="35" t="s">
        <v>24</v>
      </c>
      <c r="C386" s="36" t="s">
        <v>26</v>
      </c>
      <c r="D386" s="24">
        <v>53.238044789729216</v>
      </c>
      <c r="E386" s="24">
        <v>54.523358929576553</v>
      </c>
      <c r="F386" s="24">
        <v>55.86131075362993</v>
      </c>
      <c r="G386" s="24">
        <v>57.250382957940438</v>
      </c>
      <c r="H386" s="24">
        <v>58.693604035468915</v>
      </c>
      <c r="I386" s="24">
        <v>60.211255911198997</v>
      </c>
      <c r="J386" s="24">
        <v>61.835301310890465</v>
      </c>
      <c r="K386" s="24">
        <v>63.538800296889285</v>
      </c>
      <c r="L386" s="24">
        <v>65.384060615180488</v>
      </c>
      <c r="M386" s="24">
        <v>67.385473601750547</v>
      </c>
      <c r="N386" s="24">
        <v>69.536581687269717</v>
      </c>
      <c r="O386" s="24">
        <v>71.80336589092822</v>
      </c>
      <c r="P386" s="24">
        <v>74.269704939991399</v>
      </c>
      <c r="Q386" s="21"/>
      <c r="R386" s="21"/>
    </row>
    <row r="387" spans="1:18" x14ac:dyDescent="0.35">
      <c r="A387" s="39" t="s">
        <v>68</v>
      </c>
      <c r="B387" s="35" t="s">
        <v>27</v>
      </c>
      <c r="C387" s="36" t="s">
        <v>28</v>
      </c>
      <c r="D387" s="24">
        <v>18.920127007114743</v>
      </c>
      <c r="E387" s="24">
        <v>19.328796187723491</v>
      </c>
      <c r="F387" s="24">
        <v>19.681860471618066</v>
      </c>
      <c r="G387" s="24">
        <v>20.011059359952874</v>
      </c>
      <c r="H387" s="24">
        <v>20.322467156705933</v>
      </c>
      <c r="I387" s="24">
        <v>20.605538271092016</v>
      </c>
      <c r="J387" s="24">
        <v>20.925556405079433</v>
      </c>
      <c r="K387" s="24">
        <v>21.198855228888405</v>
      </c>
      <c r="L387" s="24">
        <v>21.507021038805817</v>
      </c>
      <c r="M387" s="24">
        <v>21.851566743016221</v>
      </c>
      <c r="N387" s="24">
        <v>22.210219523826289</v>
      </c>
      <c r="O387" s="24">
        <v>22.530161809223955</v>
      </c>
      <c r="P387" s="24">
        <v>22.876051017883057</v>
      </c>
      <c r="Q387" s="21"/>
      <c r="R387" s="21"/>
    </row>
    <row r="388" spans="1:18" x14ac:dyDescent="0.35">
      <c r="A388" s="39" t="s">
        <v>68</v>
      </c>
      <c r="B388" s="35" t="s">
        <v>27</v>
      </c>
      <c r="C388" s="36" t="s">
        <v>29</v>
      </c>
      <c r="D388" s="24">
        <v>12.384865984448643</v>
      </c>
      <c r="E388" s="24">
        <v>12.689659219805757</v>
      </c>
      <c r="F388" s="24">
        <v>13.021525093320813</v>
      </c>
      <c r="G388" s="24">
        <v>13.387064623481116</v>
      </c>
      <c r="H388" s="24">
        <v>13.778053010521072</v>
      </c>
      <c r="I388" s="24">
        <v>14.217802482884553</v>
      </c>
      <c r="J388" s="24">
        <v>14.679278371395579</v>
      </c>
      <c r="K388" s="24">
        <v>15.193762010227543</v>
      </c>
      <c r="L388" s="24">
        <v>15.750852083765231</v>
      </c>
      <c r="M388" s="24">
        <v>16.354615909097969</v>
      </c>
      <c r="N388" s="24">
        <v>17.019150568905758</v>
      </c>
      <c r="O388" s="24">
        <v>17.751433244084247</v>
      </c>
      <c r="P388" s="24">
        <v>18.548226943769329</v>
      </c>
      <c r="Q388" s="21"/>
      <c r="R388" s="21"/>
    </row>
    <row r="389" spans="1:18" x14ac:dyDescent="0.35">
      <c r="A389" s="39" t="s">
        <v>68</v>
      </c>
      <c r="B389" s="35" t="s">
        <v>27</v>
      </c>
      <c r="C389" s="36" t="s">
        <v>30</v>
      </c>
      <c r="D389" s="24">
        <v>10.987549474130574</v>
      </c>
      <c r="E389" s="24">
        <v>11.328650243930122</v>
      </c>
      <c r="F389" s="24">
        <v>11.725696789998393</v>
      </c>
      <c r="G389" s="24">
        <v>12.14506156539216</v>
      </c>
      <c r="H389" s="24">
        <v>12.59284414940098</v>
      </c>
      <c r="I389" s="24">
        <v>13.067608393984694</v>
      </c>
      <c r="J389" s="24">
        <v>13.573859447943221</v>
      </c>
      <c r="K389" s="24">
        <v>14.124237390680435</v>
      </c>
      <c r="L389" s="24">
        <v>14.707495435750941</v>
      </c>
      <c r="M389" s="24">
        <v>15.337507222634665</v>
      </c>
      <c r="N389" s="24">
        <v>16.006683409609874</v>
      </c>
      <c r="O389" s="24">
        <v>16.724598996118718</v>
      </c>
      <c r="P389" s="24">
        <v>17.510130920569555</v>
      </c>
      <c r="Q389" s="21"/>
      <c r="R389" s="21"/>
    </row>
    <row r="390" spans="1:18" x14ac:dyDescent="0.35">
      <c r="A390" s="39" t="s">
        <v>68</v>
      </c>
      <c r="B390" s="35" t="s">
        <v>27</v>
      </c>
      <c r="C390" s="36" t="s">
        <v>31</v>
      </c>
      <c r="D390" s="24">
        <v>7.3217710159892917</v>
      </c>
      <c r="E390" s="24">
        <v>7.5252739276117095</v>
      </c>
      <c r="F390" s="24">
        <v>7.7364931115445339</v>
      </c>
      <c r="G390" s="24">
        <v>7.9581440520340321</v>
      </c>
      <c r="H390" s="24">
        <v>8.193400387743246</v>
      </c>
      <c r="I390" s="24">
        <v>8.4413746237132337</v>
      </c>
      <c r="J390" s="24">
        <v>8.6991920926234183</v>
      </c>
      <c r="K390" s="24">
        <v>8.9726812618367102</v>
      </c>
      <c r="L390" s="24">
        <v>9.268717940012257</v>
      </c>
      <c r="M390" s="24">
        <v>9.5804894088763248</v>
      </c>
      <c r="N390" s="24">
        <v>9.9154590689123978</v>
      </c>
      <c r="O390" s="24">
        <v>10.272356577959847</v>
      </c>
      <c r="P390" s="24">
        <v>10.653004749162168</v>
      </c>
      <c r="Q390" s="21"/>
      <c r="R390" s="21"/>
    </row>
    <row r="391" spans="1:18" x14ac:dyDescent="0.35">
      <c r="A391" s="39" t="s">
        <v>68</v>
      </c>
      <c r="B391" s="35" t="s">
        <v>27</v>
      </c>
      <c r="C391" s="36" t="s">
        <v>32</v>
      </c>
      <c r="D391" s="24">
        <v>5.4371923098212251</v>
      </c>
      <c r="E391" s="24">
        <v>5.4965430720582358</v>
      </c>
      <c r="F391" s="24">
        <v>5.5699307537973937</v>
      </c>
      <c r="G391" s="24">
        <v>5.6485351968944375</v>
      </c>
      <c r="H391" s="24">
        <v>5.732803730417837</v>
      </c>
      <c r="I391" s="24">
        <v>5.8254286191581297</v>
      </c>
      <c r="J391" s="24">
        <v>5.9239627564478399</v>
      </c>
      <c r="K391" s="24">
        <v>6.0308455962269809</v>
      </c>
      <c r="L391" s="24">
        <v>6.1490487241876783</v>
      </c>
      <c r="M391" s="24">
        <v>6.2745014098584351</v>
      </c>
      <c r="N391" s="24">
        <v>6.4102540743017657</v>
      </c>
      <c r="O391" s="24">
        <v>6.557091417425907</v>
      </c>
      <c r="P391" s="24">
        <v>6.7187987527337274</v>
      </c>
      <c r="Q391" s="21"/>
      <c r="R391" s="21"/>
    </row>
    <row r="392" spans="1:18" x14ac:dyDescent="0.35">
      <c r="A392" s="39" t="s">
        <v>68</v>
      </c>
      <c r="B392" s="35" t="s">
        <v>27</v>
      </c>
      <c r="C392" s="36" t="s">
        <v>33</v>
      </c>
      <c r="D392" s="24">
        <v>3.5230875043014924</v>
      </c>
      <c r="E392" s="24">
        <v>3.5804851691196475</v>
      </c>
      <c r="F392" s="24">
        <v>3.6443402366692124</v>
      </c>
      <c r="G392" s="24">
        <v>3.7163293429768345</v>
      </c>
      <c r="H392" s="24">
        <v>3.793956626085512</v>
      </c>
      <c r="I392" s="24">
        <v>3.8834879001142344</v>
      </c>
      <c r="J392" s="24">
        <v>3.9772327301283048</v>
      </c>
      <c r="K392" s="24">
        <v>4.0835442445822681</v>
      </c>
      <c r="L392" s="24">
        <v>4.1993022653702754</v>
      </c>
      <c r="M392" s="24">
        <v>4.3253395611735863</v>
      </c>
      <c r="N392" s="24">
        <v>4.4651110882314269</v>
      </c>
      <c r="O392" s="24">
        <v>4.6200893347595873</v>
      </c>
      <c r="P392" s="24">
        <v>4.7890362544817799</v>
      </c>
      <c r="Q392" s="21"/>
      <c r="R392" s="21"/>
    </row>
    <row r="393" spans="1:18" x14ac:dyDescent="0.35">
      <c r="A393" s="39" t="s">
        <v>68</v>
      </c>
      <c r="B393" s="35" t="s">
        <v>34</v>
      </c>
      <c r="C393" s="36" t="s">
        <v>35</v>
      </c>
      <c r="D393" s="24">
        <v>18.421151522956983</v>
      </c>
      <c r="E393" s="24">
        <v>18.820062108019762</v>
      </c>
      <c r="F393" s="24">
        <v>19.157119684721287</v>
      </c>
      <c r="G393" s="24">
        <v>19.51345916575373</v>
      </c>
      <c r="H393" s="24">
        <v>19.878013833785893</v>
      </c>
      <c r="I393" s="24">
        <v>20.247135477351577</v>
      </c>
      <c r="J393" s="24">
        <v>20.639645245662116</v>
      </c>
      <c r="K393" s="24">
        <v>20.956558336436004</v>
      </c>
      <c r="L393" s="24">
        <v>21.336133404760673</v>
      </c>
      <c r="M393" s="24">
        <v>21.766835123231658</v>
      </c>
      <c r="N393" s="24">
        <v>22.204953456720759</v>
      </c>
      <c r="O393" s="24">
        <v>22.599161004839452</v>
      </c>
      <c r="P393" s="24">
        <v>23.015976776396776</v>
      </c>
      <c r="Q393" s="14"/>
      <c r="R393" s="14"/>
    </row>
    <row r="394" spans="1:18" x14ac:dyDescent="0.35">
      <c r="A394" s="39" t="s">
        <v>68</v>
      </c>
      <c r="B394" s="35" t="s">
        <v>34</v>
      </c>
      <c r="C394" s="36" t="s">
        <v>36</v>
      </c>
      <c r="D394" s="24">
        <v>21.220921177943925</v>
      </c>
      <c r="E394" s="24">
        <v>21.82502320983934</v>
      </c>
      <c r="F394" s="24">
        <v>22.492305912140687</v>
      </c>
      <c r="G394" s="24">
        <v>23.181977368297773</v>
      </c>
      <c r="H394" s="24">
        <v>23.903859150090554</v>
      </c>
      <c r="I394" s="24">
        <v>24.670039718627436</v>
      </c>
      <c r="J394" s="24">
        <v>25.480124623403366</v>
      </c>
      <c r="K394" s="24">
        <v>26.387304438360339</v>
      </c>
      <c r="L394" s="24">
        <v>27.348592437077496</v>
      </c>
      <c r="M394" s="24">
        <v>28.379660821179112</v>
      </c>
      <c r="N394" s="24">
        <v>29.499402364283238</v>
      </c>
      <c r="O394" s="24">
        <v>30.717191895001552</v>
      </c>
      <c r="P394" s="24">
        <v>32.043623028145561</v>
      </c>
      <c r="Q394" s="14"/>
      <c r="R394" s="14"/>
    </row>
    <row r="395" spans="1:18" x14ac:dyDescent="0.35">
      <c r="A395" s="39" t="s">
        <v>68</v>
      </c>
      <c r="B395" s="35" t="s">
        <v>34</v>
      </c>
      <c r="C395" s="36" t="s">
        <v>37</v>
      </c>
      <c r="D395" s="24">
        <v>13.635070549861805</v>
      </c>
      <c r="E395" s="24">
        <v>13.919599680982849</v>
      </c>
      <c r="F395" s="24">
        <v>14.245642320841899</v>
      </c>
      <c r="G395" s="24">
        <v>14.583579612708757</v>
      </c>
      <c r="H395" s="24">
        <v>14.937496461616814</v>
      </c>
      <c r="I395" s="24">
        <v>15.315685909821132</v>
      </c>
      <c r="J395" s="24">
        <v>15.729862942987332</v>
      </c>
      <c r="K395" s="24">
        <v>16.190615933079773</v>
      </c>
      <c r="L395" s="24">
        <v>16.679944664818418</v>
      </c>
      <c r="M395" s="24">
        <v>17.199909924785704</v>
      </c>
      <c r="N395" s="24">
        <v>17.76975924400147</v>
      </c>
      <c r="O395" s="24">
        <v>18.394691688093886</v>
      </c>
      <c r="P395" s="24">
        <v>19.080600347539345</v>
      </c>
      <c r="Q395" s="14"/>
      <c r="R395" s="14"/>
    </row>
    <row r="396" spans="1:18" x14ac:dyDescent="0.35">
      <c r="A396" s="39" t="s">
        <v>68</v>
      </c>
      <c r="B396" s="35" t="s">
        <v>34</v>
      </c>
      <c r="C396" s="36" t="s">
        <v>38</v>
      </c>
      <c r="D396" s="24">
        <v>5.2974500450432664</v>
      </c>
      <c r="E396" s="24">
        <v>5.3847228214070144</v>
      </c>
      <c r="F396" s="24">
        <v>5.4847785392445374</v>
      </c>
      <c r="G396" s="24">
        <v>5.5871779939711947</v>
      </c>
      <c r="H396" s="24">
        <v>5.6941556153813133</v>
      </c>
      <c r="I396" s="24">
        <v>5.8083791851467117</v>
      </c>
      <c r="J396" s="24">
        <v>5.9294489915649864</v>
      </c>
      <c r="K396" s="24">
        <v>6.0694470245662311</v>
      </c>
      <c r="L396" s="24">
        <v>6.21776698123562</v>
      </c>
      <c r="M396" s="24">
        <v>6.3776143854607321</v>
      </c>
      <c r="N396" s="24">
        <v>6.5527626687820533</v>
      </c>
      <c r="O396" s="24">
        <v>6.7446867916373829</v>
      </c>
      <c r="P396" s="24">
        <v>6.9550484865179305</v>
      </c>
      <c r="Q396" s="14"/>
      <c r="R396" s="14"/>
    </row>
    <row r="397" spans="1:18" x14ac:dyDescent="0.35">
      <c r="A397" s="39" t="s">
        <v>68</v>
      </c>
      <c r="B397" s="35" t="s">
        <v>22</v>
      </c>
      <c r="C397" s="36" t="s">
        <v>39</v>
      </c>
      <c r="D397" s="24">
        <v>15.12574365498736</v>
      </c>
      <c r="E397" s="24">
        <v>15.575848842774995</v>
      </c>
      <c r="F397" s="24">
        <v>16.02657597053674</v>
      </c>
      <c r="G397" s="24">
        <v>16.460823358517523</v>
      </c>
      <c r="H397" s="24">
        <v>16.882784918455229</v>
      </c>
      <c r="I397" s="24">
        <v>17.288468163489725</v>
      </c>
      <c r="J397" s="24">
        <v>17.752208440076203</v>
      </c>
      <c r="K397" s="24">
        <v>18.193056552869606</v>
      </c>
      <c r="L397" s="24">
        <v>18.665663793374527</v>
      </c>
      <c r="M397" s="24">
        <v>19.202119008794298</v>
      </c>
      <c r="N397" s="24">
        <v>19.758218216638411</v>
      </c>
      <c r="O397" s="24">
        <v>20.297846391647312</v>
      </c>
      <c r="P397" s="24">
        <v>20.904741669522416</v>
      </c>
      <c r="Q397" s="14"/>
      <c r="R397" s="14"/>
    </row>
    <row r="398" spans="1:18" x14ac:dyDescent="0.35">
      <c r="A398" s="39" t="s">
        <v>68</v>
      </c>
      <c r="B398" s="35" t="s">
        <v>22</v>
      </c>
      <c r="C398" s="36" t="s">
        <v>40</v>
      </c>
      <c r="D398" s="24">
        <v>15.40424914937493</v>
      </c>
      <c r="E398" s="24">
        <v>15.613418622855558</v>
      </c>
      <c r="F398" s="24">
        <v>15.849509378545257</v>
      </c>
      <c r="G398" s="24">
        <v>16.119592869110576</v>
      </c>
      <c r="H398" s="24">
        <v>16.412566185510844</v>
      </c>
      <c r="I398" s="24">
        <v>16.755346136441197</v>
      </c>
      <c r="J398" s="24">
        <v>17.11434887752872</v>
      </c>
      <c r="K398" s="24">
        <v>17.525381508910669</v>
      </c>
      <c r="L398" s="24">
        <v>17.974631711236189</v>
      </c>
      <c r="M398" s="24">
        <v>18.465351526015088</v>
      </c>
      <c r="N398" s="24">
        <v>19.011951802787483</v>
      </c>
      <c r="O398" s="24">
        <v>19.620249319064751</v>
      </c>
      <c r="P398" s="24">
        <v>20.284487215229685</v>
      </c>
      <c r="Q398" s="14"/>
      <c r="R398" s="14"/>
    </row>
    <row r="399" spans="1:18" x14ac:dyDescent="0.35">
      <c r="A399" s="39" t="s">
        <v>68</v>
      </c>
      <c r="B399" s="35" t="s">
        <v>22</v>
      </c>
      <c r="C399" s="36" t="s">
        <v>41</v>
      </c>
      <c r="D399" s="24">
        <v>11.744670053503132</v>
      </c>
      <c r="E399" s="24">
        <v>11.92891956125017</v>
      </c>
      <c r="F399" s="24">
        <v>12.119325141232414</v>
      </c>
      <c r="G399" s="24">
        <v>12.319824337455437</v>
      </c>
      <c r="H399" s="24">
        <v>12.534871976846192</v>
      </c>
      <c r="I399" s="24">
        <v>12.762490518103265</v>
      </c>
      <c r="J399" s="24">
        <v>12.997777558117209</v>
      </c>
      <c r="K399" s="24">
        <v>13.249052698820504</v>
      </c>
      <c r="L399" s="24">
        <v>13.525783248954008</v>
      </c>
      <c r="M399" s="24">
        <v>13.817002330065851</v>
      </c>
      <c r="N399" s="24">
        <v>14.132823595364487</v>
      </c>
      <c r="O399" s="24">
        <v>14.47042500486843</v>
      </c>
      <c r="P399" s="24">
        <v>14.831451830486856</v>
      </c>
      <c r="Q399" s="14"/>
      <c r="R399" s="14"/>
    </row>
    <row r="400" spans="1:18" x14ac:dyDescent="0.35">
      <c r="A400" s="39" t="s">
        <v>68</v>
      </c>
      <c r="B400" s="35" t="s">
        <v>22</v>
      </c>
      <c r="C400" s="36" t="s">
        <v>42</v>
      </c>
      <c r="D400" s="24">
        <v>16.299930437940553</v>
      </c>
      <c r="E400" s="24">
        <v>16.831220793368239</v>
      </c>
      <c r="F400" s="24">
        <v>17.384435966634001</v>
      </c>
      <c r="G400" s="24">
        <v>17.965953575647916</v>
      </c>
      <c r="H400" s="24">
        <v>18.583301980062313</v>
      </c>
      <c r="I400" s="24">
        <v>19.234935472912674</v>
      </c>
      <c r="J400" s="24">
        <v>19.914746927895674</v>
      </c>
      <c r="K400" s="24">
        <v>20.636434971841563</v>
      </c>
      <c r="L400" s="24">
        <v>21.416358734327481</v>
      </c>
      <c r="M400" s="24">
        <v>22.239547389781972</v>
      </c>
      <c r="N400" s="24">
        <v>23.123884118997136</v>
      </c>
      <c r="O400" s="24">
        <v>24.067210663991784</v>
      </c>
      <c r="P400" s="24">
        <v>25.074567923360654</v>
      </c>
      <c r="Q400" s="21"/>
      <c r="R400" s="21"/>
    </row>
    <row r="401" spans="1:18" x14ac:dyDescent="0.35">
      <c r="A401" s="39" t="s">
        <v>69</v>
      </c>
      <c r="B401" s="35" t="s">
        <v>24</v>
      </c>
      <c r="C401" s="36" t="s">
        <v>25</v>
      </c>
      <c r="D401" s="24">
        <v>36.819044347243107</v>
      </c>
      <c r="E401" s="24">
        <v>38.176056685281218</v>
      </c>
      <c r="F401" s="24">
        <v>39.675007518424522</v>
      </c>
      <c r="G401" s="24">
        <v>41.255617750436386</v>
      </c>
      <c r="H401" s="24">
        <v>42.928113718015247</v>
      </c>
      <c r="I401" s="24">
        <v>44.690099158478077</v>
      </c>
      <c r="J401" s="24">
        <v>46.538659664441013</v>
      </c>
      <c r="K401" s="24">
        <v>48.487336178960945</v>
      </c>
      <c r="L401" s="24">
        <v>50.568389091204686</v>
      </c>
      <c r="M401" s="24">
        <v>52.807994579008557</v>
      </c>
      <c r="N401" s="24">
        <v>55.191928277770117</v>
      </c>
      <c r="O401" s="24">
        <v>57.715723662974305</v>
      </c>
      <c r="P401" s="24">
        <v>60.406776870272544</v>
      </c>
      <c r="Q401" s="21"/>
      <c r="R401" s="21"/>
    </row>
    <row r="402" spans="1:18" x14ac:dyDescent="0.35">
      <c r="A402" s="39" t="s">
        <v>69</v>
      </c>
      <c r="B402" s="35" t="s">
        <v>24</v>
      </c>
      <c r="C402" s="36" t="s">
        <v>26</v>
      </c>
      <c r="D402" s="24">
        <v>349.45322333638808</v>
      </c>
      <c r="E402" s="24">
        <v>365.30255024658817</v>
      </c>
      <c r="F402" s="24">
        <v>382.01548063427566</v>
      </c>
      <c r="G402" s="24">
        <v>399.61811023858149</v>
      </c>
      <c r="H402" s="24">
        <v>418.16870387613346</v>
      </c>
      <c r="I402" s="24">
        <v>437.85151314725721</v>
      </c>
      <c r="J402" s="24">
        <v>458.94909282698092</v>
      </c>
      <c r="K402" s="24">
        <v>481.32783704221856</v>
      </c>
      <c r="L402" s="24">
        <v>505.51616966982419</v>
      </c>
      <c r="M402" s="24">
        <v>531.71301617852271</v>
      </c>
      <c r="N402" s="24">
        <v>559.96521526583876</v>
      </c>
      <c r="O402" s="24">
        <v>590.09711803915377</v>
      </c>
      <c r="P402" s="24">
        <v>622.88314159007859</v>
      </c>
      <c r="Q402" s="21"/>
      <c r="R402" s="21"/>
    </row>
    <row r="403" spans="1:18" x14ac:dyDescent="0.35">
      <c r="A403" s="39" t="s">
        <v>69</v>
      </c>
      <c r="B403" s="35" t="s">
        <v>27</v>
      </c>
      <c r="C403" s="36" t="s">
        <v>28</v>
      </c>
      <c r="D403" s="24">
        <v>125.5538272386579</v>
      </c>
      <c r="E403" s="24">
        <v>130.52495401948812</v>
      </c>
      <c r="F403" s="24">
        <v>135.54720215573701</v>
      </c>
      <c r="G403" s="24">
        <v>140.66093758884887</v>
      </c>
      <c r="H403" s="24">
        <v>145.8910330867887</v>
      </c>
      <c r="I403" s="24">
        <v>151.25974363806523</v>
      </c>
      <c r="J403" s="24">
        <v>157.06410007604609</v>
      </c>
      <c r="K403" s="24">
        <v>162.99555385725768</v>
      </c>
      <c r="L403" s="24">
        <v>169.37292349272855</v>
      </c>
      <c r="M403" s="24">
        <v>176.28261037929099</v>
      </c>
      <c r="N403" s="24">
        <v>183.6381607689442</v>
      </c>
      <c r="O403" s="24">
        <v>191.20692188249859</v>
      </c>
      <c r="P403" s="24">
        <v>199.47892587058118</v>
      </c>
      <c r="Q403" s="21"/>
      <c r="R403" s="21"/>
    </row>
    <row r="404" spans="1:18" x14ac:dyDescent="0.35">
      <c r="A404" s="39" t="s">
        <v>69</v>
      </c>
      <c r="B404" s="35" t="s">
        <v>27</v>
      </c>
      <c r="C404" s="36" t="s">
        <v>29</v>
      </c>
      <c r="D404" s="24">
        <v>86.887282297081228</v>
      </c>
      <c r="E404" s="24">
        <v>91.376707625487214</v>
      </c>
      <c r="F404" s="24">
        <v>96.318125358918465</v>
      </c>
      <c r="G404" s="24">
        <v>101.58212388990667</v>
      </c>
      <c r="H404" s="24">
        <v>107.20501009063958</v>
      </c>
      <c r="I404" s="24">
        <v>113.19329918194417</v>
      </c>
      <c r="J404" s="24">
        <v>119.55218797023927</v>
      </c>
      <c r="K404" s="24">
        <v>126.32906127061304</v>
      </c>
      <c r="L404" s="24">
        <v>133.62238989126232</v>
      </c>
      <c r="M404" s="24">
        <v>141.51972936923571</v>
      </c>
      <c r="N404" s="24">
        <v>150.0047847166777</v>
      </c>
      <c r="O404" s="24">
        <v>159.08620773995361</v>
      </c>
      <c r="P404" s="24">
        <v>168.86034810972001</v>
      </c>
      <c r="Q404" s="21"/>
      <c r="R404" s="21"/>
    </row>
    <row r="405" spans="1:18" x14ac:dyDescent="0.35">
      <c r="A405" s="39" t="s">
        <v>69</v>
      </c>
      <c r="B405" s="35" t="s">
        <v>27</v>
      </c>
      <c r="C405" s="36" t="s">
        <v>30</v>
      </c>
      <c r="D405" s="24">
        <v>70.314488646622721</v>
      </c>
      <c r="E405" s="24">
        <v>74.357102594984497</v>
      </c>
      <c r="F405" s="24">
        <v>78.661606265136072</v>
      </c>
      <c r="G405" s="24">
        <v>83.241048813341934</v>
      </c>
      <c r="H405" s="24">
        <v>88.115601842241816</v>
      </c>
      <c r="I405" s="24">
        <v>93.332728039001438</v>
      </c>
      <c r="J405" s="24">
        <v>98.96283893396722</v>
      </c>
      <c r="K405" s="24">
        <v>104.98962879969847</v>
      </c>
      <c r="L405" s="24">
        <v>111.54014436992759</v>
      </c>
      <c r="M405" s="24">
        <v>118.67432541815344</v>
      </c>
      <c r="N405" s="24">
        <v>126.42055265688215</v>
      </c>
      <c r="O405" s="24">
        <v>134.75786098691907</v>
      </c>
      <c r="P405" s="24">
        <v>143.88084266364999</v>
      </c>
      <c r="Q405" s="21"/>
      <c r="R405" s="21"/>
    </row>
    <row r="406" spans="1:18" x14ac:dyDescent="0.35">
      <c r="A406" s="39" t="s">
        <v>69</v>
      </c>
      <c r="B406" s="35" t="s">
        <v>27</v>
      </c>
      <c r="C406" s="36" t="s">
        <v>31</v>
      </c>
      <c r="D406" s="24">
        <v>47.553359214561326</v>
      </c>
      <c r="E406" s="24">
        <v>49.397837237722705</v>
      </c>
      <c r="F406" s="24">
        <v>51.390045773212528</v>
      </c>
      <c r="G406" s="24">
        <v>53.561241948478489</v>
      </c>
      <c r="H406" s="24">
        <v>55.884934292410826</v>
      </c>
      <c r="I406" s="24">
        <v>58.460898427873886</v>
      </c>
      <c r="J406" s="24">
        <v>61.18722349696916</v>
      </c>
      <c r="K406" s="24">
        <v>64.199207439329754</v>
      </c>
      <c r="L406" s="24">
        <v>67.463295344885154</v>
      </c>
      <c r="M406" s="24">
        <v>71.005762330014235</v>
      </c>
      <c r="N406" s="24">
        <v>74.897606523790159</v>
      </c>
      <c r="O406" s="24">
        <v>79.182078394815179</v>
      </c>
      <c r="P406" s="24">
        <v>83.858854608914655</v>
      </c>
      <c r="Q406" s="21"/>
      <c r="R406" s="21"/>
    </row>
    <row r="407" spans="1:18" x14ac:dyDescent="0.35">
      <c r="A407" s="39" t="s">
        <v>69</v>
      </c>
      <c r="B407" s="35" t="s">
        <v>27</v>
      </c>
      <c r="C407" s="36" t="s">
        <v>32</v>
      </c>
      <c r="D407" s="24">
        <v>36.814059180573345</v>
      </c>
      <c r="E407" s="24">
        <v>37.90649750563253</v>
      </c>
      <c r="F407" s="24">
        <v>39.041730402053375</v>
      </c>
      <c r="G407" s="24">
        <v>40.233686958373596</v>
      </c>
      <c r="H407" s="24">
        <v>41.498713583473382</v>
      </c>
      <c r="I407" s="24">
        <v>42.832705761951118</v>
      </c>
      <c r="J407" s="24">
        <v>44.221444306299674</v>
      </c>
      <c r="K407" s="24">
        <v>45.694846389000169</v>
      </c>
      <c r="L407" s="24">
        <v>47.288380110277146</v>
      </c>
      <c r="M407" s="24">
        <v>48.967932133571921</v>
      </c>
      <c r="N407" s="24">
        <v>50.772106579855318</v>
      </c>
      <c r="O407" s="24">
        <v>52.695065360000612</v>
      </c>
      <c r="P407" s="24">
        <v>54.74679259540364</v>
      </c>
      <c r="Q407" s="21"/>
      <c r="R407" s="21"/>
    </row>
    <row r="408" spans="1:18" x14ac:dyDescent="0.35">
      <c r="A408" s="39" t="s">
        <v>69</v>
      </c>
      <c r="B408" s="35" t="s">
        <v>27</v>
      </c>
      <c r="C408" s="36" t="s">
        <v>33</v>
      </c>
      <c r="D408" s="24">
        <v>19.149251106134688</v>
      </c>
      <c r="E408" s="24">
        <v>19.915507948554282</v>
      </c>
      <c r="F408" s="24">
        <v>20.731778197642761</v>
      </c>
      <c r="G408" s="24">
        <v>21.594688790068336</v>
      </c>
      <c r="H408" s="24">
        <v>22.501524698594459</v>
      </c>
      <c r="I408" s="24">
        <v>23.462237256899485</v>
      </c>
      <c r="J408" s="24">
        <v>24.499957707900535</v>
      </c>
      <c r="K408" s="24">
        <v>25.606875465280392</v>
      </c>
      <c r="L408" s="24">
        <v>26.797425551948123</v>
      </c>
      <c r="M408" s="24">
        <v>28.070651127264931</v>
      </c>
      <c r="N408" s="24">
        <v>29.423932297459395</v>
      </c>
      <c r="O408" s="24">
        <v>30.884707337940938</v>
      </c>
      <c r="P408" s="24">
        <v>32.464154612081657</v>
      </c>
      <c r="Q408" s="21"/>
      <c r="R408" s="21"/>
    </row>
    <row r="409" spans="1:18" x14ac:dyDescent="0.35">
      <c r="A409" s="39" t="s">
        <v>69</v>
      </c>
      <c r="B409" s="35" t="s">
        <v>34</v>
      </c>
      <c r="C409" s="36" t="s">
        <v>35</v>
      </c>
      <c r="D409" s="24">
        <v>134.57534673384072</v>
      </c>
      <c r="E409" s="24">
        <v>139.48239505723666</v>
      </c>
      <c r="F409" s="24">
        <v>144.48930947925379</v>
      </c>
      <c r="G409" s="24">
        <v>149.67585032905953</v>
      </c>
      <c r="H409" s="24">
        <v>155.02075007515282</v>
      </c>
      <c r="I409" s="24">
        <v>160.60695070247294</v>
      </c>
      <c r="J409" s="24">
        <v>166.59657715289575</v>
      </c>
      <c r="K409" s="24">
        <v>172.81484019881759</v>
      </c>
      <c r="L409" s="24">
        <v>179.52402383468859</v>
      </c>
      <c r="M409" s="24">
        <v>186.78309378288958</v>
      </c>
      <c r="N409" s="24">
        <v>194.55028194575857</v>
      </c>
      <c r="O409" s="24">
        <v>202.72706837098298</v>
      </c>
      <c r="P409" s="24">
        <v>211.64279626661823</v>
      </c>
      <c r="Q409" s="14"/>
      <c r="R409" s="14"/>
    </row>
    <row r="410" spans="1:18" x14ac:dyDescent="0.35">
      <c r="A410" s="39" t="s">
        <v>69</v>
      </c>
      <c r="B410" s="35" t="s">
        <v>34</v>
      </c>
      <c r="C410" s="36" t="s">
        <v>36</v>
      </c>
      <c r="D410" s="24">
        <v>140.11634505647618</v>
      </c>
      <c r="E410" s="24">
        <v>147.57414799280326</v>
      </c>
      <c r="F410" s="24">
        <v>155.48737937135766</v>
      </c>
      <c r="G410" s="24">
        <v>163.87583925090391</v>
      </c>
      <c r="H410" s="24">
        <v>172.77297755252752</v>
      </c>
      <c r="I410" s="24">
        <v>182.26516067673506</v>
      </c>
      <c r="J410" s="24">
        <v>192.48211965254222</v>
      </c>
      <c r="K410" s="24">
        <v>203.38276424042013</v>
      </c>
      <c r="L410" s="24">
        <v>215.20428283519072</v>
      </c>
      <c r="M410" s="24">
        <v>228.05049764785574</v>
      </c>
      <c r="N410" s="24">
        <v>241.96281943882065</v>
      </c>
      <c r="O410" s="24">
        <v>256.88743821146716</v>
      </c>
      <c r="P410" s="24">
        <v>273.18220124475073</v>
      </c>
      <c r="Q410" s="14"/>
      <c r="R410" s="14"/>
    </row>
    <row r="411" spans="1:18" x14ac:dyDescent="0.35">
      <c r="A411" s="39" t="s">
        <v>69</v>
      </c>
      <c r="B411" s="35" t="s">
        <v>34</v>
      </c>
      <c r="C411" s="36" t="s">
        <v>37</v>
      </c>
      <c r="D411" s="24">
        <v>79.362125082481882</v>
      </c>
      <c r="E411" s="24">
        <v>83.029712777158963</v>
      </c>
      <c r="F411" s="24">
        <v>87.066719066545744</v>
      </c>
      <c r="G411" s="24">
        <v>91.350053646222804</v>
      </c>
      <c r="H411" s="24">
        <v>95.908138059582924</v>
      </c>
      <c r="I411" s="24">
        <v>100.7421083763283</v>
      </c>
      <c r="J411" s="24">
        <v>105.85185353759958</v>
      </c>
      <c r="K411" s="24">
        <v>111.27456704438974</v>
      </c>
      <c r="L411" s="24">
        <v>117.09162057864664</v>
      </c>
      <c r="M411" s="24">
        <v>123.37308363833662</v>
      </c>
      <c r="N411" s="24">
        <v>130.09697684776467</v>
      </c>
      <c r="O411" s="24">
        <v>137.26332730131301</v>
      </c>
      <c r="P411" s="24">
        <v>144.94774855884501</v>
      </c>
      <c r="Q411" s="14"/>
      <c r="R411" s="14"/>
    </row>
    <row r="412" spans="1:18" x14ac:dyDescent="0.35">
      <c r="A412" s="39" t="s">
        <v>69</v>
      </c>
      <c r="B412" s="35" t="s">
        <v>34</v>
      </c>
      <c r="C412" s="36" t="s">
        <v>38</v>
      </c>
      <c r="D412" s="24">
        <v>32.218450810832394</v>
      </c>
      <c r="E412" s="24">
        <v>33.39235110467046</v>
      </c>
      <c r="F412" s="24">
        <v>34.647080235543029</v>
      </c>
      <c r="G412" s="24">
        <v>35.97198476283166</v>
      </c>
      <c r="H412" s="24">
        <v>37.394951906885467</v>
      </c>
      <c r="I412" s="24">
        <v>38.927392550198931</v>
      </c>
      <c r="J412" s="24">
        <v>40.557202148384377</v>
      </c>
      <c r="K412" s="24">
        <v>42.343001737552065</v>
      </c>
      <c r="L412" s="24">
        <v>44.264631512502945</v>
      </c>
      <c r="M412" s="24">
        <v>46.314335688449333</v>
      </c>
      <c r="N412" s="24">
        <v>48.54706531126498</v>
      </c>
      <c r="O412" s="24">
        <v>50.935007818364916</v>
      </c>
      <c r="P412" s="24">
        <v>53.517172390137155</v>
      </c>
      <c r="Q412" s="14"/>
      <c r="R412" s="14"/>
    </row>
    <row r="413" spans="1:18" x14ac:dyDescent="0.35">
      <c r="A413" s="39" t="s">
        <v>69</v>
      </c>
      <c r="B413" s="35" t="s">
        <v>22</v>
      </c>
      <c r="C413" s="36" t="s">
        <v>39</v>
      </c>
      <c r="D413" s="24">
        <v>101.07419573782784</v>
      </c>
      <c r="E413" s="24">
        <v>106.83824035144937</v>
      </c>
      <c r="F413" s="24">
        <v>112.27277267808768</v>
      </c>
      <c r="G413" s="24">
        <v>117.97023893135815</v>
      </c>
      <c r="H413" s="24">
        <v>123.85060520578838</v>
      </c>
      <c r="I413" s="24">
        <v>130.03539438833593</v>
      </c>
      <c r="J413" s="24">
        <v>136.74110515571101</v>
      </c>
      <c r="K413" s="24">
        <v>143.39306818268705</v>
      </c>
      <c r="L413" s="24">
        <v>150.78554847395696</v>
      </c>
      <c r="M413" s="24">
        <v>158.82731366101279</v>
      </c>
      <c r="N413" s="24">
        <v>167.53162040424473</v>
      </c>
      <c r="O413" s="24">
        <v>176.53006310788498</v>
      </c>
      <c r="P413" s="24">
        <v>186.24643805251605</v>
      </c>
      <c r="Q413" s="14"/>
      <c r="R413" s="14"/>
    </row>
    <row r="414" spans="1:18" x14ac:dyDescent="0.35">
      <c r="A414" s="39" t="s">
        <v>69</v>
      </c>
      <c r="B414" s="35" t="s">
        <v>22</v>
      </c>
      <c r="C414" s="36" t="s">
        <v>40</v>
      </c>
      <c r="D414" s="24">
        <v>99.999961921506966</v>
      </c>
      <c r="E414" s="24">
        <v>103.72177742327854</v>
      </c>
      <c r="F414" s="24">
        <v>107.80064532046147</v>
      </c>
      <c r="G414" s="24">
        <v>112.04943886220092</v>
      </c>
      <c r="H414" s="24">
        <v>116.51916580604137</v>
      </c>
      <c r="I414" s="24">
        <v>121.27355232908694</v>
      </c>
      <c r="J414" s="24">
        <v>126.31703714950686</v>
      </c>
      <c r="K414" s="24">
        <v>131.91974248765644</v>
      </c>
      <c r="L414" s="24">
        <v>137.87998545738088</v>
      </c>
      <c r="M414" s="24">
        <v>144.28476590482094</v>
      </c>
      <c r="N414" s="24">
        <v>151.24025245838402</v>
      </c>
      <c r="O414" s="24">
        <v>158.80721374930951</v>
      </c>
      <c r="P414" s="24">
        <v>167.05453722770764</v>
      </c>
      <c r="Q414" s="14"/>
      <c r="R414" s="14"/>
    </row>
    <row r="415" spans="1:18" x14ac:dyDescent="0.35">
      <c r="A415" s="39" t="s">
        <v>69</v>
      </c>
      <c r="B415" s="35" t="s">
        <v>22</v>
      </c>
      <c r="C415" s="36" t="s">
        <v>41</v>
      </c>
      <c r="D415" s="24">
        <v>76.99969985541648</v>
      </c>
      <c r="E415" s="24">
        <v>79.517203034752342</v>
      </c>
      <c r="F415" s="24">
        <v>82.308485317695329</v>
      </c>
      <c r="G415" s="24">
        <v>85.245058798441306</v>
      </c>
      <c r="H415" s="24">
        <v>88.346150251038893</v>
      </c>
      <c r="I415" s="24">
        <v>91.604686308353081</v>
      </c>
      <c r="J415" s="24">
        <v>95.012627533036181</v>
      </c>
      <c r="K415" s="24">
        <v>98.595641297525248</v>
      </c>
      <c r="L415" s="24">
        <v>102.41703347421216</v>
      </c>
      <c r="M415" s="24">
        <v>106.5267584632185</v>
      </c>
      <c r="N415" s="24">
        <v>110.89245259689312</v>
      </c>
      <c r="O415" s="24">
        <v>115.50184483354094</v>
      </c>
      <c r="P415" s="24">
        <v>120.40659717512534</v>
      </c>
      <c r="Q415" s="14"/>
      <c r="R415" s="14"/>
    </row>
    <row r="416" spans="1:18" x14ac:dyDescent="0.35">
      <c r="A416" s="39" t="s">
        <v>69</v>
      </c>
      <c r="B416" s="35" t="s">
        <v>22</v>
      </c>
      <c r="C416" s="36" t="s">
        <v>42</v>
      </c>
      <c r="D416" s="24">
        <v>108.19841016887992</v>
      </c>
      <c r="E416" s="24">
        <v>113.4013861223891</v>
      </c>
      <c r="F416" s="24">
        <v>119.30858483645574</v>
      </c>
      <c r="G416" s="24">
        <v>125.60899139701752</v>
      </c>
      <c r="H416" s="24">
        <v>132.38089633128007</v>
      </c>
      <c r="I416" s="24">
        <v>139.62797927995933</v>
      </c>
      <c r="J416" s="24">
        <v>147.41698265316788</v>
      </c>
      <c r="K416" s="24">
        <v>155.90672125331079</v>
      </c>
      <c r="L416" s="24">
        <v>165.00199135547888</v>
      </c>
      <c r="M416" s="24">
        <v>174.88217272847902</v>
      </c>
      <c r="N416" s="24">
        <v>185.49281808408699</v>
      </c>
      <c r="O416" s="24">
        <v>196.97372001139254</v>
      </c>
      <c r="P416" s="24">
        <v>209.58234600500211</v>
      </c>
      <c r="Q416" s="14"/>
      <c r="R416" s="14"/>
    </row>
    <row r="417" spans="1:18" x14ac:dyDescent="0.35">
      <c r="A417" s="37" t="s">
        <v>45</v>
      </c>
      <c r="B417" s="35" t="s">
        <v>24</v>
      </c>
      <c r="C417" s="36" t="s">
        <v>25</v>
      </c>
      <c r="D417" s="24">
        <v>728.91753512158118</v>
      </c>
      <c r="E417" s="24">
        <v>769.9844728486695</v>
      </c>
      <c r="F417" s="24">
        <v>815.27013712649114</v>
      </c>
      <c r="G417" s="24">
        <v>863.92289555321759</v>
      </c>
      <c r="H417" s="24">
        <v>916.4513194606227</v>
      </c>
      <c r="I417" s="24">
        <v>973.31154235396457</v>
      </c>
      <c r="J417" s="24">
        <v>1034.7114984812704</v>
      </c>
      <c r="K417" s="24">
        <v>1101.791038464889</v>
      </c>
      <c r="L417" s="24">
        <v>1174.7468256571428</v>
      </c>
      <c r="M417" s="24">
        <v>1254.1495544149213</v>
      </c>
      <c r="N417" s="24">
        <v>1340.9264151036618</v>
      </c>
      <c r="O417" s="24">
        <v>1435.5208367892919</v>
      </c>
      <c r="P417" s="24">
        <v>1539.2363037109419</v>
      </c>
      <c r="Q417" s="14"/>
      <c r="R417" s="14"/>
    </row>
    <row r="418" spans="1:18" x14ac:dyDescent="0.35">
      <c r="A418" s="37" t="s">
        <v>45</v>
      </c>
      <c r="B418" s="35" t="s">
        <v>24</v>
      </c>
      <c r="C418" s="36" t="s">
        <v>26</v>
      </c>
      <c r="D418" s="24">
        <v>7251.0235215995408</v>
      </c>
      <c r="E418" s="24">
        <v>7718.344021888458</v>
      </c>
      <c r="F418" s="24">
        <v>8234.3849518418065</v>
      </c>
      <c r="G418" s="24">
        <v>8791.4844697559038</v>
      </c>
      <c r="H418" s="24">
        <v>9395.91399238144</v>
      </c>
      <c r="I418" s="24">
        <v>10053.159529707897</v>
      </c>
      <c r="J418" s="24">
        <v>10767.58250982907</v>
      </c>
      <c r="K418" s="24">
        <v>11552.53077978172</v>
      </c>
      <c r="L418" s="24">
        <v>12410.243702879536</v>
      </c>
      <c r="M418" s="24">
        <v>13348.440574122138</v>
      </c>
      <c r="N418" s="24">
        <v>14379.305993370899</v>
      </c>
      <c r="O418" s="24">
        <v>15510.295219649988</v>
      </c>
      <c r="P418" s="24">
        <v>16757.610619429553</v>
      </c>
      <c r="Q418" s="14"/>
      <c r="R418" s="14"/>
    </row>
    <row r="419" spans="1:18" x14ac:dyDescent="0.35">
      <c r="A419" s="37" t="s">
        <v>45</v>
      </c>
      <c r="B419" s="35" t="s">
        <v>27</v>
      </c>
      <c r="C419" s="36" t="s">
        <v>28</v>
      </c>
      <c r="D419" s="24">
        <v>2739.2841874260803</v>
      </c>
      <c r="E419" s="24">
        <v>2889.0105141856166</v>
      </c>
      <c r="F419" s="24">
        <v>3056.236097561979</v>
      </c>
      <c r="G419" s="24">
        <v>3234.2472826296726</v>
      </c>
      <c r="H419" s="24">
        <v>3425.825758772789</v>
      </c>
      <c r="I419" s="24">
        <v>3631.1105938542432</v>
      </c>
      <c r="J419" s="24">
        <v>3851.5738205724824</v>
      </c>
      <c r="K419" s="24">
        <v>4092.2472809905958</v>
      </c>
      <c r="L419" s="24">
        <v>4350.7722610462124</v>
      </c>
      <c r="M419" s="24">
        <v>4630.9930710412227</v>
      </c>
      <c r="N419" s="24">
        <v>4934.597249666288</v>
      </c>
      <c r="O419" s="24">
        <v>5262.2211123756751</v>
      </c>
      <c r="P419" s="24">
        <v>5618.8327154979606</v>
      </c>
      <c r="Q419" s="14"/>
      <c r="R419" s="14"/>
    </row>
    <row r="420" spans="1:18" x14ac:dyDescent="0.35">
      <c r="A420" s="37" t="s">
        <v>45</v>
      </c>
      <c r="B420" s="35" t="s">
        <v>27</v>
      </c>
      <c r="C420" s="36" t="s">
        <v>29</v>
      </c>
      <c r="D420" s="24">
        <v>1731.1680329581395</v>
      </c>
      <c r="E420" s="24">
        <v>1857.5272879140757</v>
      </c>
      <c r="F420" s="24">
        <v>1996.3146122209612</v>
      </c>
      <c r="G420" s="24">
        <v>2147.2685818181844</v>
      </c>
      <c r="H420" s="24">
        <v>2311.9531763005871</v>
      </c>
      <c r="I420" s="24">
        <v>2492.1129346984203</v>
      </c>
      <c r="J420" s="24">
        <v>2688.8078668870658</v>
      </c>
      <c r="K420" s="24">
        <v>2905.1449321805217</v>
      </c>
      <c r="L420" s="24">
        <v>3143.340367365141</v>
      </c>
      <c r="M420" s="24">
        <v>3405.1295071572904</v>
      </c>
      <c r="N420" s="24">
        <v>3694.122061688141</v>
      </c>
      <c r="O420" s="24">
        <v>4012.4802532655563</v>
      </c>
      <c r="P420" s="24">
        <v>4364.6208783178517</v>
      </c>
      <c r="Q420" s="14"/>
      <c r="R420" s="14"/>
    </row>
    <row r="421" spans="1:18" x14ac:dyDescent="0.35">
      <c r="A421" s="37" t="s">
        <v>45</v>
      </c>
      <c r="B421" s="35" t="s">
        <v>27</v>
      </c>
      <c r="C421" s="36" t="s">
        <v>30</v>
      </c>
      <c r="D421" s="24">
        <v>1394.9563027809779</v>
      </c>
      <c r="E421" s="24">
        <v>1502.3392131864662</v>
      </c>
      <c r="F421" s="24">
        <v>1620.7181497364006</v>
      </c>
      <c r="G421" s="24">
        <v>1750.1425761529472</v>
      </c>
      <c r="H421" s="24">
        <v>1891.8451252151137</v>
      </c>
      <c r="I421" s="24">
        <v>2047.7694298258007</v>
      </c>
      <c r="J421" s="24">
        <v>2218.5528046155887</v>
      </c>
      <c r="K421" s="24">
        <v>2407.1911470182763</v>
      </c>
      <c r="L421" s="24">
        <v>2615.8963552152463</v>
      </c>
      <c r="M421" s="24">
        <v>2845.8043560822689</v>
      </c>
      <c r="N421" s="24">
        <v>3100.6701906179201</v>
      </c>
      <c r="O421" s="24">
        <v>3383.2199407830185</v>
      </c>
      <c r="P421" s="24">
        <v>3697.4609120298346</v>
      </c>
      <c r="Q421" s="14"/>
      <c r="R421" s="14"/>
    </row>
    <row r="422" spans="1:18" x14ac:dyDescent="0.35">
      <c r="A422" s="37" t="s">
        <v>45</v>
      </c>
      <c r="B422" s="35" t="s">
        <v>27</v>
      </c>
      <c r="C422" s="36" t="s">
        <v>31</v>
      </c>
      <c r="D422" s="24">
        <v>1048.3563393085583</v>
      </c>
      <c r="E422" s="24">
        <v>1117.0544518173829</v>
      </c>
      <c r="F422" s="24">
        <v>1192.7096489039307</v>
      </c>
      <c r="G422" s="24">
        <v>1274.3832582722989</v>
      </c>
      <c r="H422" s="24">
        <v>1362.7547608544285</v>
      </c>
      <c r="I422" s="24">
        <v>1459.0952272248514</v>
      </c>
      <c r="J422" s="24">
        <v>1564.4150975615255</v>
      </c>
      <c r="K422" s="24">
        <v>1680.6236796647527</v>
      </c>
      <c r="L422" s="24">
        <v>1807.7928582666921</v>
      </c>
      <c r="M422" s="24">
        <v>1946.9296158407083</v>
      </c>
      <c r="N422" s="24">
        <v>2100.6602674871338</v>
      </c>
      <c r="O422" s="24">
        <v>2270.6444497445632</v>
      </c>
      <c r="P422" s="24">
        <v>2459.2352064427632</v>
      </c>
      <c r="Q422" s="14"/>
      <c r="R422" s="14"/>
    </row>
    <row r="423" spans="1:18" x14ac:dyDescent="0.35">
      <c r="A423" s="37" t="s">
        <v>45</v>
      </c>
      <c r="B423" s="35" t="s">
        <v>27</v>
      </c>
      <c r="C423" s="36" t="s">
        <v>32</v>
      </c>
      <c r="D423" s="24">
        <v>658.2584049099645</v>
      </c>
      <c r="E423" s="24">
        <v>690.02768051824512</v>
      </c>
      <c r="F423" s="24">
        <v>724.41309535311393</v>
      </c>
      <c r="G423" s="24">
        <v>761.17632461933385</v>
      </c>
      <c r="H423" s="24">
        <v>800.63832193041185</v>
      </c>
      <c r="I423" s="24">
        <v>843.28379767554804</v>
      </c>
      <c r="J423" s="24">
        <v>889.114217754739</v>
      </c>
      <c r="K423" s="24">
        <v>939.08628437390212</v>
      </c>
      <c r="L423" s="24">
        <v>993.35117818004778</v>
      </c>
      <c r="M423" s="24">
        <v>1052.1035095196746</v>
      </c>
      <c r="N423" s="24">
        <v>1116.264825362829</v>
      </c>
      <c r="O423" s="24">
        <v>1185.9659210244299</v>
      </c>
      <c r="P423" s="24">
        <v>1262.1616561545845</v>
      </c>
      <c r="Q423" s="14"/>
      <c r="R423" s="14"/>
    </row>
    <row r="424" spans="1:18" x14ac:dyDescent="0.35">
      <c r="A424" s="37" t="s">
        <v>45</v>
      </c>
      <c r="B424" s="35" t="s">
        <v>27</v>
      </c>
      <c r="C424" s="36" t="s">
        <v>33</v>
      </c>
      <c r="D424" s="24">
        <v>407.91778933740187</v>
      </c>
      <c r="E424" s="24">
        <v>432.36934711533922</v>
      </c>
      <c r="F424" s="24">
        <v>459.26348519191117</v>
      </c>
      <c r="G424" s="24">
        <v>488.18934181668413</v>
      </c>
      <c r="H424" s="24">
        <v>519.34816876873367</v>
      </c>
      <c r="I424" s="24">
        <v>553.09908878299746</v>
      </c>
      <c r="J424" s="24">
        <v>589.83020091894093</v>
      </c>
      <c r="K424" s="24">
        <v>630.02849401856008</v>
      </c>
      <c r="L424" s="24">
        <v>673.83750846333749</v>
      </c>
      <c r="M424" s="24">
        <v>721.63006889589678</v>
      </c>
      <c r="N424" s="24">
        <v>773.91781365224881</v>
      </c>
      <c r="O424" s="24">
        <v>831.28437924603395</v>
      </c>
      <c r="P424" s="24">
        <v>894.53555469750074</v>
      </c>
      <c r="Q424" s="21"/>
      <c r="R424" s="21"/>
    </row>
    <row r="425" spans="1:18" x14ac:dyDescent="0.35">
      <c r="A425" s="37" t="s">
        <v>45</v>
      </c>
      <c r="B425" s="35" t="s">
        <v>34</v>
      </c>
      <c r="C425" s="36" t="s">
        <v>35</v>
      </c>
      <c r="D425" s="24">
        <v>2655.0508281793605</v>
      </c>
      <c r="E425" s="24">
        <v>2804.4501038581079</v>
      </c>
      <c r="F425" s="24">
        <v>2968.7559708672629</v>
      </c>
      <c r="G425" s="24">
        <v>3142.8145234249964</v>
      </c>
      <c r="H425" s="24">
        <v>3329.6933336191119</v>
      </c>
      <c r="I425" s="24">
        <v>3528.9534988245841</v>
      </c>
      <c r="J425" s="24">
        <v>3744.096449458491</v>
      </c>
      <c r="K425" s="24">
        <v>3978.3691716631834</v>
      </c>
      <c r="L425" s="24">
        <v>4230.6261669048172</v>
      </c>
      <c r="M425" s="24">
        <v>4502.8862428587927</v>
      </c>
      <c r="N425" s="24">
        <v>4798.8901829016449</v>
      </c>
      <c r="O425" s="24">
        <v>5118.003011618167</v>
      </c>
      <c r="P425" s="24">
        <v>5464.4775780133386</v>
      </c>
      <c r="Q425" s="21"/>
      <c r="R425" s="21"/>
    </row>
    <row r="426" spans="1:18" x14ac:dyDescent="0.35">
      <c r="A426" s="37" t="s">
        <v>45</v>
      </c>
      <c r="B426" s="35" t="s">
        <v>34</v>
      </c>
      <c r="C426" s="36" t="s">
        <v>36</v>
      </c>
      <c r="D426" s="24">
        <v>2780.3085671324693</v>
      </c>
      <c r="E426" s="24">
        <v>2981.7323464939714</v>
      </c>
      <c r="F426" s="24">
        <v>3204.4675130654587</v>
      </c>
      <c r="G426" s="24">
        <v>3447.0847412982857</v>
      </c>
      <c r="H426" s="24">
        <v>3711.9815435827022</v>
      </c>
      <c r="I426" s="24">
        <v>4002.1968283749216</v>
      </c>
      <c r="J426" s="24">
        <v>4318.4813838980517</v>
      </c>
      <c r="K426" s="24">
        <v>4666.2654839994711</v>
      </c>
      <c r="L426" s="24">
        <v>5049.4287385481548</v>
      </c>
      <c r="M426" s="24">
        <v>5470.5962525496752</v>
      </c>
      <c r="N426" s="24">
        <v>5935.1492889325618</v>
      </c>
      <c r="O426" s="24">
        <v>6447.4499465675344</v>
      </c>
      <c r="P426" s="24">
        <v>7014.97608215949</v>
      </c>
      <c r="Q426" s="21"/>
      <c r="R426" s="21"/>
    </row>
    <row r="427" spans="1:18" x14ac:dyDescent="0.35">
      <c r="A427" s="37" t="s">
        <v>45</v>
      </c>
      <c r="B427" s="35" t="s">
        <v>34</v>
      </c>
      <c r="C427" s="36" t="s">
        <v>37</v>
      </c>
      <c r="D427" s="24">
        <v>1780.6247881202373</v>
      </c>
      <c r="E427" s="24">
        <v>1894.6336851820947</v>
      </c>
      <c r="F427" s="24">
        <v>2020.825822316523</v>
      </c>
      <c r="G427" s="24">
        <v>2157.8106441894097</v>
      </c>
      <c r="H427" s="24">
        <v>2306.6835098161978</v>
      </c>
      <c r="I427" s="24">
        <v>2469.7179627172536</v>
      </c>
      <c r="J427" s="24">
        <v>2647.3650839488737</v>
      </c>
      <c r="K427" s="24">
        <v>2843.6894878412431</v>
      </c>
      <c r="L427" s="24">
        <v>3058.605019521227</v>
      </c>
      <c r="M427" s="24">
        <v>3294.8622327394733</v>
      </c>
      <c r="N427" s="24">
        <v>3555.3544496609729</v>
      </c>
      <c r="O427" s="24">
        <v>3842.944381862967</v>
      </c>
      <c r="P427" s="24">
        <v>4162.1394575833883</v>
      </c>
      <c r="Q427" s="21"/>
      <c r="R427" s="21"/>
    </row>
    <row r="428" spans="1:18" x14ac:dyDescent="0.35">
      <c r="A428" s="37" t="s">
        <v>45</v>
      </c>
      <c r="B428" s="35" t="s">
        <v>34</v>
      </c>
      <c r="C428" s="36" t="s">
        <v>38</v>
      </c>
      <c r="D428" s="24">
        <v>763.95687328905524</v>
      </c>
      <c r="E428" s="24">
        <v>807.51235920295142</v>
      </c>
      <c r="F428" s="24">
        <v>855.60578271905126</v>
      </c>
      <c r="G428" s="24">
        <v>907.69745639643111</v>
      </c>
      <c r="H428" s="24">
        <v>964.00692482405157</v>
      </c>
      <c r="I428" s="24">
        <v>1025.6027821451023</v>
      </c>
      <c r="J428" s="24">
        <v>1092.3510910049267</v>
      </c>
      <c r="K428" s="24">
        <v>1165.9976747427111</v>
      </c>
      <c r="L428" s="24">
        <v>1246.3306035624771</v>
      </c>
      <c r="M428" s="24">
        <v>1334.2454003891198</v>
      </c>
      <c r="N428" s="24">
        <v>1430.8384869793806</v>
      </c>
      <c r="O428" s="24">
        <v>1537.4187163906088</v>
      </c>
      <c r="P428" s="24">
        <v>1655.2538053842775</v>
      </c>
      <c r="Q428" s="21"/>
      <c r="R428" s="21"/>
    </row>
    <row r="429" spans="1:18" x14ac:dyDescent="0.35">
      <c r="A429" s="37" t="s">
        <v>45</v>
      </c>
      <c r="B429" s="35" t="s">
        <v>22</v>
      </c>
      <c r="C429" s="36" t="s">
        <v>39</v>
      </c>
      <c r="D429" s="24">
        <v>2098.2902115380693</v>
      </c>
      <c r="E429" s="24">
        <v>2243.3403259696288</v>
      </c>
      <c r="F429" s="24">
        <v>2407.3140471552733</v>
      </c>
      <c r="G429" s="24">
        <v>2582.1795526555479</v>
      </c>
      <c r="H429" s="24">
        <v>2771.7340875907635</v>
      </c>
      <c r="I429" s="24">
        <v>2974.1826867444097</v>
      </c>
      <c r="J429" s="24">
        <v>3194.7856400622904</v>
      </c>
      <c r="K429" s="24">
        <v>3435.436082664387</v>
      </c>
      <c r="L429" s="24">
        <v>3695.8404926710446</v>
      </c>
      <c r="M429" s="24">
        <v>3979.1940978661578</v>
      </c>
      <c r="N429" s="24">
        <v>4287.1207320360263</v>
      </c>
      <c r="O429" s="24">
        <v>4620.1809587732132</v>
      </c>
      <c r="P429" s="24">
        <v>4984.6238177801361</v>
      </c>
      <c r="Q429" s="21"/>
      <c r="R429" s="21"/>
    </row>
    <row r="430" spans="1:18" x14ac:dyDescent="0.35">
      <c r="A430" s="37" t="s">
        <v>45</v>
      </c>
      <c r="B430" s="35" t="s">
        <v>22</v>
      </c>
      <c r="C430" s="36" t="s">
        <v>40</v>
      </c>
      <c r="D430" s="24">
        <v>2057.5588255867301</v>
      </c>
      <c r="E430" s="24">
        <v>2178.351023712286</v>
      </c>
      <c r="F430" s="24">
        <v>2310.4200914633493</v>
      </c>
      <c r="G430" s="24">
        <v>2453.079011689249</v>
      </c>
      <c r="H430" s="24">
        <v>2607.3938106724204</v>
      </c>
      <c r="I430" s="24">
        <v>2775.5615670740308</v>
      </c>
      <c r="J430" s="24">
        <v>2957.4775008047714</v>
      </c>
      <c r="K430" s="24">
        <v>3156.9941568426384</v>
      </c>
      <c r="L430" s="24">
        <v>3374.9216911193016</v>
      </c>
      <c r="M430" s="24">
        <v>3613.1147582931931</v>
      </c>
      <c r="N430" s="24">
        <v>3874.7077304840782</v>
      </c>
      <c r="O430" s="24">
        <v>4161.4576897098932</v>
      </c>
      <c r="P430" s="24">
        <v>4477.4547934004077</v>
      </c>
      <c r="Q430" s="21"/>
      <c r="R430" s="21"/>
    </row>
    <row r="431" spans="1:18" x14ac:dyDescent="0.35">
      <c r="A431" s="37" t="s">
        <v>45</v>
      </c>
      <c r="B431" s="35" t="s">
        <v>22</v>
      </c>
      <c r="C431" s="36" t="s">
        <v>41</v>
      </c>
      <c r="D431" s="24">
        <v>1470.6032663868166</v>
      </c>
      <c r="E431" s="24">
        <v>1548.0794111536477</v>
      </c>
      <c r="F431" s="24">
        <v>1632.0854296135869</v>
      </c>
      <c r="G431" s="24">
        <v>1722.2023046733223</v>
      </c>
      <c r="H431" s="24">
        <v>1819.2411503860444</v>
      </c>
      <c r="I431" s="24">
        <v>1924.1657741370143</v>
      </c>
      <c r="J431" s="24">
        <v>2037.0736031814381</v>
      </c>
      <c r="K431" s="24">
        <v>2159.9409122100142</v>
      </c>
      <c r="L431" s="24">
        <v>2293.7218977564903</v>
      </c>
      <c r="M431" s="24">
        <v>2438.6676365075746</v>
      </c>
      <c r="N431" s="24">
        <v>2596.8421284401361</v>
      </c>
      <c r="O431" s="24">
        <v>2768.9363615883062</v>
      </c>
      <c r="P431" s="24">
        <v>2957.0469307275521</v>
      </c>
      <c r="Q431" s="21"/>
      <c r="R431" s="21"/>
    </row>
    <row r="432" spans="1:18" x14ac:dyDescent="0.35">
      <c r="A432" s="37" t="s">
        <v>45</v>
      </c>
      <c r="B432" s="35" t="s">
        <v>22</v>
      </c>
      <c r="C432" s="36" t="s">
        <v>42</v>
      </c>
      <c r="D432" s="24">
        <v>2353.4887532095067</v>
      </c>
      <c r="E432" s="24">
        <v>2518.5577339015636</v>
      </c>
      <c r="F432" s="24">
        <v>2699.835520736086</v>
      </c>
      <c r="G432" s="24">
        <v>2897.9464962910024</v>
      </c>
      <c r="H432" s="24">
        <v>3113.9962631928347</v>
      </c>
      <c r="I432" s="24">
        <v>3352.5610441064064</v>
      </c>
      <c r="J432" s="24">
        <v>3612.9572642618427</v>
      </c>
      <c r="K432" s="24">
        <v>3901.9506665295694</v>
      </c>
      <c r="L432" s="24">
        <v>4220.5064469898416</v>
      </c>
      <c r="M432" s="24">
        <v>4571.6136358701351</v>
      </c>
      <c r="N432" s="24">
        <v>4961.5618175143181</v>
      </c>
      <c r="O432" s="24">
        <v>5395.2410463678643</v>
      </c>
      <c r="P432" s="24">
        <v>5877.7213812323971</v>
      </c>
      <c r="Q432" s="21"/>
      <c r="R432" s="21"/>
    </row>
    <row r="433" spans="1:18" x14ac:dyDescent="0.35">
      <c r="A433" s="37" t="s">
        <v>45</v>
      </c>
      <c r="B433" s="37" t="s">
        <v>48</v>
      </c>
      <c r="C433" s="39" t="s">
        <v>70</v>
      </c>
      <c r="D433" s="24">
        <v>331.27801104326164</v>
      </c>
      <c r="E433" s="24">
        <v>347.44614875027105</v>
      </c>
      <c r="F433" s="24">
        <v>365.17621873250255</v>
      </c>
      <c r="G433" s="24">
        <v>384.08360688566296</v>
      </c>
      <c r="H433" s="24">
        <v>404.28488865847044</v>
      </c>
      <c r="I433" s="24">
        <v>426.02967223408723</v>
      </c>
      <c r="J433" s="24">
        <v>449.24862316398674</v>
      </c>
      <c r="K433" s="24">
        <v>474.23174245570812</v>
      </c>
      <c r="L433" s="24">
        <v>501.34476745308041</v>
      </c>
      <c r="M433" s="24">
        <v>530.40486763454783</v>
      </c>
      <c r="N433" s="24">
        <v>561.81088200225952</v>
      </c>
      <c r="O433" s="24">
        <v>595.78051076574877</v>
      </c>
      <c r="P433" s="24">
        <v>632.81417160815374</v>
      </c>
      <c r="Q433" s="21"/>
      <c r="R433" s="21"/>
    </row>
    <row r="434" spans="1:18" x14ac:dyDescent="0.35">
      <c r="A434" s="37" t="s">
        <v>45</v>
      </c>
      <c r="B434" s="37" t="s">
        <v>48</v>
      </c>
      <c r="C434" s="39" t="s">
        <v>71</v>
      </c>
      <c r="D434" s="24">
        <v>213.6376428620147</v>
      </c>
      <c r="E434" s="24">
        <v>220.50572027233795</v>
      </c>
      <c r="F434" s="24">
        <v>227.87286081724739</v>
      </c>
      <c r="G434" s="24">
        <v>235.63162670279226</v>
      </c>
      <c r="H434" s="24">
        <v>243.95122301781532</v>
      </c>
      <c r="I434" s="24">
        <v>252.90540085261165</v>
      </c>
      <c r="J434" s="24">
        <v>262.43116433194655</v>
      </c>
      <c r="K434" s="24">
        <v>272.88647042181429</v>
      </c>
      <c r="L434" s="24">
        <v>284.11905298720376</v>
      </c>
      <c r="M434" s="24">
        <v>296.07822927270428</v>
      </c>
      <c r="N434" s="24">
        <v>309.10672505974293</v>
      </c>
      <c r="O434" s="24">
        <v>323.03813817473508</v>
      </c>
      <c r="P434" s="24">
        <v>338.10060844808783</v>
      </c>
      <c r="Q434" s="21"/>
      <c r="R434" s="21"/>
    </row>
    <row r="435" spans="1:18" x14ac:dyDescent="0.35">
      <c r="A435" s="37" t="s">
        <v>45</v>
      </c>
      <c r="B435" s="37" t="s">
        <v>48</v>
      </c>
      <c r="C435" s="39" t="s">
        <v>72</v>
      </c>
      <c r="D435" s="24">
        <v>73.127468534135204</v>
      </c>
      <c r="E435" s="24">
        <v>74.605117376432972</v>
      </c>
      <c r="F435" s="24">
        <v>76.206158513269472</v>
      </c>
      <c r="G435" s="24">
        <v>77.893032131016582</v>
      </c>
      <c r="H435" s="24">
        <v>79.716738312914643</v>
      </c>
      <c r="I435" s="24">
        <v>81.695537005253911</v>
      </c>
      <c r="J435" s="24">
        <v>83.79538139180211</v>
      </c>
      <c r="K435" s="24">
        <v>86.123621751414149</v>
      </c>
      <c r="L435" s="24">
        <v>88.634725417124457</v>
      </c>
      <c r="M435" s="24">
        <v>91.300366764958753</v>
      </c>
      <c r="N435" s="24">
        <v>94.215322372958013</v>
      </c>
      <c r="O435" s="24">
        <v>97.318343965735494</v>
      </c>
      <c r="P435" s="24">
        <v>100.67259849692795</v>
      </c>
      <c r="Q435" s="21"/>
      <c r="R435" s="21"/>
    </row>
    <row r="436" spans="1:18" x14ac:dyDescent="0.35">
      <c r="A436" s="37" t="s">
        <v>45</v>
      </c>
      <c r="B436" s="37" t="s">
        <v>48</v>
      </c>
      <c r="C436" s="39" t="s">
        <v>73</v>
      </c>
      <c r="D436" s="24">
        <v>1344.2892667733536</v>
      </c>
      <c r="E436" s="24">
        <v>1445.9137518597001</v>
      </c>
      <c r="F436" s="24">
        <v>1558.8979311956168</v>
      </c>
      <c r="G436" s="24">
        <v>1681.2184920236136</v>
      </c>
      <c r="H436" s="24">
        <v>1814.0809068774563</v>
      </c>
      <c r="I436" s="24">
        <v>1959.2581934190739</v>
      </c>
      <c r="J436" s="24">
        <v>2119.181408110931</v>
      </c>
      <c r="K436" s="24">
        <v>2296.5908296821458</v>
      </c>
      <c r="L436" s="24">
        <v>2491.024568689932</v>
      </c>
      <c r="M436" s="24">
        <v>2704.3901516401238</v>
      </c>
      <c r="N436" s="24">
        <v>2941.0664381484835</v>
      </c>
      <c r="O436" s="24">
        <v>3204.0783838632874</v>
      </c>
      <c r="P436" s="24">
        <v>3497.0763348025089</v>
      </c>
      <c r="Q436" s="21"/>
      <c r="R436" s="21"/>
    </row>
    <row r="437" spans="1:18" x14ac:dyDescent="0.35">
      <c r="A437" s="37" t="s">
        <v>45</v>
      </c>
      <c r="B437" s="37" t="s">
        <v>48</v>
      </c>
      <c r="C437" s="39" t="s">
        <v>74</v>
      </c>
      <c r="D437" s="24">
        <v>675.7035934325794</v>
      </c>
      <c r="E437" s="24">
        <v>720.39374797685889</v>
      </c>
      <c r="F437" s="24">
        <v>770.92757307778038</v>
      </c>
      <c r="G437" s="24">
        <v>825.56256162051181</v>
      </c>
      <c r="H437" s="24">
        <v>884.9858225754939</v>
      </c>
      <c r="I437" s="24">
        <v>949.42668575983873</v>
      </c>
      <c r="J437" s="24">
        <v>1019.551778243032</v>
      </c>
      <c r="K437" s="24">
        <v>1096.7026684876751</v>
      </c>
      <c r="L437" s="24">
        <v>1180.5172987684284</v>
      </c>
      <c r="M437" s="24">
        <v>1272.5626283473694</v>
      </c>
      <c r="N437" s="24">
        <v>1372.801251106175</v>
      </c>
      <c r="O437" s="24">
        <v>1482.6182728139806</v>
      </c>
      <c r="P437" s="24">
        <v>1604.3668415183479</v>
      </c>
      <c r="Q437" s="21"/>
      <c r="R437" s="21"/>
    </row>
    <row r="438" spans="1:18" x14ac:dyDescent="0.35">
      <c r="A438" s="37" t="s">
        <v>45</v>
      </c>
      <c r="B438" s="37" t="s">
        <v>48</v>
      </c>
      <c r="C438" s="39" t="s">
        <v>75</v>
      </c>
      <c r="D438" s="24">
        <v>306.5273892159035</v>
      </c>
      <c r="E438" s="24">
        <v>319.58696283054655</v>
      </c>
      <c r="F438" s="24">
        <v>333.98106679939877</v>
      </c>
      <c r="G438" s="24">
        <v>349.20994503851267</v>
      </c>
      <c r="H438" s="24">
        <v>365.37671901766271</v>
      </c>
      <c r="I438" s="24">
        <v>382.50060496218248</v>
      </c>
      <c r="J438" s="24">
        <v>400.60583220452196</v>
      </c>
      <c r="K438" s="24">
        <v>419.84266379386804</v>
      </c>
      <c r="L438" s="24">
        <v>440.44057365191316</v>
      </c>
      <c r="M438" s="24">
        <v>462.63688392986859</v>
      </c>
      <c r="N438" s="24">
        <v>486.39860843065685</v>
      </c>
      <c r="O438" s="24">
        <v>511.7339301282675</v>
      </c>
      <c r="P438" s="24">
        <v>538.90890600118951</v>
      </c>
      <c r="Q438" s="21"/>
      <c r="R438" s="21"/>
    </row>
    <row r="439" spans="1:18" x14ac:dyDescent="0.35">
      <c r="A439" s="37" t="s">
        <v>45</v>
      </c>
      <c r="B439" s="37" t="s">
        <v>48</v>
      </c>
      <c r="C439" s="39" t="s">
        <v>76</v>
      </c>
      <c r="D439" s="24">
        <v>323.83031521970219</v>
      </c>
      <c r="E439" s="24">
        <v>338.02388433264025</v>
      </c>
      <c r="F439" s="24">
        <v>353.26660725132535</v>
      </c>
      <c r="G439" s="24">
        <v>369.42209682612224</v>
      </c>
      <c r="H439" s="24">
        <v>386.78121337018928</v>
      </c>
      <c r="I439" s="24">
        <v>405.4962803163653</v>
      </c>
      <c r="J439" s="24">
        <v>425.50674012116991</v>
      </c>
      <c r="K439" s="24">
        <v>447.4301326115438</v>
      </c>
      <c r="L439" s="24">
        <v>471.07436586659435</v>
      </c>
      <c r="M439" s="24">
        <v>496.40619024969794</v>
      </c>
      <c r="N439" s="24">
        <v>524.04909600718645</v>
      </c>
      <c r="O439" s="24">
        <v>553.79070294884104</v>
      </c>
      <c r="P439" s="24">
        <v>586.08318328953828</v>
      </c>
      <c r="Q439" s="21"/>
      <c r="R439" s="21"/>
    </row>
    <row r="440" spans="1:18" x14ac:dyDescent="0.35">
      <c r="A440" s="37" t="s">
        <v>45</v>
      </c>
      <c r="B440" s="37" t="s">
        <v>48</v>
      </c>
      <c r="C440" s="39" t="s">
        <v>77</v>
      </c>
      <c r="D440" s="24">
        <v>395.3734663947771</v>
      </c>
      <c r="E440" s="24">
        <v>418.89537261251934</v>
      </c>
      <c r="F440" s="24">
        <v>444.02747229195649</v>
      </c>
      <c r="G440" s="24">
        <v>470.93700082925136</v>
      </c>
      <c r="H440" s="24">
        <v>499.9049662333091</v>
      </c>
      <c r="I440" s="24">
        <v>531.03630539037101</v>
      </c>
      <c r="J440" s="24">
        <v>564.28168463769873</v>
      </c>
      <c r="K440" s="24">
        <v>600.12994525811041</v>
      </c>
      <c r="L440" s="24">
        <v>639.19180648366194</v>
      </c>
      <c r="M440" s="24">
        <v>681.22064446208356</v>
      </c>
      <c r="N440" s="24">
        <v>726.9140539751404</v>
      </c>
      <c r="O440" s="24">
        <v>776.44146926187727</v>
      </c>
      <c r="P440" s="24">
        <v>830.2218200635599</v>
      </c>
      <c r="Q440" s="14"/>
      <c r="R440" s="14"/>
    </row>
    <row r="441" spans="1:18" x14ac:dyDescent="0.35">
      <c r="A441" s="37" t="s">
        <v>45</v>
      </c>
      <c r="B441" s="37" t="s">
        <v>48</v>
      </c>
      <c r="C441" s="39" t="s">
        <v>78</v>
      </c>
      <c r="D441" s="24">
        <v>215.42716824728461</v>
      </c>
      <c r="E441" s="24">
        <v>221.8609595525626</v>
      </c>
      <c r="F441" s="24">
        <v>228.71881665920259</v>
      </c>
      <c r="G441" s="24">
        <v>235.96622268719432</v>
      </c>
      <c r="H441" s="24">
        <v>243.55113901122601</v>
      </c>
      <c r="I441" s="24">
        <v>251.59998243600029</v>
      </c>
      <c r="J441" s="24">
        <v>260.27923045066478</v>
      </c>
      <c r="K441" s="24">
        <v>269.5475797382677</v>
      </c>
      <c r="L441" s="24">
        <v>279.50924609086292</v>
      </c>
      <c r="M441" s="24">
        <v>290.14234449827904</v>
      </c>
      <c r="N441" s="24">
        <v>301.42600736535019</v>
      </c>
      <c r="O441" s="24">
        <v>313.60848169441834</v>
      </c>
      <c r="P441" s="24">
        <v>326.76300754130716</v>
      </c>
      <c r="Q441" s="14"/>
      <c r="R441" s="14"/>
    </row>
    <row r="442" spans="1:18" x14ac:dyDescent="0.35">
      <c r="A442" s="37" t="s">
        <v>45</v>
      </c>
      <c r="B442" s="37" t="s">
        <v>48</v>
      </c>
      <c r="C442" s="39" t="s">
        <v>79</v>
      </c>
      <c r="D442" s="24">
        <v>672.23336009106492</v>
      </c>
      <c r="E442" s="24">
        <v>720.68993640677945</v>
      </c>
      <c r="F442" s="24">
        <v>773.53700438792475</v>
      </c>
      <c r="G442" s="24">
        <v>830.76834809200523</v>
      </c>
      <c r="H442" s="24">
        <v>893.28756571222164</v>
      </c>
      <c r="I442" s="24">
        <v>961.71649564032282</v>
      </c>
      <c r="J442" s="24">
        <v>1036.198726782947</v>
      </c>
      <c r="K442" s="24">
        <v>1118.555313572909</v>
      </c>
      <c r="L442" s="24">
        <v>1208.9454075861377</v>
      </c>
      <c r="M442" s="24">
        <v>1307.8036997078832</v>
      </c>
      <c r="N442" s="24">
        <v>1417.1299996588052</v>
      </c>
      <c r="O442" s="24">
        <v>1536.9465786541123</v>
      </c>
      <c r="P442" s="24">
        <v>1669.1443670358562</v>
      </c>
      <c r="Q442" s="14"/>
      <c r="R442" s="14"/>
    </row>
    <row r="443" spans="1:18" x14ac:dyDescent="0.35">
      <c r="A443" s="37" t="s">
        <v>45</v>
      </c>
      <c r="B443" s="37" t="s">
        <v>48</v>
      </c>
      <c r="C443" s="39" t="s">
        <v>80</v>
      </c>
      <c r="D443" s="24">
        <v>274.83885500804217</v>
      </c>
      <c r="E443" s="24">
        <v>284.79257057766858</v>
      </c>
      <c r="F443" s="24">
        <v>295.71494363225003</v>
      </c>
      <c r="G443" s="24">
        <v>307.09547800846468</v>
      </c>
      <c r="H443" s="24">
        <v>319.06699525495316</v>
      </c>
      <c r="I443" s="24">
        <v>331.78556930962526</v>
      </c>
      <c r="J443" s="24">
        <v>345.25848726935106</v>
      </c>
      <c r="K443" s="24">
        <v>360.16719222165767</v>
      </c>
      <c r="L443" s="24">
        <v>376.02561814445761</v>
      </c>
      <c r="M443" s="24">
        <v>393.06479548321312</v>
      </c>
      <c r="N443" s="24">
        <v>411.53735240196778</v>
      </c>
      <c r="O443" s="24">
        <v>431.58851695727782</v>
      </c>
      <c r="P443" s="24">
        <v>453.40335304389237</v>
      </c>
      <c r="Q443" s="14"/>
      <c r="R443" s="14"/>
    </row>
    <row r="444" spans="1:18" x14ac:dyDescent="0.35">
      <c r="A444" s="37" t="s">
        <v>45</v>
      </c>
      <c r="B444" s="37" t="s">
        <v>48</v>
      </c>
      <c r="C444" s="39" t="s">
        <v>81</v>
      </c>
      <c r="D444" s="24">
        <v>357.89581938684091</v>
      </c>
      <c r="E444" s="24">
        <v>376.53459904152731</v>
      </c>
      <c r="F444" s="24">
        <v>397.06777129588767</v>
      </c>
      <c r="G444" s="24">
        <v>419.00865353406141</v>
      </c>
      <c r="H444" s="24">
        <v>442.49291128774695</v>
      </c>
      <c r="I444" s="24">
        <v>467.83712156403561</v>
      </c>
      <c r="J444" s="24">
        <v>495.03045637451112</v>
      </c>
      <c r="K444" s="24">
        <v>524.41404559277044</v>
      </c>
      <c r="L444" s="24">
        <v>556.33237691521481</v>
      </c>
      <c r="M444" s="24">
        <v>590.64964882565789</v>
      </c>
      <c r="N444" s="24">
        <v>627.85183475954068</v>
      </c>
      <c r="O444" s="24">
        <v>668.23855785058379</v>
      </c>
      <c r="P444" s="24">
        <v>712.41854541758687</v>
      </c>
      <c r="Q444" s="14"/>
      <c r="R444" s="14"/>
    </row>
    <row r="445" spans="1:18" x14ac:dyDescent="0.35">
      <c r="A445" s="37" t="s">
        <v>45</v>
      </c>
      <c r="B445" s="37" t="s">
        <v>48</v>
      </c>
      <c r="C445" s="39" t="s">
        <v>82</v>
      </c>
      <c r="D445" s="24">
        <v>447.22439405654433</v>
      </c>
      <c r="E445" s="24">
        <v>474.09448315948464</v>
      </c>
      <c r="F445" s="24">
        <v>503.1809055589884</v>
      </c>
      <c r="G445" s="24">
        <v>534.39239313181815</v>
      </c>
      <c r="H445" s="24">
        <v>568.2193103584292</v>
      </c>
      <c r="I445" s="24">
        <v>604.98751062560984</v>
      </c>
      <c r="J445" s="24">
        <v>644.66676946464872</v>
      </c>
      <c r="K445" s="24">
        <v>688.28265865573417</v>
      </c>
      <c r="L445" s="24">
        <v>735.79579736935978</v>
      </c>
      <c r="M445" s="24">
        <v>787.26314138021894</v>
      </c>
      <c r="N445" s="24">
        <v>843.78317475126755</v>
      </c>
      <c r="O445" s="24">
        <v>905.21498439725303</v>
      </c>
      <c r="P445" s="24">
        <v>972.50855868400345</v>
      </c>
      <c r="Q445" s="14"/>
      <c r="R445" s="14"/>
    </row>
    <row r="446" spans="1:18" x14ac:dyDescent="0.35">
      <c r="A446" s="37" t="s">
        <v>45</v>
      </c>
      <c r="B446" s="37" t="s">
        <v>48</v>
      </c>
      <c r="C446" s="39" t="s">
        <v>83</v>
      </c>
      <c r="D446" s="24">
        <v>1681.3116858681137</v>
      </c>
      <c r="E446" s="24">
        <v>1820.0098865626715</v>
      </c>
      <c r="F446" s="24">
        <v>1974.3544921910946</v>
      </c>
      <c r="G446" s="24">
        <v>2142.9572362166218</v>
      </c>
      <c r="H446" s="24">
        <v>2327.588729334801</v>
      </c>
      <c r="I446" s="24">
        <v>2529.4961752795689</v>
      </c>
      <c r="J446" s="24">
        <v>2749.8585881707932</v>
      </c>
      <c r="K446" s="24">
        <v>2991.1954762824466</v>
      </c>
      <c r="L446" s="24">
        <v>3256.9302944338833</v>
      </c>
      <c r="M446" s="24">
        <v>3550.6308901844668</v>
      </c>
      <c r="N446" s="24">
        <v>3874.1572305825453</v>
      </c>
      <c r="O446" s="24">
        <v>4229.5576413765521</v>
      </c>
      <c r="P446" s="24">
        <v>4621.5717331246115</v>
      </c>
      <c r="Q446" s="14"/>
      <c r="R446" s="14"/>
    </row>
    <row r="447" spans="1:18" x14ac:dyDescent="0.35">
      <c r="A447" s="37" t="s">
        <v>45</v>
      </c>
      <c r="B447" s="37" t="s">
        <v>48</v>
      </c>
      <c r="C447" s="39" t="s">
        <v>84</v>
      </c>
      <c r="D447" s="24">
        <v>542.79028163213377</v>
      </c>
      <c r="E447" s="24">
        <v>577.67289719383905</v>
      </c>
      <c r="F447" s="24">
        <v>616.01686071634663</v>
      </c>
      <c r="G447" s="24">
        <v>656.96302840937449</v>
      </c>
      <c r="H447" s="24">
        <v>700.94717954442365</v>
      </c>
      <c r="I447" s="24">
        <v>748.51889487585686</v>
      </c>
      <c r="J447" s="24">
        <v>799.90933063990212</v>
      </c>
      <c r="K447" s="24">
        <v>857.04443635775317</v>
      </c>
      <c r="L447" s="24">
        <v>918.97243588470451</v>
      </c>
      <c r="M447" s="24">
        <v>986.54701942698648</v>
      </c>
      <c r="N447" s="24">
        <v>1060.8257767369605</v>
      </c>
      <c r="O447" s="24">
        <v>1142.6385339566834</v>
      </c>
      <c r="P447" s="24">
        <v>1232.9366772872875</v>
      </c>
      <c r="Q447" s="21"/>
      <c r="R447" s="21"/>
    </row>
    <row r="448" spans="1:18" x14ac:dyDescent="0.35">
      <c r="A448" s="37" t="s">
        <v>45</v>
      </c>
      <c r="B448" s="37" t="s">
        <v>48</v>
      </c>
      <c r="C448" s="39" t="s">
        <v>85</v>
      </c>
      <c r="D448" s="24">
        <v>124.45233895537081</v>
      </c>
      <c r="E448" s="24">
        <v>127.3024562312854</v>
      </c>
      <c r="F448" s="24">
        <v>130.70840584750417</v>
      </c>
      <c r="G448" s="24">
        <v>134.29764317209813</v>
      </c>
      <c r="H448" s="24">
        <v>138.12900327494995</v>
      </c>
      <c r="I448" s="24">
        <v>142.18064239105701</v>
      </c>
      <c r="J448" s="24">
        <v>146.48980695243512</v>
      </c>
      <c r="K448" s="24">
        <v>151.17704136279079</v>
      </c>
      <c r="L448" s="24">
        <v>156.13219279411817</v>
      </c>
      <c r="M448" s="24">
        <v>161.48862672900097</v>
      </c>
      <c r="N448" s="24">
        <v>167.15865511551959</v>
      </c>
      <c r="O448" s="24">
        <v>173.22300962992361</v>
      </c>
      <c r="P448" s="24">
        <v>179.85621677763626</v>
      </c>
      <c r="Q448" s="21"/>
      <c r="R448" s="21"/>
    </row>
    <row r="449" spans="1:18" x14ac:dyDescent="0.35">
      <c r="A449" s="39" t="s">
        <v>70</v>
      </c>
      <c r="B449" s="35" t="s">
        <v>24</v>
      </c>
      <c r="C449" s="36" t="s">
        <v>25</v>
      </c>
      <c r="D449" s="24">
        <v>32.733046890704038</v>
      </c>
      <c r="E449" s="24">
        <v>34.213058649203361</v>
      </c>
      <c r="F449" s="24">
        <v>35.769354487242396</v>
      </c>
      <c r="G449" s="24">
        <v>37.417264312420627</v>
      </c>
      <c r="H449" s="24">
        <v>39.175205711005788</v>
      </c>
      <c r="I449" s="24">
        <v>41.04329511358798</v>
      </c>
      <c r="J449" s="24">
        <v>43.011834304327749</v>
      </c>
      <c r="K449" s="24">
        <v>45.113342665254429</v>
      </c>
      <c r="L449" s="24">
        <v>47.3876640119963</v>
      </c>
      <c r="M449" s="24">
        <v>49.807152169406137</v>
      </c>
      <c r="N449" s="24">
        <v>52.416255812547334</v>
      </c>
      <c r="O449" s="24">
        <v>55.216040370004201</v>
      </c>
      <c r="P449" s="24">
        <v>58.223987644209132</v>
      </c>
      <c r="Q449" s="21"/>
      <c r="R449" s="21"/>
    </row>
    <row r="450" spans="1:18" x14ac:dyDescent="0.35">
      <c r="A450" s="39" t="s">
        <v>70</v>
      </c>
      <c r="B450" s="35" t="s">
        <v>24</v>
      </c>
      <c r="C450" s="36" t="s">
        <v>26</v>
      </c>
      <c r="D450" s="24">
        <v>298.54496415255761</v>
      </c>
      <c r="E450" s="24">
        <v>313.23309010106772</v>
      </c>
      <c r="F450" s="24">
        <v>329.40686424526018</v>
      </c>
      <c r="G450" s="24">
        <v>346.66634257324233</v>
      </c>
      <c r="H450" s="24">
        <v>365.10968294746465</v>
      </c>
      <c r="I450" s="24">
        <v>384.98637712049924</v>
      </c>
      <c r="J450" s="24">
        <v>406.23678885965899</v>
      </c>
      <c r="K450" s="24">
        <v>429.11839979045368</v>
      </c>
      <c r="L450" s="24">
        <v>453.95710344108409</v>
      </c>
      <c r="M450" s="24">
        <v>480.59771546514173</v>
      </c>
      <c r="N450" s="24">
        <v>509.3946261897122</v>
      </c>
      <c r="O450" s="24">
        <v>540.56447039574459</v>
      </c>
      <c r="P450" s="24">
        <v>574.59018396394458</v>
      </c>
      <c r="Q450" s="21"/>
      <c r="R450" s="21"/>
    </row>
    <row r="451" spans="1:18" x14ac:dyDescent="0.35">
      <c r="A451" s="39" t="s">
        <v>70</v>
      </c>
      <c r="B451" s="35" t="s">
        <v>27</v>
      </c>
      <c r="C451" s="36" t="s">
        <v>28</v>
      </c>
      <c r="D451" s="24">
        <v>120.80684549445732</v>
      </c>
      <c r="E451" s="24">
        <v>125.37513924720315</v>
      </c>
      <c r="F451" s="24">
        <v>130.34819889177976</v>
      </c>
      <c r="G451" s="24">
        <v>135.60800170550283</v>
      </c>
      <c r="H451" s="24">
        <v>141.17628311953786</v>
      </c>
      <c r="I451" s="24">
        <v>147.23389301799898</v>
      </c>
      <c r="J451" s="24">
        <v>153.67970002710246</v>
      </c>
      <c r="K451" s="24">
        <v>160.67279995696907</v>
      </c>
      <c r="L451" s="24">
        <v>168.30908264899779</v>
      </c>
      <c r="M451" s="24">
        <v>176.23078482658502</v>
      </c>
      <c r="N451" s="24">
        <v>184.79158558604615</v>
      </c>
      <c r="O451" s="24">
        <v>194.14620940444786</v>
      </c>
      <c r="P451" s="24">
        <v>204.48190447859071</v>
      </c>
      <c r="Q451" s="21"/>
      <c r="R451" s="21"/>
    </row>
    <row r="452" spans="1:18" x14ac:dyDescent="0.35">
      <c r="A452" s="39" t="s">
        <v>70</v>
      </c>
      <c r="B452" s="35" t="s">
        <v>27</v>
      </c>
      <c r="C452" s="36" t="s">
        <v>29</v>
      </c>
      <c r="D452" s="24">
        <v>64.657392030721141</v>
      </c>
      <c r="E452" s="24">
        <v>68.491123951179986</v>
      </c>
      <c r="F452" s="24">
        <v>72.717089124782675</v>
      </c>
      <c r="G452" s="24">
        <v>77.245596465267226</v>
      </c>
      <c r="H452" s="24">
        <v>82.110260886535343</v>
      </c>
      <c r="I452" s="24">
        <v>87.322766400201175</v>
      </c>
      <c r="J452" s="24">
        <v>92.894023467495956</v>
      </c>
      <c r="K452" s="24">
        <v>98.867942065621932</v>
      </c>
      <c r="L452" s="24">
        <v>105.32958203408089</v>
      </c>
      <c r="M452" s="24">
        <v>112.35774078517983</v>
      </c>
      <c r="N452" s="24">
        <v>119.95089719118188</v>
      </c>
      <c r="O452" s="24">
        <v>128.12727499177402</v>
      </c>
      <c r="P452" s="24">
        <v>136.97609749183138</v>
      </c>
      <c r="Q452" s="21"/>
      <c r="R452" s="21"/>
    </row>
    <row r="453" spans="1:18" x14ac:dyDescent="0.35">
      <c r="A453" s="39" t="s">
        <v>70</v>
      </c>
      <c r="B453" s="35" t="s">
        <v>27</v>
      </c>
      <c r="C453" s="36" t="s">
        <v>30</v>
      </c>
      <c r="D453" s="24">
        <v>60.708919001913237</v>
      </c>
      <c r="E453" s="24">
        <v>64.610795487697473</v>
      </c>
      <c r="F453" s="24">
        <v>68.919029196282452</v>
      </c>
      <c r="G453" s="24">
        <v>73.554148181103045</v>
      </c>
      <c r="H453" s="24">
        <v>78.552553866340801</v>
      </c>
      <c r="I453" s="24">
        <v>83.930312284562334</v>
      </c>
      <c r="J453" s="24">
        <v>89.703005877009815</v>
      </c>
      <c r="K453" s="24">
        <v>95.918332495675031</v>
      </c>
      <c r="L453" s="24">
        <v>102.66476131108766</v>
      </c>
      <c r="M453" s="24">
        <v>110.02626270618694</v>
      </c>
      <c r="N453" s="24">
        <v>118.00966319583814</v>
      </c>
      <c r="O453" s="24">
        <v>126.64127205466293</v>
      </c>
      <c r="P453" s="24">
        <v>136.01799676334954</v>
      </c>
      <c r="Q453" s="21"/>
      <c r="R453" s="21"/>
    </row>
    <row r="454" spans="1:18" x14ac:dyDescent="0.35">
      <c r="A454" s="39" t="s">
        <v>70</v>
      </c>
      <c r="B454" s="35" t="s">
        <v>27</v>
      </c>
      <c r="C454" s="36" t="s">
        <v>31</v>
      </c>
      <c r="D454" s="24">
        <v>38.831600428198968</v>
      </c>
      <c r="E454" s="24">
        <v>40.805739177559694</v>
      </c>
      <c r="F454" s="24">
        <v>42.979639060561993</v>
      </c>
      <c r="G454" s="24">
        <v>45.302045701911531</v>
      </c>
      <c r="H454" s="24">
        <v>47.786473839431203</v>
      </c>
      <c r="I454" s="24">
        <v>50.466327609254726</v>
      </c>
      <c r="J454" s="24">
        <v>53.334694701991708</v>
      </c>
      <c r="K454" s="24">
        <v>56.426251779673947</v>
      </c>
      <c r="L454" s="24">
        <v>59.784884450356877</v>
      </c>
      <c r="M454" s="24">
        <v>63.391391201923909</v>
      </c>
      <c r="N454" s="24">
        <v>67.293661855534964</v>
      </c>
      <c r="O454" s="24">
        <v>71.521681787751888</v>
      </c>
      <c r="P454" s="24">
        <v>76.140852535944873</v>
      </c>
      <c r="Q454" s="21"/>
      <c r="R454" s="21"/>
    </row>
    <row r="455" spans="1:18" x14ac:dyDescent="0.35">
      <c r="A455" s="39" t="s">
        <v>70</v>
      </c>
      <c r="B455" s="35" t="s">
        <v>27</v>
      </c>
      <c r="C455" s="36" t="s">
        <v>32</v>
      </c>
      <c r="D455" s="24">
        <v>29.169292904941393</v>
      </c>
      <c r="E455" s="24">
        <v>30.224379835133657</v>
      </c>
      <c r="F455" s="24">
        <v>31.390407732599989</v>
      </c>
      <c r="G455" s="24">
        <v>32.619462420074761</v>
      </c>
      <c r="H455" s="24">
        <v>33.919502158445667</v>
      </c>
      <c r="I455" s="24">
        <v>35.288490344471676</v>
      </c>
      <c r="J455" s="24">
        <v>36.723986374899688</v>
      </c>
      <c r="K455" s="24">
        <v>38.236540871956301</v>
      </c>
      <c r="L455" s="24">
        <v>39.8514384041884</v>
      </c>
      <c r="M455" s="24">
        <v>41.589102048295324</v>
      </c>
      <c r="N455" s="24">
        <v>43.438083425046486</v>
      </c>
      <c r="O455" s="24">
        <v>45.394643635808386</v>
      </c>
      <c r="P455" s="24">
        <v>47.480113880972098</v>
      </c>
      <c r="Q455" s="21"/>
      <c r="R455" s="21"/>
    </row>
    <row r="456" spans="1:18" x14ac:dyDescent="0.35">
      <c r="A456" s="39" t="s">
        <v>70</v>
      </c>
      <c r="B456" s="35" t="s">
        <v>27</v>
      </c>
      <c r="C456" s="36" t="s">
        <v>33</v>
      </c>
      <c r="D456" s="24">
        <v>17.103961183029604</v>
      </c>
      <c r="E456" s="24">
        <v>17.938971051497077</v>
      </c>
      <c r="F456" s="24">
        <v>18.821854726495712</v>
      </c>
      <c r="G456" s="24">
        <v>19.754352411803549</v>
      </c>
      <c r="H456" s="24">
        <v>20.739814788179537</v>
      </c>
      <c r="I456" s="24">
        <v>21.787882577598335</v>
      </c>
      <c r="J456" s="24">
        <v>22.913212715487155</v>
      </c>
      <c r="K456" s="24">
        <v>24.109875285811835</v>
      </c>
      <c r="L456" s="24">
        <v>25.405018604368802</v>
      </c>
      <c r="M456" s="24">
        <v>26.809586066376809</v>
      </c>
      <c r="N456" s="24">
        <v>28.326990748611884</v>
      </c>
      <c r="O456" s="24">
        <v>29.949428891303672</v>
      </c>
      <c r="P456" s="24">
        <v>31.717206457465135</v>
      </c>
      <c r="Q456" s="14"/>
      <c r="R456" s="14"/>
    </row>
    <row r="457" spans="1:18" x14ac:dyDescent="0.35">
      <c r="A457" s="39" t="s">
        <v>70</v>
      </c>
      <c r="B457" s="35" t="s">
        <v>34</v>
      </c>
      <c r="C457" s="36" t="s">
        <v>35</v>
      </c>
      <c r="D457" s="24">
        <v>110.60776007436723</v>
      </c>
      <c r="E457" s="24">
        <v>115.3244495997547</v>
      </c>
      <c r="F457" s="24">
        <v>120.33808784625074</v>
      </c>
      <c r="G457" s="24">
        <v>125.60404689910882</v>
      </c>
      <c r="H457" s="24">
        <v>131.15001788080781</v>
      </c>
      <c r="I457" s="24">
        <v>137.04866172001658</v>
      </c>
      <c r="J457" s="24">
        <v>143.25595141184345</v>
      </c>
      <c r="K457" s="24">
        <v>149.74660659008941</v>
      </c>
      <c r="L457" s="24">
        <v>156.82385382285497</v>
      </c>
      <c r="M457" s="24">
        <v>164.20465841852382</v>
      </c>
      <c r="N457" s="24">
        <v>172.11528330886188</v>
      </c>
      <c r="O457" s="24">
        <v>180.53385896947987</v>
      </c>
      <c r="P457" s="24">
        <v>189.55055703751714</v>
      </c>
      <c r="Q457" s="14"/>
      <c r="R457" s="14"/>
    </row>
    <row r="458" spans="1:18" x14ac:dyDescent="0.35">
      <c r="A458" s="39" t="s">
        <v>70</v>
      </c>
      <c r="B458" s="35" t="s">
        <v>34</v>
      </c>
      <c r="C458" s="36" t="s">
        <v>36</v>
      </c>
      <c r="D458" s="24">
        <v>115.3057383879971</v>
      </c>
      <c r="E458" s="24">
        <v>121.88105818288123</v>
      </c>
      <c r="F458" s="24">
        <v>129.12822701074077</v>
      </c>
      <c r="G458" s="24">
        <v>136.90454456308001</v>
      </c>
      <c r="H458" s="24">
        <v>145.25956049498842</v>
      </c>
      <c r="I458" s="24">
        <v>154.30434795152451</v>
      </c>
      <c r="J458" s="24">
        <v>164.0292057331489</v>
      </c>
      <c r="K458" s="24">
        <v>174.55198163374644</v>
      </c>
      <c r="L458" s="24">
        <v>186.02164348189325</v>
      </c>
      <c r="M458" s="24">
        <v>198.39419473577337</v>
      </c>
      <c r="N458" s="24">
        <v>211.8344088076428</v>
      </c>
      <c r="O458" s="24">
        <v>226.45437676275392</v>
      </c>
      <c r="P458" s="24">
        <v>242.48074090442665</v>
      </c>
      <c r="Q458" s="14"/>
      <c r="R458" s="14"/>
    </row>
    <row r="459" spans="1:18" x14ac:dyDescent="0.35">
      <c r="A459" s="39" t="s">
        <v>70</v>
      </c>
      <c r="B459" s="35" t="s">
        <v>34</v>
      </c>
      <c r="C459" s="36" t="s">
        <v>37</v>
      </c>
      <c r="D459" s="24">
        <v>75.769288181330538</v>
      </c>
      <c r="E459" s="24">
        <v>79.473301890414973</v>
      </c>
      <c r="F459" s="24">
        <v>83.676575311212389</v>
      </c>
      <c r="G459" s="24">
        <v>88.162118158412554</v>
      </c>
      <c r="H459" s="24">
        <v>92.985524391448209</v>
      </c>
      <c r="I459" s="24">
        <v>98.150148475360965</v>
      </c>
      <c r="J459" s="24">
        <v>103.70368363279961</v>
      </c>
      <c r="K459" s="24">
        <v>109.75873698363137</v>
      </c>
      <c r="L459" s="24">
        <v>116.24942511777635</v>
      </c>
      <c r="M459" s="24">
        <v>123.30311787812256</v>
      </c>
      <c r="N459" s="24">
        <v>130.88270515580589</v>
      </c>
      <c r="O459" s="24">
        <v>139.08801856424094</v>
      </c>
      <c r="P459" s="24">
        <v>148.10228237178342</v>
      </c>
      <c r="Q459" s="14"/>
      <c r="R459" s="14"/>
    </row>
    <row r="460" spans="1:18" x14ac:dyDescent="0.35">
      <c r="A460" s="39" t="s">
        <v>70</v>
      </c>
      <c r="B460" s="35" t="s">
        <v>34</v>
      </c>
      <c r="C460" s="36" t="s">
        <v>38</v>
      </c>
      <c r="D460" s="24">
        <v>29.595224399566764</v>
      </c>
      <c r="E460" s="24">
        <v>30.767339077220115</v>
      </c>
      <c r="F460" s="24">
        <v>32.033328564298635</v>
      </c>
      <c r="G460" s="24">
        <v>33.412897265061602</v>
      </c>
      <c r="H460" s="24">
        <v>34.889785891225998</v>
      </c>
      <c r="I460" s="24">
        <v>36.52651408718517</v>
      </c>
      <c r="J460" s="24">
        <v>38.259782386194786</v>
      </c>
      <c r="K460" s="24">
        <v>40.1744172482409</v>
      </c>
      <c r="L460" s="24">
        <v>42.249845030555846</v>
      </c>
      <c r="M460" s="24">
        <v>44.502896602128097</v>
      </c>
      <c r="N460" s="24">
        <v>46.978484729948953</v>
      </c>
      <c r="O460" s="24">
        <v>49.704256469274043</v>
      </c>
      <c r="P460" s="24">
        <v>52.680591294426584</v>
      </c>
      <c r="Q460" s="14"/>
      <c r="R460" s="14"/>
    </row>
    <row r="461" spans="1:18" x14ac:dyDescent="0.35">
      <c r="A461" s="39" t="s">
        <v>70</v>
      </c>
      <c r="B461" s="35" t="s">
        <v>22</v>
      </c>
      <c r="C461" s="36" t="s">
        <v>39</v>
      </c>
      <c r="D461" s="24">
        <v>96.221406614280596</v>
      </c>
      <c r="E461" s="24">
        <v>100.9769183148166</v>
      </c>
      <c r="F461" s="24">
        <v>106.37882566675495</v>
      </c>
      <c r="G461" s="24">
        <v>112.22605059790385</v>
      </c>
      <c r="H461" s="24">
        <v>118.57675784352938</v>
      </c>
      <c r="I461" s="24">
        <v>125.5140238479421</v>
      </c>
      <c r="J461" s="24">
        <v>132.69877222630129</v>
      </c>
      <c r="K461" s="24">
        <v>140.33896799632544</v>
      </c>
      <c r="L461" s="24">
        <v>148.73377503729256</v>
      </c>
      <c r="M461" s="24">
        <v>157.59250179582364</v>
      </c>
      <c r="N461" s="24">
        <v>167.07898450521992</v>
      </c>
      <c r="O461" s="24">
        <v>177.24057834738863</v>
      </c>
      <c r="P461" s="24">
        <v>188.2238137008016</v>
      </c>
      <c r="Q461" s="14"/>
      <c r="R461" s="14"/>
    </row>
    <row r="462" spans="1:18" x14ac:dyDescent="0.35">
      <c r="A462" s="39" t="s">
        <v>70</v>
      </c>
      <c r="B462" s="35" t="s">
        <v>22</v>
      </c>
      <c r="C462" s="36" t="s">
        <v>40</v>
      </c>
      <c r="D462" s="24">
        <v>78.482051143394798</v>
      </c>
      <c r="E462" s="24">
        <v>82.200311202407093</v>
      </c>
      <c r="F462" s="24">
        <v>86.127306538851627</v>
      </c>
      <c r="G462" s="24">
        <v>90.270105145692099</v>
      </c>
      <c r="H462" s="24">
        <v>94.643092434947931</v>
      </c>
      <c r="I462" s="24">
        <v>99.28927528738086</v>
      </c>
      <c r="J462" s="24">
        <v>104.27428031178349</v>
      </c>
      <c r="K462" s="24">
        <v>109.56968278214389</v>
      </c>
      <c r="L462" s="24">
        <v>115.29753659149023</v>
      </c>
      <c r="M462" s="24">
        <v>121.50567862973247</v>
      </c>
      <c r="N462" s="24">
        <v>128.20755010855322</v>
      </c>
      <c r="O462" s="24">
        <v>135.36574552395712</v>
      </c>
      <c r="P462" s="24">
        <v>143.16050361852675</v>
      </c>
      <c r="Q462" s="14"/>
      <c r="R462" s="14"/>
    </row>
    <row r="463" spans="1:18" x14ac:dyDescent="0.35">
      <c r="A463" s="39" t="s">
        <v>70</v>
      </c>
      <c r="B463" s="35" t="s">
        <v>22</v>
      </c>
      <c r="C463" s="36" t="s">
        <v>41</v>
      </c>
      <c r="D463" s="24">
        <v>61.431770126454936</v>
      </c>
      <c r="E463" s="24">
        <v>63.840434860596808</v>
      </c>
      <c r="F463" s="24">
        <v>66.405573373152947</v>
      </c>
      <c r="G463" s="24">
        <v>69.116010250251492</v>
      </c>
      <c r="H463" s="24">
        <v>71.96271018120774</v>
      </c>
      <c r="I463" s="24">
        <v>74.977173799249428</v>
      </c>
      <c r="J463" s="24">
        <v>78.232922085976014</v>
      </c>
      <c r="K463" s="24">
        <v>81.704445198743826</v>
      </c>
      <c r="L463" s="24">
        <v>85.437290770003116</v>
      </c>
      <c r="M463" s="24">
        <v>89.427791833881841</v>
      </c>
      <c r="N463" s="24">
        <v>93.666993547686147</v>
      </c>
      <c r="O463" s="24">
        <v>98.241653505674492</v>
      </c>
      <c r="P463" s="24">
        <v>103.18654012630482</v>
      </c>
      <c r="Q463" s="14"/>
      <c r="R463" s="14"/>
    </row>
    <row r="464" spans="1:18" x14ac:dyDescent="0.35">
      <c r="A464" s="39" t="s">
        <v>70</v>
      </c>
      <c r="B464" s="35" t="s">
        <v>22</v>
      </c>
      <c r="C464" s="36" t="s">
        <v>42</v>
      </c>
      <c r="D464" s="24">
        <v>95.142783159131312</v>
      </c>
      <c r="E464" s="24">
        <v>100.42848437245054</v>
      </c>
      <c r="F464" s="24">
        <v>106.26451315374301</v>
      </c>
      <c r="G464" s="24">
        <v>112.47144089181553</v>
      </c>
      <c r="H464" s="24">
        <v>119.10232819878539</v>
      </c>
      <c r="I464" s="24">
        <v>126.24919929951483</v>
      </c>
      <c r="J464" s="24">
        <v>134.04264853992595</v>
      </c>
      <c r="K464" s="24">
        <v>142.61864647849495</v>
      </c>
      <c r="L464" s="24">
        <v>151.87616505429452</v>
      </c>
      <c r="M464" s="24">
        <v>161.87889537510989</v>
      </c>
      <c r="N464" s="24">
        <v>172.85735384080022</v>
      </c>
      <c r="O464" s="24">
        <v>184.93253338872853</v>
      </c>
      <c r="P464" s="24">
        <v>198.24331416252056</v>
      </c>
      <c r="Q464" s="14"/>
      <c r="R464" s="14"/>
    </row>
    <row r="465" spans="1:18" x14ac:dyDescent="0.35">
      <c r="A465" s="39" t="s">
        <v>71</v>
      </c>
      <c r="B465" s="35" t="s">
        <v>24</v>
      </c>
      <c r="C465" s="36" t="s">
        <v>25</v>
      </c>
      <c r="D465" s="24">
        <v>17.755532827160188</v>
      </c>
      <c r="E465" s="24">
        <v>18.186378339914029</v>
      </c>
      <c r="F465" s="24">
        <v>18.674159768187877</v>
      </c>
      <c r="G465" s="24">
        <v>19.180605342482128</v>
      </c>
      <c r="H465" s="24">
        <v>19.711258819839479</v>
      </c>
      <c r="I465" s="24">
        <v>20.277289349443905</v>
      </c>
      <c r="J465" s="24">
        <v>20.894543096946073</v>
      </c>
      <c r="K465" s="24">
        <v>21.577577001637408</v>
      </c>
      <c r="L465" s="24">
        <v>22.303035829671447</v>
      </c>
      <c r="M465" s="24">
        <v>23.074075310814703</v>
      </c>
      <c r="N465" s="24">
        <v>23.916946416644922</v>
      </c>
      <c r="O465" s="24">
        <v>24.839334233417276</v>
      </c>
      <c r="P465" s="24">
        <v>25.849956739410253</v>
      </c>
      <c r="Q465" s="14"/>
      <c r="R465" s="14"/>
    </row>
    <row r="466" spans="1:18" x14ac:dyDescent="0.35">
      <c r="A466" s="39" t="s">
        <v>71</v>
      </c>
      <c r="B466" s="35" t="s">
        <v>24</v>
      </c>
      <c r="C466" s="36" t="s">
        <v>26</v>
      </c>
      <c r="D466" s="24">
        <v>195.88211003485452</v>
      </c>
      <c r="E466" s="24">
        <v>202.31934193242392</v>
      </c>
      <c r="F466" s="24">
        <v>209.19870104905951</v>
      </c>
      <c r="G466" s="24">
        <v>216.45102136031014</v>
      </c>
      <c r="H466" s="24">
        <v>224.23996419797584</v>
      </c>
      <c r="I466" s="24">
        <v>232.62811150316773</v>
      </c>
      <c r="J466" s="24">
        <v>241.5366212350005</v>
      </c>
      <c r="K466" s="24">
        <v>251.30889342017687</v>
      </c>
      <c r="L466" s="24">
        <v>261.81601715753231</v>
      </c>
      <c r="M466" s="24">
        <v>273.00415396188959</v>
      </c>
      <c r="N466" s="24">
        <v>285.18977864309801</v>
      </c>
      <c r="O466" s="24">
        <v>298.19880394131781</v>
      </c>
      <c r="P466" s="24">
        <v>312.25065170867759</v>
      </c>
      <c r="Q466" s="14"/>
      <c r="R466" s="14"/>
    </row>
    <row r="467" spans="1:18" x14ac:dyDescent="0.35">
      <c r="A467" s="39" t="s">
        <v>71</v>
      </c>
      <c r="B467" s="35" t="s">
        <v>27</v>
      </c>
      <c r="C467" s="36" t="s">
        <v>28</v>
      </c>
      <c r="D467" s="24">
        <v>69.171136102930546</v>
      </c>
      <c r="E467" s="24">
        <v>70.808861059430114</v>
      </c>
      <c r="F467" s="24">
        <v>72.384147549841771</v>
      </c>
      <c r="G467" s="24">
        <v>74.036166656860445</v>
      </c>
      <c r="H467" s="24">
        <v>75.868830358540578</v>
      </c>
      <c r="I467" s="24">
        <v>77.9050325879507</v>
      </c>
      <c r="J467" s="24">
        <v>80.01302650375132</v>
      </c>
      <c r="K467" s="24">
        <v>82.404027275084616</v>
      </c>
      <c r="L467" s="24">
        <v>84.997583733074691</v>
      </c>
      <c r="M467" s="24">
        <v>87.706844175950948</v>
      </c>
      <c r="N467" s="24">
        <v>90.738000516251958</v>
      </c>
      <c r="O467" s="24">
        <v>93.841410479312458</v>
      </c>
      <c r="P467" s="24">
        <v>97.096570071666889</v>
      </c>
      <c r="Q467" s="14"/>
      <c r="R467" s="14"/>
    </row>
    <row r="468" spans="1:18" x14ac:dyDescent="0.35">
      <c r="A468" s="39" t="s">
        <v>71</v>
      </c>
      <c r="B468" s="35" t="s">
        <v>27</v>
      </c>
      <c r="C468" s="36" t="s">
        <v>29</v>
      </c>
      <c r="D468" s="24">
        <v>44.704841760765625</v>
      </c>
      <c r="E468" s="24">
        <v>46.465981295747142</v>
      </c>
      <c r="F468" s="24">
        <v>48.415259705755496</v>
      </c>
      <c r="G468" s="24">
        <v>50.460781730229613</v>
      </c>
      <c r="H468" s="24">
        <v>52.620278804942764</v>
      </c>
      <c r="I468" s="24">
        <v>54.927441622060975</v>
      </c>
      <c r="J468" s="24">
        <v>57.430487816298019</v>
      </c>
      <c r="K468" s="24">
        <v>60.176755619004091</v>
      </c>
      <c r="L468" s="24">
        <v>63.110394333149451</v>
      </c>
      <c r="M468" s="24">
        <v>66.24700995301535</v>
      </c>
      <c r="N468" s="24">
        <v>69.669219662495607</v>
      </c>
      <c r="O468" s="24">
        <v>73.410156595928072</v>
      </c>
      <c r="P468" s="24">
        <v>77.507601840363606</v>
      </c>
      <c r="Q468" s="14"/>
      <c r="R468" s="14"/>
    </row>
    <row r="469" spans="1:18" x14ac:dyDescent="0.35">
      <c r="A469" s="39" t="s">
        <v>71</v>
      </c>
      <c r="B469" s="35" t="s">
        <v>27</v>
      </c>
      <c r="C469" s="36" t="s">
        <v>30</v>
      </c>
      <c r="D469" s="24">
        <v>35.757468570050882</v>
      </c>
      <c r="E469" s="24">
        <v>37.322060973123094</v>
      </c>
      <c r="F469" s="24">
        <v>39.104539600953025</v>
      </c>
      <c r="G469" s="24">
        <v>41.000170313066221</v>
      </c>
      <c r="H469" s="24">
        <v>43.032995740342621</v>
      </c>
      <c r="I469" s="24">
        <v>45.20239646097955</v>
      </c>
      <c r="J469" s="24">
        <v>47.52816343309771</v>
      </c>
      <c r="K469" s="24">
        <v>50.059431863723226</v>
      </c>
      <c r="L469" s="24">
        <v>52.76295240444405</v>
      </c>
      <c r="M469" s="24">
        <v>55.69380173137035</v>
      </c>
      <c r="N469" s="24">
        <v>58.831670231876565</v>
      </c>
      <c r="O469" s="24">
        <v>62.218160710455336</v>
      </c>
      <c r="P469" s="24">
        <v>65.931342892989008</v>
      </c>
      <c r="Q469" s="14"/>
      <c r="R469" s="14"/>
    </row>
    <row r="470" spans="1:18" x14ac:dyDescent="0.35">
      <c r="A470" s="39" t="s">
        <v>71</v>
      </c>
      <c r="B470" s="35" t="s">
        <v>27</v>
      </c>
      <c r="C470" s="36" t="s">
        <v>31</v>
      </c>
      <c r="D470" s="24">
        <v>31.267853988429003</v>
      </c>
      <c r="E470" s="24">
        <v>32.471841534530846</v>
      </c>
      <c r="F470" s="24">
        <v>33.731078616071443</v>
      </c>
      <c r="G470" s="24">
        <v>35.058782305006403</v>
      </c>
      <c r="H470" s="24">
        <v>36.470707841163389</v>
      </c>
      <c r="I470" s="24">
        <v>37.965149849307274</v>
      </c>
      <c r="J470" s="24">
        <v>39.531345219961032</v>
      </c>
      <c r="K470" s="24">
        <v>41.19758504454574</v>
      </c>
      <c r="L470" s="24">
        <v>42.998104676908724</v>
      </c>
      <c r="M470" s="24">
        <v>44.904999232358989</v>
      </c>
      <c r="N470" s="24">
        <v>46.956040196628429</v>
      </c>
      <c r="O470" s="24">
        <v>49.149142267585674</v>
      </c>
      <c r="P470" s="24">
        <v>51.496847697747114</v>
      </c>
      <c r="Q470" s="14"/>
      <c r="R470" s="14"/>
    </row>
    <row r="471" spans="1:18" x14ac:dyDescent="0.35">
      <c r="A471" s="39" t="s">
        <v>71</v>
      </c>
      <c r="B471" s="35" t="s">
        <v>27</v>
      </c>
      <c r="C471" s="36" t="s">
        <v>32</v>
      </c>
      <c r="D471" s="24">
        <v>19.974573948733529</v>
      </c>
      <c r="E471" s="24">
        <v>20.299619422525353</v>
      </c>
      <c r="F471" s="24">
        <v>20.681836697885267</v>
      </c>
      <c r="G471" s="24">
        <v>21.077431944007451</v>
      </c>
      <c r="H471" s="24">
        <v>21.492102747869531</v>
      </c>
      <c r="I471" s="24">
        <v>21.937497373867199</v>
      </c>
      <c r="J471" s="24">
        <v>22.429954323102614</v>
      </c>
      <c r="K471" s="24">
        <v>22.983909637867132</v>
      </c>
      <c r="L471" s="24">
        <v>23.572952708196702</v>
      </c>
      <c r="M471" s="24">
        <v>24.199488642412717</v>
      </c>
      <c r="N471" s="24">
        <v>24.890056406892661</v>
      </c>
      <c r="O471" s="24">
        <v>25.651040648972582</v>
      </c>
      <c r="P471" s="24">
        <v>26.489673596959737</v>
      </c>
      <c r="Q471" s="21"/>
      <c r="R471" s="21"/>
    </row>
    <row r="472" spans="1:18" x14ac:dyDescent="0.35">
      <c r="A472" s="39" t="s">
        <v>71</v>
      </c>
      <c r="B472" s="35" t="s">
        <v>27</v>
      </c>
      <c r="C472" s="36" t="s">
        <v>33</v>
      </c>
      <c r="D472" s="24">
        <v>12.761768491105112</v>
      </c>
      <c r="E472" s="24">
        <v>13.13735598698139</v>
      </c>
      <c r="F472" s="24">
        <v>13.555998646740404</v>
      </c>
      <c r="G472" s="24">
        <v>13.998293753622123</v>
      </c>
      <c r="H472" s="24">
        <v>14.466307524956447</v>
      </c>
      <c r="I472" s="24">
        <v>14.967882958445964</v>
      </c>
      <c r="J472" s="24">
        <v>15.498187035735866</v>
      </c>
      <c r="K472" s="24">
        <v>16.064760981589487</v>
      </c>
      <c r="L472" s="24">
        <v>16.677065131430147</v>
      </c>
      <c r="M472" s="24">
        <v>17.326085537595922</v>
      </c>
      <c r="N472" s="24">
        <v>18.021738045597726</v>
      </c>
      <c r="O472" s="24">
        <v>18.76822747248098</v>
      </c>
      <c r="P472" s="24">
        <v>19.578572348361472</v>
      </c>
      <c r="Q472" s="21"/>
      <c r="R472" s="21"/>
    </row>
    <row r="473" spans="1:18" x14ac:dyDescent="0.35">
      <c r="A473" s="39" t="s">
        <v>71</v>
      </c>
      <c r="B473" s="35" t="s">
        <v>34</v>
      </c>
      <c r="C473" s="36" t="s">
        <v>35</v>
      </c>
      <c r="D473" s="24">
        <v>67.753446109462431</v>
      </c>
      <c r="E473" s="24">
        <v>68.982408115599924</v>
      </c>
      <c r="F473" s="24">
        <v>70.35841393138719</v>
      </c>
      <c r="G473" s="24">
        <v>71.799381722426318</v>
      </c>
      <c r="H473" s="24">
        <v>73.380527883758873</v>
      </c>
      <c r="I473" s="24">
        <v>75.146368672376923</v>
      </c>
      <c r="J473" s="24">
        <v>77.076229947229308</v>
      </c>
      <c r="K473" s="24">
        <v>79.310838861272146</v>
      </c>
      <c r="L473" s="24">
        <v>81.686272181084348</v>
      </c>
      <c r="M473" s="24">
        <v>84.211307197992625</v>
      </c>
      <c r="N473" s="24">
        <v>87.026800323539931</v>
      </c>
      <c r="O473" s="24">
        <v>89.999592225241088</v>
      </c>
      <c r="P473" s="24">
        <v>93.249971489353499</v>
      </c>
      <c r="Q473" s="21"/>
      <c r="R473" s="21"/>
    </row>
    <row r="474" spans="1:18" x14ac:dyDescent="0.35">
      <c r="A474" s="39" t="s">
        <v>71</v>
      </c>
      <c r="B474" s="35" t="s">
        <v>34</v>
      </c>
      <c r="C474" s="36" t="s">
        <v>36</v>
      </c>
      <c r="D474" s="24">
        <v>73.362482328142576</v>
      </c>
      <c r="E474" s="24">
        <v>76.641580558195329</v>
      </c>
      <c r="F474" s="24">
        <v>80.088226204908494</v>
      </c>
      <c r="G474" s="24">
        <v>83.736488623416292</v>
      </c>
      <c r="H474" s="24">
        <v>87.62727930799926</v>
      </c>
      <c r="I474" s="24">
        <v>91.760492325920168</v>
      </c>
      <c r="J474" s="24">
        <v>96.114078867067107</v>
      </c>
      <c r="K474" s="24">
        <v>100.76037240841559</v>
      </c>
      <c r="L474" s="24">
        <v>105.78792220320733</v>
      </c>
      <c r="M474" s="24">
        <v>111.13443817826978</v>
      </c>
      <c r="N474" s="24">
        <v>116.89861710902886</v>
      </c>
      <c r="O474" s="24">
        <v>123.08220765996211</v>
      </c>
      <c r="P474" s="24">
        <v>129.72354802501792</v>
      </c>
      <c r="Q474" s="21"/>
      <c r="R474" s="21"/>
    </row>
    <row r="475" spans="1:18" x14ac:dyDescent="0.35">
      <c r="A475" s="39" t="s">
        <v>71</v>
      </c>
      <c r="B475" s="35" t="s">
        <v>34</v>
      </c>
      <c r="C475" s="36" t="s">
        <v>37</v>
      </c>
      <c r="D475" s="24">
        <v>50.683093108450649</v>
      </c>
      <c r="E475" s="24">
        <v>52.429148478282897</v>
      </c>
      <c r="F475" s="24">
        <v>54.295109350627705</v>
      </c>
      <c r="G475" s="24">
        <v>56.263567804238093</v>
      </c>
      <c r="H475" s="24">
        <v>58.377527668163211</v>
      </c>
      <c r="I475" s="24">
        <v>60.653940511860398</v>
      </c>
      <c r="J475" s="24">
        <v>63.072985461126841</v>
      </c>
      <c r="K475" s="24">
        <v>65.724978944582432</v>
      </c>
      <c r="L475" s="24">
        <v>68.577263052179489</v>
      </c>
      <c r="M475" s="24">
        <v>71.616640554966779</v>
      </c>
      <c r="N475" s="24">
        <v>74.926974568630783</v>
      </c>
      <c r="O475" s="24">
        <v>78.463751944679544</v>
      </c>
      <c r="P475" s="24">
        <v>82.2857274878928</v>
      </c>
      <c r="Q475" s="21"/>
      <c r="R475" s="21"/>
    </row>
    <row r="476" spans="1:18" x14ac:dyDescent="0.35">
      <c r="A476" s="39" t="s">
        <v>71</v>
      </c>
      <c r="B476" s="35" t="s">
        <v>34</v>
      </c>
      <c r="C476" s="36" t="s">
        <v>38</v>
      </c>
      <c r="D476" s="24">
        <v>21.838621315959042</v>
      </c>
      <c r="E476" s="24">
        <v>22.452583120259817</v>
      </c>
      <c r="F476" s="24">
        <v>23.131111330323982</v>
      </c>
      <c r="G476" s="24">
        <v>23.832188552711568</v>
      </c>
      <c r="H476" s="24">
        <v>24.565888157894001</v>
      </c>
      <c r="I476" s="24">
        <v>25.344599342454146</v>
      </c>
      <c r="J476" s="24">
        <v>26.167870056523288</v>
      </c>
      <c r="K476" s="24">
        <v>27.090280207544147</v>
      </c>
      <c r="L476" s="24">
        <v>28.067595550732577</v>
      </c>
      <c r="M476" s="24">
        <v>29.115843341475092</v>
      </c>
      <c r="N476" s="24">
        <v>30.254333058543349</v>
      </c>
      <c r="O476" s="24">
        <v>31.492586344852331</v>
      </c>
      <c r="P476" s="24">
        <v>32.841361445823594</v>
      </c>
      <c r="Q476" s="21"/>
      <c r="R476" s="21"/>
    </row>
    <row r="477" spans="1:18" x14ac:dyDescent="0.35">
      <c r="A477" s="39" t="s">
        <v>71</v>
      </c>
      <c r="B477" s="35" t="s">
        <v>22</v>
      </c>
      <c r="C477" s="36" t="s">
        <v>39</v>
      </c>
      <c r="D477" s="24">
        <v>55.641624471972307</v>
      </c>
      <c r="E477" s="24">
        <v>57.698130697988461</v>
      </c>
      <c r="F477" s="24">
        <v>59.775331286433044</v>
      </c>
      <c r="G477" s="24">
        <v>61.872421044866314</v>
      </c>
      <c r="H477" s="24">
        <v>64.183566775987231</v>
      </c>
      <c r="I477" s="24">
        <v>66.652869344972771</v>
      </c>
      <c r="J477" s="24">
        <v>69.245259726110589</v>
      </c>
      <c r="K477" s="24">
        <v>72.164558573438796</v>
      </c>
      <c r="L477" s="24">
        <v>75.296278726810897</v>
      </c>
      <c r="M477" s="24">
        <v>78.529653411448066</v>
      </c>
      <c r="N477" s="24">
        <v>82.181361055006164</v>
      </c>
      <c r="O477" s="24">
        <v>85.931426067088921</v>
      </c>
      <c r="P477" s="24">
        <v>89.925124675783167</v>
      </c>
      <c r="Q477" s="21"/>
      <c r="R477" s="21"/>
    </row>
    <row r="478" spans="1:18" x14ac:dyDescent="0.35">
      <c r="A478" s="39" t="s">
        <v>71</v>
      </c>
      <c r="B478" s="35" t="s">
        <v>22</v>
      </c>
      <c r="C478" s="36" t="s">
        <v>40</v>
      </c>
      <c r="D478" s="24">
        <v>54.95058469825878</v>
      </c>
      <c r="E478" s="24">
        <v>56.258326097828707</v>
      </c>
      <c r="F478" s="24">
        <v>57.683958652448503</v>
      </c>
      <c r="G478" s="24">
        <v>59.256441071891288</v>
      </c>
      <c r="H478" s="24">
        <v>60.939015509850265</v>
      </c>
      <c r="I478" s="24">
        <v>62.83452512617869</v>
      </c>
      <c r="J478" s="24">
        <v>64.822984777712605</v>
      </c>
      <c r="K478" s="24">
        <v>67.042306924546708</v>
      </c>
      <c r="L478" s="24">
        <v>69.446046660773021</v>
      </c>
      <c r="M478" s="24">
        <v>72.051697038346617</v>
      </c>
      <c r="N478" s="24">
        <v>74.920882992688433</v>
      </c>
      <c r="O478" s="24">
        <v>78.083693828805821</v>
      </c>
      <c r="P478" s="24">
        <v>81.525195461647982</v>
      </c>
      <c r="Q478" s="21"/>
      <c r="R478" s="21"/>
    </row>
    <row r="479" spans="1:18" x14ac:dyDescent="0.35">
      <c r="A479" s="39" t="s">
        <v>71</v>
      </c>
      <c r="B479" s="35" t="s">
        <v>22</v>
      </c>
      <c r="C479" s="36" t="s">
        <v>41</v>
      </c>
      <c r="D479" s="24">
        <v>39.997434919825373</v>
      </c>
      <c r="E479" s="24">
        <v>40.768049087336522</v>
      </c>
      <c r="F479" s="24">
        <v>41.716733490077296</v>
      </c>
      <c r="G479" s="24">
        <v>42.717387936957699</v>
      </c>
      <c r="H479" s="24">
        <v>43.789244531697847</v>
      </c>
      <c r="I479" s="24">
        <v>44.924410815654113</v>
      </c>
      <c r="J479" s="24">
        <v>46.135716771735439</v>
      </c>
      <c r="K479" s="24">
        <v>47.463004082812297</v>
      </c>
      <c r="L479" s="24">
        <v>48.863975520968737</v>
      </c>
      <c r="M479" s="24">
        <v>50.381612108068708</v>
      </c>
      <c r="N479" s="24">
        <v>51.986384322199079</v>
      </c>
      <c r="O479" s="24">
        <v>53.705744573862134</v>
      </c>
      <c r="P479" s="24">
        <v>55.595700534811471</v>
      </c>
      <c r="Q479" s="21"/>
      <c r="R479" s="21"/>
    </row>
    <row r="480" spans="1:18" x14ac:dyDescent="0.35">
      <c r="A480" s="39" t="s">
        <v>71</v>
      </c>
      <c r="B480" s="35" t="s">
        <v>22</v>
      </c>
      <c r="C480" s="36" t="s">
        <v>42</v>
      </c>
      <c r="D480" s="24">
        <v>63.047998771958241</v>
      </c>
      <c r="E480" s="24">
        <v>65.781214389184271</v>
      </c>
      <c r="F480" s="24">
        <v>68.696837388288543</v>
      </c>
      <c r="G480" s="24">
        <v>71.785376649076966</v>
      </c>
      <c r="H480" s="24">
        <v>75.039396200279995</v>
      </c>
      <c r="I480" s="24">
        <v>78.493595565806089</v>
      </c>
      <c r="J480" s="24">
        <v>82.227203056387907</v>
      </c>
      <c r="K480" s="24">
        <v>86.216600841016501</v>
      </c>
      <c r="L480" s="24">
        <v>90.512752078651104</v>
      </c>
      <c r="M480" s="24">
        <v>95.115266714840885</v>
      </c>
      <c r="N480" s="24">
        <v>100.01809668984926</v>
      </c>
      <c r="O480" s="24">
        <v>105.31727370497821</v>
      </c>
      <c r="P480" s="24">
        <v>111.05458777584519</v>
      </c>
      <c r="Q480" s="21"/>
      <c r="R480" s="21"/>
    </row>
    <row r="481" spans="1:18" x14ac:dyDescent="0.35">
      <c r="A481" s="39" t="s">
        <v>72</v>
      </c>
      <c r="B481" s="35" t="s">
        <v>24</v>
      </c>
      <c r="C481" s="36" t="s">
        <v>25</v>
      </c>
      <c r="D481" s="24">
        <v>6.2471028749718771</v>
      </c>
      <c r="E481" s="24">
        <v>6.3319511029567073</v>
      </c>
      <c r="F481" s="24">
        <v>6.4333757807360588</v>
      </c>
      <c r="G481" s="24">
        <v>6.5413187913660193</v>
      </c>
      <c r="H481" s="24">
        <v>6.6563476491283717</v>
      </c>
      <c r="I481" s="24">
        <v>6.7816421324390781</v>
      </c>
      <c r="J481" s="24">
        <v>6.9144321039244394</v>
      </c>
      <c r="K481" s="24">
        <v>7.0576214762566609</v>
      </c>
      <c r="L481" s="24">
        <v>7.2147669853818641</v>
      </c>
      <c r="M481" s="24">
        <v>7.3811992382413489</v>
      </c>
      <c r="N481" s="24">
        <v>7.5605765644007938</v>
      </c>
      <c r="O481" s="24">
        <v>7.7539227788316429</v>
      </c>
      <c r="P481" s="24">
        <v>7.9658200788683731</v>
      </c>
      <c r="Q481" s="21"/>
      <c r="R481" s="21"/>
    </row>
    <row r="482" spans="1:18" x14ac:dyDescent="0.35">
      <c r="A482" s="39" t="s">
        <v>72</v>
      </c>
      <c r="B482" s="35" t="s">
        <v>24</v>
      </c>
      <c r="C482" s="36" t="s">
        <v>26</v>
      </c>
      <c r="D482" s="24">
        <v>66.880365659163331</v>
      </c>
      <c r="E482" s="24">
        <v>68.273166273476264</v>
      </c>
      <c r="F482" s="24">
        <v>69.772782732533415</v>
      </c>
      <c r="G482" s="24">
        <v>71.351713339650559</v>
      </c>
      <c r="H482" s="24">
        <v>73.060390663786265</v>
      </c>
      <c r="I482" s="24">
        <v>74.913894872814836</v>
      </c>
      <c r="J482" s="24">
        <v>76.880949287877669</v>
      </c>
      <c r="K482" s="24">
        <v>79.066000275157492</v>
      </c>
      <c r="L482" s="24">
        <v>81.419958431742586</v>
      </c>
      <c r="M482" s="24">
        <v>83.919167526717402</v>
      </c>
      <c r="N482" s="24">
        <v>86.654745808557223</v>
      </c>
      <c r="O482" s="24">
        <v>89.564421186903857</v>
      </c>
      <c r="P482" s="24">
        <v>92.706778418059571</v>
      </c>
      <c r="Q482" s="21"/>
      <c r="R482" s="21"/>
    </row>
    <row r="483" spans="1:18" x14ac:dyDescent="0.35">
      <c r="A483" s="39" t="s">
        <v>72</v>
      </c>
      <c r="B483" s="35" t="s">
        <v>27</v>
      </c>
      <c r="C483" s="36" t="s">
        <v>28</v>
      </c>
      <c r="D483" s="24">
        <v>26.30726308477977</v>
      </c>
      <c r="E483" s="24">
        <v>26.464717422754475</v>
      </c>
      <c r="F483" s="24">
        <v>26.643879137996286</v>
      </c>
      <c r="G483" s="24">
        <v>26.837361794610914</v>
      </c>
      <c r="H483" s="24">
        <v>27.079776004897099</v>
      </c>
      <c r="I483" s="24">
        <v>27.373055612610621</v>
      </c>
      <c r="J483" s="24">
        <v>27.683532088824087</v>
      </c>
      <c r="K483" s="24">
        <v>28.093122974511964</v>
      </c>
      <c r="L483" s="24">
        <v>28.535668379855444</v>
      </c>
      <c r="M483" s="24">
        <v>28.985958342060144</v>
      </c>
      <c r="N483" s="24">
        <v>29.510988676719066</v>
      </c>
      <c r="O483" s="24">
        <v>30.072004031315998</v>
      </c>
      <c r="P483" s="24">
        <v>30.674823844208987</v>
      </c>
      <c r="Q483" s="21"/>
      <c r="R483" s="21"/>
    </row>
    <row r="484" spans="1:18" x14ac:dyDescent="0.35">
      <c r="A484" s="39" t="s">
        <v>72</v>
      </c>
      <c r="B484" s="35" t="s">
        <v>27</v>
      </c>
      <c r="C484" s="36" t="s">
        <v>29</v>
      </c>
      <c r="D484" s="24">
        <v>15.59794439466388</v>
      </c>
      <c r="E484" s="24">
        <v>16.050892828575812</v>
      </c>
      <c r="F484" s="24">
        <v>16.535287506856424</v>
      </c>
      <c r="G484" s="24">
        <v>17.045290912902189</v>
      </c>
      <c r="H484" s="24">
        <v>17.593484145660263</v>
      </c>
      <c r="I484" s="24">
        <v>18.184329809898795</v>
      </c>
      <c r="J484" s="24">
        <v>18.811166678830116</v>
      </c>
      <c r="K484" s="24">
        <v>19.500312947692645</v>
      </c>
      <c r="L484" s="24">
        <v>20.241047818637156</v>
      </c>
      <c r="M484" s="24">
        <v>21.028607083544472</v>
      </c>
      <c r="N484" s="24">
        <v>21.886816186105165</v>
      </c>
      <c r="O484" s="24">
        <v>22.801499596825987</v>
      </c>
      <c r="P484" s="24">
        <v>23.788772863041157</v>
      </c>
      <c r="Q484" s="21"/>
      <c r="R484" s="21"/>
    </row>
    <row r="485" spans="1:18" x14ac:dyDescent="0.35">
      <c r="A485" s="39" t="s">
        <v>72</v>
      </c>
      <c r="B485" s="35" t="s">
        <v>27</v>
      </c>
      <c r="C485" s="36" t="s">
        <v>30</v>
      </c>
      <c r="D485" s="24">
        <v>13.093004045404319</v>
      </c>
      <c r="E485" s="24">
        <v>13.575025394712663</v>
      </c>
      <c r="F485" s="24">
        <v>14.080171988836735</v>
      </c>
      <c r="G485" s="24">
        <v>14.608725502788666</v>
      </c>
      <c r="H485" s="24">
        <v>15.162123627116364</v>
      </c>
      <c r="I485" s="24">
        <v>15.746314218064892</v>
      </c>
      <c r="J485" s="24">
        <v>16.370574700734966</v>
      </c>
      <c r="K485" s="24">
        <v>17.02902181777003</v>
      </c>
      <c r="L485" s="24">
        <v>17.739368409241717</v>
      </c>
      <c r="M485" s="24">
        <v>18.507172871691516</v>
      </c>
      <c r="N485" s="24">
        <v>19.332497265800285</v>
      </c>
      <c r="O485" s="24">
        <v>20.207695856418383</v>
      </c>
      <c r="P485" s="24">
        <v>21.157880397097056</v>
      </c>
      <c r="Q485" s="21"/>
      <c r="R485" s="21"/>
    </row>
    <row r="486" spans="1:18" x14ac:dyDescent="0.35">
      <c r="A486" s="39" t="s">
        <v>72</v>
      </c>
      <c r="B486" s="35" t="s">
        <v>27</v>
      </c>
      <c r="C486" s="36" t="s">
        <v>31</v>
      </c>
      <c r="D486" s="24">
        <v>9.7548273036067492</v>
      </c>
      <c r="E486" s="24">
        <v>9.9941798488600373</v>
      </c>
      <c r="F486" s="24">
        <v>10.263750233478563</v>
      </c>
      <c r="G486" s="24">
        <v>10.548399067318684</v>
      </c>
      <c r="H486" s="24">
        <v>10.849448084387683</v>
      </c>
      <c r="I486" s="24">
        <v>11.172524322309842</v>
      </c>
      <c r="J486" s="24">
        <v>11.513684249671703</v>
      </c>
      <c r="K486" s="24">
        <v>11.878248788331826</v>
      </c>
      <c r="L486" s="24">
        <v>12.272854790686081</v>
      </c>
      <c r="M486" s="24">
        <v>12.690415315496445</v>
      </c>
      <c r="N486" s="24">
        <v>13.137837989576829</v>
      </c>
      <c r="O486" s="24">
        <v>13.617733836427179</v>
      </c>
      <c r="P486" s="24">
        <v>14.139055727235682</v>
      </c>
      <c r="Q486" s="21"/>
      <c r="R486" s="21"/>
    </row>
    <row r="487" spans="1:18" x14ac:dyDescent="0.35">
      <c r="A487" s="39" t="s">
        <v>72</v>
      </c>
      <c r="B487" s="35" t="s">
        <v>27</v>
      </c>
      <c r="C487" s="36" t="s">
        <v>32</v>
      </c>
      <c r="D487" s="24">
        <v>5.293873011636677</v>
      </c>
      <c r="E487" s="24">
        <v>5.3672965057603568</v>
      </c>
      <c r="F487" s="24">
        <v>5.4546622572378807</v>
      </c>
      <c r="G487" s="24">
        <v>5.5465853220200776</v>
      </c>
      <c r="H487" s="24">
        <v>5.6439450725543567</v>
      </c>
      <c r="I487" s="24">
        <v>5.7458650406619007</v>
      </c>
      <c r="J487" s="24">
        <v>5.8514582068107597</v>
      </c>
      <c r="K487" s="24">
        <v>5.961965750873552</v>
      </c>
      <c r="L487" s="24">
        <v>6.080804275607365</v>
      </c>
      <c r="M487" s="24">
        <v>6.210337005200695</v>
      </c>
      <c r="N487" s="24">
        <v>6.3479374889361484</v>
      </c>
      <c r="O487" s="24">
        <v>6.4922951660424655</v>
      </c>
      <c r="P487" s="24">
        <v>6.6457682139982799</v>
      </c>
      <c r="Q487" s="14"/>
      <c r="R487" s="14"/>
    </row>
    <row r="488" spans="1:18" x14ac:dyDescent="0.35">
      <c r="A488" s="39" t="s">
        <v>72</v>
      </c>
      <c r="B488" s="35" t="s">
        <v>27</v>
      </c>
      <c r="C488" s="36" t="s">
        <v>33</v>
      </c>
      <c r="D488" s="24">
        <v>3.0805566940438149</v>
      </c>
      <c r="E488" s="24">
        <v>3.1530053757696304</v>
      </c>
      <c r="F488" s="24">
        <v>3.228407388863586</v>
      </c>
      <c r="G488" s="24">
        <v>3.306669531376051</v>
      </c>
      <c r="H488" s="24">
        <v>3.3879613782988725</v>
      </c>
      <c r="I488" s="24">
        <v>3.4734480017078613</v>
      </c>
      <c r="J488" s="24">
        <v>3.564965466930472</v>
      </c>
      <c r="K488" s="24">
        <v>3.6609494722341323</v>
      </c>
      <c r="L488" s="24">
        <v>3.7649817430966896</v>
      </c>
      <c r="M488" s="24">
        <v>3.8778761469654821</v>
      </c>
      <c r="N488" s="24">
        <v>3.9992447658205266</v>
      </c>
      <c r="O488" s="24">
        <v>4.1271154787054716</v>
      </c>
      <c r="P488" s="24">
        <v>4.2662974513467917</v>
      </c>
      <c r="Q488" s="14"/>
      <c r="R488" s="14"/>
    </row>
    <row r="489" spans="1:18" x14ac:dyDescent="0.35">
      <c r="A489" s="39" t="s">
        <v>72</v>
      </c>
      <c r="B489" s="35" t="s">
        <v>34</v>
      </c>
      <c r="C489" s="36" t="s">
        <v>35</v>
      </c>
      <c r="D489" s="24">
        <v>22.908897348527191</v>
      </c>
      <c r="E489" s="24">
        <v>23.187705157881396</v>
      </c>
      <c r="F489" s="24">
        <v>23.469252694269301</v>
      </c>
      <c r="G489" s="24">
        <v>23.760806521095205</v>
      </c>
      <c r="H489" s="24">
        <v>24.114313339656682</v>
      </c>
      <c r="I489" s="24">
        <v>24.500150416465438</v>
      </c>
      <c r="J489" s="24">
        <v>24.914094825437381</v>
      </c>
      <c r="K489" s="24">
        <v>25.360594932015545</v>
      </c>
      <c r="L489" s="24">
        <v>25.858841522403381</v>
      </c>
      <c r="M489" s="24">
        <v>26.358082563605308</v>
      </c>
      <c r="N489" s="24">
        <v>26.914401289609259</v>
      </c>
      <c r="O489" s="24">
        <v>27.440050161315966</v>
      </c>
      <c r="P489" s="24">
        <v>27.988544069509416</v>
      </c>
      <c r="Q489" s="14"/>
      <c r="R489" s="14"/>
    </row>
    <row r="490" spans="1:18" x14ac:dyDescent="0.35">
      <c r="A490" s="39" t="s">
        <v>72</v>
      </c>
      <c r="B490" s="35" t="s">
        <v>34</v>
      </c>
      <c r="C490" s="36" t="s">
        <v>36</v>
      </c>
      <c r="D490" s="24">
        <v>26.518489943941937</v>
      </c>
      <c r="E490" s="24">
        <v>27.285845126183741</v>
      </c>
      <c r="F490" s="24">
        <v>28.132893992319659</v>
      </c>
      <c r="G490" s="24">
        <v>29.008723685629143</v>
      </c>
      <c r="H490" s="24">
        <v>29.925663562668159</v>
      </c>
      <c r="I490" s="24">
        <v>30.898903363264967</v>
      </c>
      <c r="J490" s="24">
        <v>31.92802572865779</v>
      </c>
      <c r="K490" s="24">
        <v>33.079757501088295</v>
      </c>
      <c r="L490" s="24">
        <v>34.300376285002244</v>
      </c>
      <c r="M490" s="24">
        <v>35.609631609239834</v>
      </c>
      <c r="N490" s="24">
        <v>37.031349690885207</v>
      </c>
      <c r="O490" s="24">
        <v>38.577451521526626</v>
      </c>
      <c r="P490" s="24">
        <v>40.261410028991186</v>
      </c>
      <c r="Q490" s="14"/>
      <c r="R490" s="14"/>
    </row>
    <row r="491" spans="1:18" x14ac:dyDescent="0.35">
      <c r="A491" s="39" t="s">
        <v>72</v>
      </c>
      <c r="B491" s="35" t="s">
        <v>34</v>
      </c>
      <c r="C491" s="36" t="s">
        <v>37</v>
      </c>
      <c r="D491" s="24">
        <v>16.615532281038753</v>
      </c>
      <c r="E491" s="24">
        <v>16.918989432658385</v>
      </c>
      <c r="F491" s="24">
        <v>17.254083418376037</v>
      </c>
      <c r="G491" s="24">
        <v>17.628933059195845</v>
      </c>
      <c r="H491" s="24">
        <v>18.031926206381293</v>
      </c>
      <c r="I491" s="24">
        <v>18.493002369260168</v>
      </c>
      <c r="J491" s="24">
        <v>18.975871982697136</v>
      </c>
      <c r="K491" s="24">
        <v>19.520510228711903</v>
      </c>
      <c r="L491" s="24">
        <v>20.112353295627699</v>
      </c>
      <c r="M491" s="24">
        <v>20.755656247221882</v>
      </c>
      <c r="N491" s="24">
        <v>21.467288349288697</v>
      </c>
      <c r="O491" s="24">
        <v>22.254715098619506</v>
      </c>
      <c r="P491" s="24">
        <v>23.112400427137693</v>
      </c>
      <c r="Q491" s="14"/>
      <c r="R491" s="14"/>
    </row>
    <row r="492" spans="1:18" x14ac:dyDescent="0.35">
      <c r="A492" s="39" t="s">
        <v>72</v>
      </c>
      <c r="B492" s="35" t="s">
        <v>34</v>
      </c>
      <c r="C492" s="36" t="s">
        <v>38</v>
      </c>
      <c r="D492" s="24">
        <v>7.0845489606273198</v>
      </c>
      <c r="E492" s="24">
        <v>7.2125776597094537</v>
      </c>
      <c r="F492" s="24">
        <v>7.3499284083044811</v>
      </c>
      <c r="G492" s="24">
        <v>7.4945688650963893</v>
      </c>
      <c r="H492" s="24">
        <v>7.6448352042085146</v>
      </c>
      <c r="I492" s="24">
        <v>7.8034808562633398</v>
      </c>
      <c r="J492" s="24">
        <v>7.9773888550097984</v>
      </c>
      <c r="K492" s="24">
        <v>8.1627590895984099</v>
      </c>
      <c r="L492" s="24">
        <v>8.3631543140911369</v>
      </c>
      <c r="M492" s="24">
        <v>8.5769963448917252</v>
      </c>
      <c r="N492" s="24">
        <v>8.8022830431748584</v>
      </c>
      <c r="O492" s="24">
        <v>9.0461271842733915</v>
      </c>
      <c r="P492" s="24">
        <v>9.310243971289653</v>
      </c>
      <c r="Q492" s="14"/>
      <c r="R492" s="14"/>
    </row>
    <row r="493" spans="1:18" x14ac:dyDescent="0.35">
      <c r="A493" s="39" t="s">
        <v>72</v>
      </c>
      <c r="B493" s="35" t="s">
        <v>22</v>
      </c>
      <c r="C493" s="36" t="s">
        <v>39</v>
      </c>
      <c r="D493" s="24">
        <v>18.885980478783893</v>
      </c>
      <c r="E493" s="24">
        <v>19.262487579808145</v>
      </c>
      <c r="F493" s="24">
        <v>19.636666541506571</v>
      </c>
      <c r="G493" s="24">
        <v>20.027926592564313</v>
      </c>
      <c r="H493" s="24">
        <v>20.471258398756483</v>
      </c>
      <c r="I493" s="24">
        <v>20.974660874885345</v>
      </c>
      <c r="J493" s="24">
        <v>21.486523510465688</v>
      </c>
      <c r="K493" s="24">
        <v>22.08311752158059</v>
      </c>
      <c r="L493" s="24">
        <v>22.734459913163278</v>
      </c>
      <c r="M493" s="24">
        <v>23.409466631593574</v>
      </c>
      <c r="N493" s="24">
        <v>24.192892692623843</v>
      </c>
      <c r="O493" s="24">
        <v>25.007596892569779</v>
      </c>
      <c r="P493" s="24">
        <v>25.876196408395572</v>
      </c>
      <c r="Q493" s="14"/>
      <c r="R493" s="14"/>
    </row>
    <row r="494" spans="1:18" x14ac:dyDescent="0.35">
      <c r="A494" s="39" t="s">
        <v>72</v>
      </c>
      <c r="B494" s="35" t="s">
        <v>22</v>
      </c>
      <c r="C494" s="36" t="s">
        <v>40</v>
      </c>
      <c r="D494" s="24">
        <v>19.405551353669861</v>
      </c>
      <c r="E494" s="24">
        <v>19.713384394902683</v>
      </c>
      <c r="F494" s="24">
        <v>20.048567832801524</v>
      </c>
      <c r="G494" s="24">
        <v>20.402775813476847</v>
      </c>
      <c r="H494" s="24">
        <v>20.790125352008136</v>
      </c>
      <c r="I494" s="24">
        <v>21.214397138829376</v>
      </c>
      <c r="J494" s="24">
        <v>21.666166778838349</v>
      </c>
      <c r="K494" s="24">
        <v>22.174435921755283</v>
      </c>
      <c r="L494" s="24">
        <v>22.724582674882218</v>
      </c>
      <c r="M494" s="24">
        <v>23.309358391201425</v>
      </c>
      <c r="N494" s="24">
        <v>23.9535280288294</v>
      </c>
      <c r="O494" s="24">
        <v>24.638974643931579</v>
      </c>
      <c r="P494" s="24">
        <v>25.381168859608206</v>
      </c>
      <c r="Q494" s="21"/>
      <c r="R494" s="21"/>
    </row>
    <row r="495" spans="1:18" x14ac:dyDescent="0.35">
      <c r="A495" s="39" t="s">
        <v>72</v>
      </c>
      <c r="B495" s="35" t="s">
        <v>22</v>
      </c>
      <c r="C495" s="36" t="s">
        <v>41</v>
      </c>
      <c r="D495" s="24">
        <v>13.606530364594349</v>
      </c>
      <c r="E495" s="24">
        <v>13.73326179055276</v>
      </c>
      <c r="F495" s="24">
        <v>13.916157485483911</v>
      </c>
      <c r="G495" s="24">
        <v>14.111461141883707</v>
      </c>
      <c r="H495" s="24">
        <v>14.325097874830762</v>
      </c>
      <c r="I495" s="24">
        <v>14.553881568012271</v>
      </c>
      <c r="J495" s="24">
        <v>14.80145221867336</v>
      </c>
      <c r="K495" s="24">
        <v>15.079965484004072</v>
      </c>
      <c r="L495" s="24">
        <v>15.374998229498942</v>
      </c>
      <c r="M495" s="24">
        <v>15.699500156352912</v>
      </c>
      <c r="N495" s="24">
        <v>16.043315515274283</v>
      </c>
      <c r="O495" s="24">
        <v>16.414248285183703</v>
      </c>
      <c r="P495" s="24">
        <v>16.828517176864203</v>
      </c>
      <c r="Q495" s="21"/>
      <c r="R495" s="21"/>
    </row>
    <row r="496" spans="1:18" x14ac:dyDescent="0.35">
      <c r="A496" s="39" t="s">
        <v>72</v>
      </c>
      <c r="B496" s="35" t="s">
        <v>22</v>
      </c>
      <c r="C496" s="36" t="s">
        <v>42</v>
      </c>
      <c r="D496" s="24">
        <v>21.229406337087095</v>
      </c>
      <c r="E496" s="24">
        <v>21.895983611169385</v>
      </c>
      <c r="F496" s="24">
        <v>22.604766653477473</v>
      </c>
      <c r="G496" s="24">
        <v>23.350868583091721</v>
      </c>
      <c r="H496" s="24">
        <v>24.13025668731926</v>
      </c>
      <c r="I496" s="24">
        <v>24.952597423526914</v>
      </c>
      <c r="J496" s="24">
        <v>25.841238883824712</v>
      </c>
      <c r="K496" s="24">
        <v>26.786102824074209</v>
      </c>
      <c r="L496" s="24">
        <v>27.800684599580016</v>
      </c>
      <c r="M496" s="24">
        <v>28.882041585810839</v>
      </c>
      <c r="N496" s="24">
        <v>30.025586136230483</v>
      </c>
      <c r="O496" s="24">
        <v>31.257524144050443</v>
      </c>
      <c r="P496" s="24">
        <v>32.586716052059963</v>
      </c>
      <c r="Q496" s="21"/>
      <c r="R496" s="21"/>
    </row>
    <row r="497" spans="1:18" x14ac:dyDescent="0.35">
      <c r="A497" s="39" t="s">
        <v>73</v>
      </c>
      <c r="B497" s="35" t="s">
        <v>24</v>
      </c>
      <c r="C497" s="36" t="s">
        <v>25</v>
      </c>
      <c r="D497" s="24">
        <v>125.76763891311795</v>
      </c>
      <c r="E497" s="24">
        <v>134.84700050779549</v>
      </c>
      <c r="F497" s="24">
        <v>144.90651332002361</v>
      </c>
      <c r="G497" s="24">
        <v>155.79974949844981</v>
      </c>
      <c r="H497" s="24">
        <v>167.62107579547697</v>
      </c>
      <c r="I497" s="24">
        <v>180.4240268951163</v>
      </c>
      <c r="J497" s="24">
        <v>194.26241942989392</v>
      </c>
      <c r="K497" s="24">
        <v>209.26093599775086</v>
      </c>
      <c r="L497" s="24">
        <v>225.63661052014339</v>
      </c>
      <c r="M497" s="24">
        <v>243.6026866057889</v>
      </c>
      <c r="N497" s="24">
        <v>263.20751870381508</v>
      </c>
      <c r="O497" s="24">
        <v>284.54388664652527</v>
      </c>
      <c r="P497" s="24">
        <v>307.86547134423745</v>
      </c>
      <c r="Q497" s="21"/>
      <c r="R497" s="21"/>
    </row>
    <row r="498" spans="1:18" x14ac:dyDescent="0.35">
      <c r="A498" s="39" t="s">
        <v>73</v>
      </c>
      <c r="B498" s="35" t="s">
        <v>24</v>
      </c>
      <c r="C498" s="36" t="s">
        <v>26</v>
      </c>
      <c r="D498" s="24">
        <v>1218.5216278602356</v>
      </c>
      <c r="E498" s="24">
        <v>1311.0667513519047</v>
      </c>
      <c r="F498" s="24">
        <v>1413.9914178755932</v>
      </c>
      <c r="G498" s="24">
        <v>1525.4187425251639</v>
      </c>
      <c r="H498" s="24">
        <v>1646.4598310819792</v>
      </c>
      <c r="I498" s="24">
        <v>1778.8341665239575</v>
      </c>
      <c r="J498" s="24">
        <v>1924.918988681037</v>
      </c>
      <c r="K498" s="24">
        <v>2087.3298936843948</v>
      </c>
      <c r="L498" s="24">
        <v>2265.3879581697888</v>
      </c>
      <c r="M498" s="24">
        <v>2460.7874650343347</v>
      </c>
      <c r="N498" s="24">
        <v>2677.8589194446686</v>
      </c>
      <c r="O498" s="24">
        <v>2919.5344972167622</v>
      </c>
      <c r="P498" s="24">
        <v>3189.2108634582714</v>
      </c>
      <c r="Q498" s="21"/>
      <c r="R498" s="21"/>
    </row>
    <row r="499" spans="1:18" x14ac:dyDescent="0.35">
      <c r="A499" s="39" t="s">
        <v>73</v>
      </c>
      <c r="B499" s="35" t="s">
        <v>27</v>
      </c>
      <c r="C499" s="36" t="s">
        <v>28</v>
      </c>
      <c r="D499" s="24">
        <v>441.30042944014474</v>
      </c>
      <c r="E499" s="24">
        <v>468.32359345339205</v>
      </c>
      <c r="F499" s="24">
        <v>498.88054287906789</v>
      </c>
      <c r="G499" s="24">
        <v>531.23875041076735</v>
      </c>
      <c r="H499" s="24">
        <v>565.6304267643909</v>
      </c>
      <c r="I499" s="24">
        <v>602.8967240694069</v>
      </c>
      <c r="J499" s="24">
        <v>644.42899242807334</v>
      </c>
      <c r="K499" s="24">
        <v>691.39201432259028</v>
      </c>
      <c r="L499" s="24">
        <v>741.78778883936207</v>
      </c>
      <c r="M499" s="24">
        <v>796.21469367110876</v>
      </c>
      <c r="N499" s="24">
        <v>856.84521815655717</v>
      </c>
      <c r="O499" s="24">
        <v>925.12786017081226</v>
      </c>
      <c r="P499" s="24">
        <v>1001.9939006816007</v>
      </c>
      <c r="Q499" s="21"/>
      <c r="R499" s="21"/>
    </row>
    <row r="500" spans="1:18" x14ac:dyDescent="0.35">
      <c r="A500" s="39" t="s">
        <v>73</v>
      </c>
      <c r="B500" s="35" t="s">
        <v>27</v>
      </c>
      <c r="C500" s="36" t="s">
        <v>29</v>
      </c>
      <c r="D500" s="24">
        <v>295.22648025454413</v>
      </c>
      <c r="E500" s="24">
        <v>320.80363652856011</v>
      </c>
      <c r="F500" s="24">
        <v>349.36915073588477</v>
      </c>
      <c r="G500" s="24">
        <v>380.67905144908127</v>
      </c>
      <c r="H500" s="24">
        <v>415.06171149356203</v>
      </c>
      <c r="I500" s="24">
        <v>452.75947296665527</v>
      </c>
      <c r="J500" s="24">
        <v>494.02552571630525</v>
      </c>
      <c r="K500" s="24">
        <v>539.30378508033345</v>
      </c>
      <c r="L500" s="24">
        <v>589.29668735293194</v>
      </c>
      <c r="M500" s="24">
        <v>644.73070478863497</v>
      </c>
      <c r="N500" s="24">
        <v>705.93039637830088</v>
      </c>
      <c r="O500" s="24">
        <v>773.35173842238487</v>
      </c>
      <c r="P500" s="24">
        <v>847.90705914074226</v>
      </c>
      <c r="Q500" s="21"/>
      <c r="R500" s="21"/>
    </row>
    <row r="501" spans="1:18" x14ac:dyDescent="0.35">
      <c r="A501" s="39" t="s">
        <v>73</v>
      </c>
      <c r="B501" s="35" t="s">
        <v>27</v>
      </c>
      <c r="C501" s="36" t="s">
        <v>30</v>
      </c>
      <c r="D501" s="24">
        <v>252.00875412253001</v>
      </c>
      <c r="E501" s="24">
        <v>275.3803977009112</v>
      </c>
      <c r="F501" s="24">
        <v>300.9949463842936</v>
      </c>
      <c r="G501" s="24">
        <v>329.16723943336433</v>
      </c>
      <c r="H501" s="24">
        <v>360.27646810586282</v>
      </c>
      <c r="I501" s="24">
        <v>394.57921740863776</v>
      </c>
      <c r="J501" s="24">
        <v>432.25730874995804</v>
      </c>
      <c r="K501" s="24">
        <v>473.92070273051507</v>
      </c>
      <c r="L501" s="24">
        <v>520.33663288821379</v>
      </c>
      <c r="M501" s="24">
        <v>571.63356885214125</v>
      </c>
      <c r="N501" s="24">
        <v>628.74599754456108</v>
      </c>
      <c r="O501" s="24">
        <v>692.21238811415458</v>
      </c>
      <c r="P501" s="24">
        <v>762.81996218562244</v>
      </c>
      <c r="Q501" s="21"/>
      <c r="R501" s="21"/>
    </row>
    <row r="502" spans="1:18" x14ac:dyDescent="0.35">
      <c r="A502" s="39" t="s">
        <v>73</v>
      </c>
      <c r="B502" s="35" t="s">
        <v>27</v>
      </c>
      <c r="C502" s="36" t="s">
        <v>31</v>
      </c>
      <c r="D502" s="24">
        <v>181.72884571799392</v>
      </c>
      <c r="E502" s="24">
        <v>195.69053354297307</v>
      </c>
      <c r="F502" s="24">
        <v>211.22500787747487</v>
      </c>
      <c r="G502" s="24">
        <v>228.05578307480766</v>
      </c>
      <c r="H502" s="24">
        <v>246.35218715395857</v>
      </c>
      <c r="I502" s="24">
        <v>266.37512915911719</v>
      </c>
      <c r="J502" s="24">
        <v>288.48486503587742</v>
      </c>
      <c r="K502" s="24">
        <v>313.07854370608021</v>
      </c>
      <c r="L502" s="24">
        <v>340.06045653358029</v>
      </c>
      <c r="M502" s="24">
        <v>369.69083007336008</v>
      </c>
      <c r="N502" s="24">
        <v>402.62678256584832</v>
      </c>
      <c r="O502" s="24">
        <v>439.31731408336094</v>
      </c>
      <c r="P502" s="24">
        <v>480.28276863858946</v>
      </c>
      <c r="Q502" s="21"/>
      <c r="R502" s="21"/>
    </row>
    <row r="503" spans="1:18" x14ac:dyDescent="0.35">
      <c r="A503" s="39" t="s">
        <v>73</v>
      </c>
      <c r="B503" s="35" t="s">
        <v>27</v>
      </c>
      <c r="C503" s="36" t="s">
        <v>32</v>
      </c>
      <c r="D503" s="24">
        <v>104.52760971504867</v>
      </c>
      <c r="E503" s="24">
        <v>111.25487877085777</v>
      </c>
      <c r="F503" s="24">
        <v>118.45919495411957</v>
      </c>
      <c r="G503" s="24">
        <v>126.16880913211693</v>
      </c>
      <c r="H503" s="24">
        <v>134.42339519961951</v>
      </c>
      <c r="I503" s="24">
        <v>143.30517837267996</v>
      </c>
      <c r="J503" s="24">
        <v>152.93363210770036</v>
      </c>
      <c r="K503" s="24">
        <v>163.2971756065767</v>
      </c>
      <c r="L503" s="24">
        <v>174.6067254579383</v>
      </c>
      <c r="M503" s="24">
        <v>186.97344002317683</v>
      </c>
      <c r="N503" s="24">
        <v>200.46141073893966</v>
      </c>
      <c r="O503" s="24">
        <v>215.05789670155235</v>
      </c>
      <c r="P503" s="24">
        <v>231.09358491937425</v>
      </c>
      <c r="Q503" s="14"/>
      <c r="R503" s="14"/>
    </row>
    <row r="504" spans="1:18" x14ac:dyDescent="0.35">
      <c r="A504" s="39" t="s">
        <v>73</v>
      </c>
      <c r="B504" s="35" t="s">
        <v>27</v>
      </c>
      <c r="C504" s="36" t="s">
        <v>33</v>
      </c>
      <c r="D504" s="24">
        <v>69.497147523092082</v>
      </c>
      <c r="E504" s="24">
        <v>74.460711863005955</v>
      </c>
      <c r="F504" s="24">
        <v>79.969088364775999</v>
      </c>
      <c r="G504" s="24">
        <v>85.908858523475999</v>
      </c>
      <c r="H504" s="24">
        <v>92.336718160062546</v>
      </c>
      <c r="I504" s="24">
        <v>99.342471442576993</v>
      </c>
      <c r="J504" s="24">
        <v>107.05108407301668</v>
      </c>
      <c r="K504" s="24">
        <v>115.5986082360501</v>
      </c>
      <c r="L504" s="24">
        <v>124.93627761790562</v>
      </c>
      <c r="M504" s="24">
        <v>135.14691423170194</v>
      </c>
      <c r="N504" s="24">
        <v>146.45663276427655</v>
      </c>
      <c r="O504" s="24">
        <v>159.0111863710224</v>
      </c>
      <c r="P504" s="24">
        <v>172.97905923657976</v>
      </c>
      <c r="Q504" s="14"/>
      <c r="R504" s="14"/>
    </row>
    <row r="505" spans="1:18" x14ac:dyDescent="0.35">
      <c r="A505" s="39" t="s">
        <v>73</v>
      </c>
      <c r="B505" s="35" t="s">
        <v>34</v>
      </c>
      <c r="C505" s="36" t="s">
        <v>35</v>
      </c>
      <c r="D505" s="24">
        <v>472.04415273566963</v>
      </c>
      <c r="E505" s="24">
        <v>502.31116153071957</v>
      </c>
      <c r="F505" s="24">
        <v>535.07866204632421</v>
      </c>
      <c r="G505" s="24">
        <v>569.67221124599655</v>
      </c>
      <c r="H505" s="24">
        <v>606.26583907844588</v>
      </c>
      <c r="I505" s="24">
        <v>646.00674970472096</v>
      </c>
      <c r="J505" s="24">
        <v>690.3962214100668</v>
      </c>
      <c r="K505" s="24">
        <v>740.49460424491417</v>
      </c>
      <c r="L505" s="24">
        <v>794.8249385750878</v>
      </c>
      <c r="M505" s="24">
        <v>852.98169953871843</v>
      </c>
      <c r="N505" s="24">
        <v>918.67745557348621</v>
      </c>
      <c r="O505" s="24">
        <v>993.11470809693719</v>
      </c>
      <c r="P505" s="24">
        <v>1076.7174294589781</v>
      </c>
      <c r="Q505" s="14"/>
      <c r="R505" s="14"/>
    </row>
    <row r="506" spans="1:18" x14ac:dyDescent="0.35">
      <c r="A506" s="39" t="s">
        <v>73</v>
      </c>
      <c r="B506" s="35" t="s">
        <v>34</v>
      </c>
      <c r="C506" s="36" t="s">
        <v>36</v>
      </c>
      <c r="D506" s="24">
        <v>458.9849002535035</v>
      </c>
      <c r="E506" s="24">
        <v>499.3410878660975</v>
      </c>
      <c r="F506" s="24">
        <v>544.44795098511668</v>
      </c>
      <c r="G506" s="24">
        <v>593.94237907367358</v>
      </c>
      <c r="H506" s="24">
        <v>648.35251611800288</v>
      </c>
      <c r="I506" s="24">
        <v>708.07462095040785</v>
      </c>
      <c r="J506" s="24">
        <v>773.5237928716848</v>
      </c>
      <c r="K506" s="24">
        <v>845.41572667893934</v>
      </c>
      <c r="L506" s="24">
        <v>924.87476330771369</v>
      </c>
      <c r="M506" s="24">
        <v>1013.0682811406573</v>
      </c>
      <c r="N506" s="24">
        <v>1110.5376392238184</v>
      </c>
      <c r="O506" s="24">
        <v>1218.0334910050735</v>
      </c>
      <c r="P506" s="24">
        <v>1337.0287928535422</v>
      </c>
      <c r="Q506" s="14"/>
      <c r="R506" s="14"/>
    </row>
    <row r="507" spans="1:18" x14ac:dyDescent="0.35">
      <c r="A507" s="39" t="s">
        <v>73</v>
      </c>
      <c r="B507" s="35" t="s">
        <v>34</v>
      </c>
      <c r="C507" s="36" t="s">
        <v>37</v>
      </c>
      <c r="D507" s="24">
        <v>278.44142457057563</v>
      </c>
      <c r="E507" s="24">
        <v>299.94907823290123</v>
      </c>
      <c r="F507" s="24">
        <v>324.31895458351494</v>
      </c>
      <c r="G507" s="24">
        <v>350.90120765444897</v>
      </c>
      <c r="H507" s="24">
        <v>380.04994999082709</v>
      </c>
      <c r="I507" s="24">
        <v>411.93607397384454</v>
      </c>
      <c r="J507" s="24">
        <v>446.92576832322834</v>
      </c>
      <c r="K507" s="24">
        <v>485.69461778868538</v>
      </c>
      <c r="L507" s="24">
        <v>528.18976183487598</v>
      </c>
      <c r="M507" s="24">
        <v>575.21703886059584</v>
      </c>
      <c r="N507" s="24">
        <v>626.88807192171009</v>
      </c>
      <c r="O507" s="24">
        <v>683.96604289534287</v>
      </c>
      <c r="P507" s="24">
        <v>747.68935760386228</v>
      </c>
      <c r="Q507" s="14"/>
      <c r="R507" s="14"/>
    </row>
    <row r="508" spans="1:18" x14ac:dyDescent="0.35">
      <c r="A508" s="39" t="s">
        <v>73</v>
      </c>
      <c r="B508" s="35" t="s">
        <v>34</v>
      </c>
      <c r="C508" s="36" t="s">
        <v>38</v>
      </c>
      <c r="D508" s="24">
        <v>134.81878921360484</v>
      </c>
      <c r="E508" s="24">
        <v>144.3124242299819</v>
      </c>
      <c r="F508" s="24">
        <v>155.05236358066099</v>
      </c>
      <c r="G508" s="24">
        <v>166.7026940494946</v>
      </c>
      <c r="H508" s="24">
        <v>179.41260169018042</v>
      </c>
      <c r="I508" s="24">
        <v>193.24074879010041</v>
      </c>
      <c r="J508" s="24">
        <v>208.33562550595101</v>
      </c>
      <c r="K508" s="24">
        <v>224.98588096960697</v>
      </c>
      <c r="L508" s="24">
        <v>243.13510497225465</v>
      </c>
      <c r="M508" s="24">
        <v>263.12313210015208</v>
      </c>
      <c r="N508" s="24">
        <v>284.96327142946865</v>
      </c>
      <c r="O508" s="24">
        <v>308.9641418659337</v>
      </c>
      <c r="P508" s="24">
        <v>335.64075488612593</v>
      </c>
      <c r="Q508" s="14"/>
      <c r="R508" s="14"/>
    </row>
    <row r="509" spans="1:18" x14ac:dyDescent="0.35">
      <c r="A509" s="39" t="s">
        <v>73</v>
      </c>
      <c r="B509" s="35" t="s">
        <v>22</v>
      </c>
      <c r="C509" s="36" t="s">
        <v>39</v>
      </c>
      <c r="D509" s="24">
        <v>326.8878895580342</v>
      </c>
      <c r="E509" s="24">
        <v>353.55571765373611</v>
      </c>
      <c r="F509" s="24">
        <v>384.59287228777612</v>
      </c>
      <c r="G509" s="24">
        <v>417.37749270205859</v>
      </c>
      <c r="H509" s="24">
        <v>452.25037008454979</v>
      </c>
      <c r="I509" s="24">
        <v>489.1000054893866</v>
      </c>
      <c r="J509" s="24">
        <v>530.91225804215787</v>
      </c>
      <c r="K509" s="24">
        <v>576.91305599433576</v>
      </c>
      <c r="L509" s="24">
        <v>626.45226851121288</v>
      </c>
      <c r="M509" s="24">
        <v>680.286197485613</v>
      </c>
      <c r="N509" s="24">
        <v>739.45429666084647</v>
      </c>
      <c r="O509" s="24">
        <v>805.71506868275674</v>
      </c>
      <c r="P509" s="24">
        <v>880.21067679287216</v>
      </c>
      <c r="Q509" s="14"/>
      <c r="R509" s="14"/>
    </row>
    <row r="510" spans="1:18" x14ac:dyDescent="0.35">
      <c r="A510" s="39" t="s">
        <v>73</v>
      </c>
      <c r="B510" s="35" t="s">
        <v>22</v>
      </c>
      <c r="C510" s="36" t="s">
        <v>40</v>
      </c>
      <c r="D510" s="24">
        <v>358.6000642844507</v>
      </c>
      <c r="E510" s="24">
        <v>384.29630497688822</v>
      </c>
      <c r="F510" s="24">
        <v>412.27184339006692</v>
      </c>
      <c r="G510" s="24">
        <v>442.55793172499079</v>
      </c>
      <c r="H510" s="24">
        <v>475.65201378326901</v>
      </c>
      <c r="I510" s="24">
        <v>511.8973284796715</v>
      </c>
      <c r="J510" s="24">
        <v>551.35917797021602</v>
      </c>
      <c r="K510" s="24">
        <v>595.05608763553801</v>
      </c>
      <c r="L510" s="24">
        <v>643.01993593081193</v>
      </c>
      <c r="M510" s="24">
        <v>695.44350851829029</v>
      </c>
      <c r="N510" s="24">
        <v>753.46409795340389</v>
      </c>
      <c r="O510" s="24">
        <v>817.06373265269895</v>
      </c>
      <c r="P510" s="24">
        <v>887.26317579602346</v>
      </c>
      <c r="Q510" s="14"/>
      <c r="R510" s="14"/>
    </row>
    <row r="511" spans="1:18" x14ac:dyDescent="0.35">
      <c r="A511" s="39" t="s">
        <v>73</v>
      </c>
      <c r="B511" s="35" t="s">
        <v>22</v>
      </c>
      <c r="C511" s="36" t="s">
        <v>41</v>
      </c>
      <c r="D511" s="24">
        <v>239.92037503098632</v>
      </c>
      <c r="E511" s="24">
        <v>255.43599987330543</v>
      </c>
      <c r="F511" s="24">
        <v>272.24613700717674</v>
      </c>
      <c r="G511" s="24">
        <v>290.34349330745812</v>
      </c>
      <c r="H511" s="24">
        <v>310.02642698535726</v>
      </c>
      <c r="I511" s="24">
        <v>331.48463313964254</v>
      </c>
      <c r="J511" s="24">
        <v>354.72242719705639</v>
      </c>
      <c r="K511" s="24">
        <v>380.35675066783261</v>
      </c>
      <c r="L511" s="24">
        <v>408.35736098238499</v>
      </c>
      <c r="M511" s="24">
        <v>438.79628866038553</v>
      </c>
      <c r="N511" s="24">
        <v>472.33893662229616</v>
      </c>
      <c r="O511" s="24">
        <v>508.90856688897645</v>
      </c>
      <c r="P511" s="24">
        <v>549.07647638864523</v>
      </c>
      <c r="Q511" s="14"/>
      <c r="R511" s="14"/>
    </row>
    <row r="512" spans="1:18" x14ac:dyDescent="0.35">
      <c r="A512" s="39" t="s">
        <v>73</v>
      </c>
      <c r="B512" s="35" t="s">
        <v>22</v>
      </c>
      <c r="C512" s="36" t="s">
        <v>42</v>
      </c>
      <c r="D512" s="24">
        <v>418.88093789988244</v>
      </c>
      <c r="E512" s="24">
        <v>452.62572935577037</v>
      </c>
      <c r="F512" s="24">
        <v>489.78707851059693</v>
      </c>
      <c r="G512" s="24">
        <v>530.93957428910596</v>
      </c>
      <c r="H512" s="24">
        <v>576.15209602428013</v>
      </c>
      <c r="I512" s="24">
        <v>626.77622631037309</v>
      </c>
      <c r="J512" s="24">
        <v>682.1875449015007</v>
      </c>
      <c r="K512" s="24">
        <v>744.26493538443947</v>
      </c>
      <c r="L512" s="24">
        <v>813.19500326552213</v>
      </c>
      <c r="M512" s="24">
        <v>889.86415697583493</v>
      </c>
      <c r="N512" s="24">
        <v>975.80910691193708</v>
      </c>
      <c r="O512" s="24">
        <v>1072.3910156388549</v>
      </c>
      <c r="P512" s="24">
        <v>1180.526005824968</v>
      </c>
      <c r="Q512" s="14"/>
      <c r="R512" s="14"/>
    </row>
    <row r="513" spans="1:18" x14ac:dyDescent="0.35">
      <c r="A513" s="39" t="s">
        <v>74</v>
      </c>
      <c r="B513" s="35" t="s">
        <v>24</v>
      </c>
      <c r="C513" s="36" t="s">
        <v>25</v>
      </c>
      <c r="D513" s="24">
        <v>70.096218311887725</v>
      </c>
      <c r="E513" s="24">
        <v>74.251465921492269</v>
      </c>
      <c r="F513" s="24">
        <v>78.950314035441238</v>
      </c>
      <c r="G513" s="24">
        <v>84.003094056431721</v>
      </c>
      <c r="H513" s="24">
        <v>89.472066662382431</v>
      </c>
      <c r="I513" s="24">
        <v>95.371497971868422</v>
      </c>
      <c r="J513" s="24">
        <v>101.75908131966725</v>
      </c>
      <c r="K513" s="24">
        <v>108.75825417564563</v>
      </c>
      <c r="L513" s="24">
        <v>116.32018662272127</v>
      </c>
      <c r="M513" s="24">
        <v>124.58717884227761</v>
      </c>
      <c r="N513" s="24">
        <v>133.54062995783474</v>
      </c>
      <c r="O513" s="24">
        <v>143.30056555034079</v>
      </c>
      <c r="P513" s="24">
        <v>154.07727743418678</v>
      </c>
      <c r="Q513" s="14"/>
      <c r="R513" s="14"/>
    </row>
    <row r="514" spans="1:18" x14ac:dyDescent="0.35">
      <c r="A514" s="39" t="s">
        <v>74</v>
      </c>
      <c r="B514" s="35" t="s">
        <v>24</v>
      </c>
      <c r="C514" s="36" t="s">
        <v>26</v>
      </c>
      <c r="D514" s="24">
        <v>605.6073751206917</v>
      </c>
      <c r="E514" s="24">
        <v>646.14228205536665</v>
      </c>
      <c r="F514" s="24">
        <v>691.97725904233914</v>
      </c>
      <c r="G514" s="24">
        <v>741.55946756408014</v>
      </c>
      <c r="H514" s="24">
        <v>795.51375591311148</v>
      </c>
      <c r="I514" s="24">
        <v>854.05518778797034</v>
      </c>
      <c r="J514" s="24">
        <v>917.7926969233647</v>
      </c>
      <c r="K514" s="24">
        <v>987.94441431202949</v>
      </c>
      <c r="L514" s="24">
        <v>1064.1971121457073</v>
      </c>
      <c r="M514" s="24">
        <v>1147.9754495050918</v>
      </c>
      <c r="N514" s="24">
        <v>1239.2606211483403</v>
      </c>
      <c r="O514" s="24">
        <v>1339.3177072636399</v>
      </c>
      <c r="P514" s="24">
        <v>1450.2895640841612</v>
      </c>
      <c r="Q514" s="14"/>
      <c r="R514" s="14"/>
    </row>
    <row r="515" spans="1:18" x14ac:dyDescent="0.35">
      <c r="A515" s="39" t="s">
        <v>74</v>
      </c>
      <c r="B515" s="35" t="s">
        <v>27</v>
      </c>
      <c r="C515" s="36" t="s">
        <v>28</v>
      </c>
      <c r="D515" s="24">
        <v>259.09620641706152</v>
      </c>
      <c r="E515" s="24">
        <v>272.4067724968528</v>
      </c>
      <c r="F515" s="24">
        <v>288.87124494179665</v>
      </c>
      <c r="G515" s="24">
        <v>306.54607015271654</v>
      </c>
      <c r="H515" s="24">
        <v>325.67478270778179</v>
      </c>
      <c r="I515" s="24">
        <v>346.16941912216987</v>
      </c>
      <c r="J515" s="24">
        <v>368.49500741796692</v>
      </c>
      <c r="K515" s="24">
        <v>393.26494166998327</v>
      </c>
      <c r="L515" s="24">
        <v>419.40794486224615</v>
      </c>
      <c r="M515" s="24">
        <v>448.28667110009508</v>
      </c>
      <c r="N515" s="24">
        <v>478.86082954548647</v>
      </c>
      <c r="O515" s="24">
        <v>512.23326538635342</v>
      </c>
      <c r="P515" s="24">
        <v>549.66773144055628</v>
      </c>
      <c r="Q515" s="14"/>
      <c r="R515" s="14"/>
    </row>
    <row r="516" spans="1:18" x14ac:dyDescent="0.35">
      <c r="A516" s="39" t="s">
        <v>74</v>
      </c>
      <c r="B516" s="35" t="s">
        <v>27</v>
      </c>
      <c r="C516" s="36" t="s">
        <v>29</v>
      </c>
      <c r="D516" s="24">
        <v>142.17660290055258</v>
      </c>
      <c r="E516" s="24">
        <v>153.62869670969954</v>
      </c>
      <c r="F516" s="24">
        <v>166.04529436857933</v>
      </c>
      <c r="G516" s="24">
        <v>179.56207956786173</v>
      </c>
      <c r="H516" s="24">
        <v>194.34288663757846</v>
      </c>
      <c r="I516" s="24">
        <v>210.47709131762531</v>
      </c>
      <c r="J516" s="24">
        <v>228.00904811638406</v>
      </c>
      <c r="K516" s="24">
        <v>247.20572450174546</v>
      </c>
      <c r="L516" s="24">
        <v>268.40293896877841</v>
      </c>
      <c r="M516" s="24">
        <v>291.59056651547155</v>
      </c>
      <c r="N516" s="24">
        <v>317.16827380458795</v>
      </c>
      <c r="O516" s="24">
        <v>345.3163870996907</v>
      </c>
      <c r="P516" s="24">
        <v>376.32916054340603</v>
      </c>
      <c r="Q516" s="14"/>
      <c r="R516" s="14"/>
    </row>
    <row r="517" spans="1:18" x14ac:dyDescent="0.35">
      <c r="A517" s="39" t="s">
        <v>74</v>
      </c>
      <c r="B517" s="35" t="s">
        <v>27</v>
      </c>
      <c r="C517" s="36" t="s">
        <v>30</v>
      </c>
      <c r="D517" s="24">
        <v>106.80422516509836</v>
      </c>
      <c r="E517" s="24">
        <v>115.50321662831136</v>
      </c>
      <c r="F517" s="24">
        <v>125.04236177787038</v>
      </c>
      <c r="G517" s="24">
        <v>135.45243360812208</v>
      </c>
      <c r="H517" s="24">
        <v>146.90764654753198</v>
      </c>
      <c r="I517" s="24">
        <v>159.54056352600077</v>
      </c>
      <c r="J517" s="24">
        <v>173.40149430255192</v>
      </c>
      <c r="K517" s="24">
        <v>188.84185393225656</v>
      </c>
      <c r="L517" s="24">
        <v>205.91217937810487</v>
      </c>
      <c r="M517" s="24">
        <v>224.71567659141442</v>
      </c>
      <c r="N517" s="24">
        <v>245.66379133771571</v>
      </c>
      <c r="O517" s="24">
        <v>268.80545573490298</v>
      </c>
      <c r="P517" s="24">
        <v>294.53219084205534</v>
      </c>
      <c r="Q517" s="14"/>
      <c r="R517" s="14"/>
    </row>
    <row r="518" spans="1:18" x14ac:dyDescent="0.35">
      <c r="A518" s="39" t="s">
        <v>74</v>
      </c>
      <c r="B518" s="35" t="s">
        <v>27</v>
      </c>
      <c r="C518" s="36" t="s">
        <v>31</v>
      </c>
      <c r="D518" s="24">
        <v>76.965368501304795</v>
      </c>
      <c r="E518" s="24">
        <v>82.688060701891359</v>
      </c>
      <c r="F518" s="24">
        <v>88.869026444450697</v>
      </c>
      <c r="G518" s="24">
        <v>95.541116481118195</v>
      </c>
      <c r="H518" s="24">
        <v>102.74685400101485</v>
      </c>
      <c r="I518" s="24">
        <v>110.56265695285019</v>
      </c>
      <c r="J518" s="24">
        <v>119.09630290064474</v>
      </c>
      <c r="K518" s="24">
        <v>128.35726909460757</v>
      </c>
      <c r="L518" s="24">
        <v>138.52994422839694</v>
      </c>
      <c r="M518" s="24">
        <v>149.72613515546962</v>
      </c>
      <c r="N518" s="24">
        <v>162.02370780387537</v>
      </c>
      <c r="O518" s="24">
        <v>175.44085638271508</v>
      </c>
      <c r="P518" s="24">
        <v>190.27611066798553</v>
      </c>
      <c r="Q518" s="21"/>
      <c r="R518" s="21"/>
    </row>
    <row r="519" spans="1:18" x14ac:dyDescent="0.35">
      <c r="A519" s="39" t="s">
        <v>74</v>
      </c>
      <c r="B519" s="35" t="s">
        <v>27</v>
      </c>
      <c r="C519" s="36" t="s">
        <v>32</v>
      </c>
      <c r="D519" s="24">
        <v>62.61380154408667</v>
      </c>
      <c r="E519" s="24">
        <v>66.209493349470222</v>
      </c>
      <c r="F519" s="24">
        <v>70.029798228881873</v>
      </c>
      <c r="G519" s="24">
        <v>74.111298671473122</v>
      </c>
      <c r="H519" s="24">
        <v>78.498242462446314</v>
      </c>
      <c r="I519" s="24">
        <v>83.200083439818755</v>
      </c>
      <c r="J519" s="24">
        <v>88.206598935257588</v>
      </c>
      <c r="K519" s="24">
        <v>93.593441366089266</v>
      </c>
      <c r="L519" s="24">
        <v>99.454767854457117</v>
      </c>
      <c r="M519" s="24">
        <v>105.74719571845263</v>
      </c>
      <c r="N519" s="24">
        <v>112.5780433962338</v>
      </c>
      <c r="O519" s="24">
        <v>119.96612762868469</v>
      </c>
      <c r="P519" s="24">
        <v>127.96641310251451</v>
      </c>
      <c r="Q519" s="21"/>
      <c r="R519" s="21"/>
    </row>
    <row r="520" spans="1:18" x14ac:dyDescent="0.35">
      <c r="A520" s="39" t="s">
        <v>74</v>
      </c>
      <c r="B520" s="35" t="s">
        <v>27</v>
      </c>
      <c r="C520" s="36" t="s">
        <v>33</v>
      </c>
      <c r="D520" s="24">
        <v>28.047388904475433</v>
      </c>
      <c r="E520" s="24">
        <v>29.957508090633596</v>
      </c>
      <c r="F520" s="24">
        <v>32.069847316201447</v>
      </c>
      <c r="G520" s="24">
        <v>34.349563139220244</v>
      </c>
      <c r="H520" s="24">
        <v>36.81541021914056</v>
      </c>
      <c r="I520" s="24">
        <v>39.476871401373884</v>
      </c>
      <c r="J520" s="24">
        <v>42.343326570226743</v>
      </c>
      <c r="K520" s="24">
        <v>45.439437922992909</v>
      </c>
      <c r="L520" s="24">
        <v>48.80952347644488</v>
      </c>
      <c r="M520" s="24">
        <v>52.496383266466047</v>
      </c>
      <c r="N520" s="24">
        <v>56.506605218275539</v>
      </c>
      <c r="O520" s="24">
        <v>60.856180581633723</v>
      </c>
      <c r="P520" s="24">
        <v>65.595234921830269</v>
      </c>
      <c r="Q520" s="21"/>
      <c r="R520" s="21"/>
    </row>
    <row r="521" spans="1:18" x14ac:dyDescent="0.35">
      <c r="A521" s="39" t="s">
        <v>74</v>
      </c>
      <c r="B521" s="35" t="s">
        <v>34</v>
      </c>
      <c r="C521" s="36" t="s">
        <v>35</v>
      </c>
      <c r="D521" s="24">
        <v>226.50045132196902</v>
      </c>
      <c r="E521" s="24">
        <v>238.50560317122006</v>
      </c>
      <c r="F521" s="24">
        <v>252.70712660266804</v>
      </c>
      <c r="G521" s="24">
        <v>267.98350976684844</v>
      </c>
      <c r="H521" s="24">
        <v>284.61144054027886</v>
      </c>
      <c r="I521" s="24">
        <v>302.48053684347337</v>
      </c>
      <c r="J521" s="24">
        <v>321.66519403206041</v>
      </c>
      <c r="K521" s="24">
        <v>342.83781122008702</v>
      </c>
      <c r="L521" s="24">
        <v>365.40311358826489</v>
      </c>
      <c r="M521" s="24">
        <v>390.00009130753278</v>
      </c>
      <c r="N521" s="24">
        <v>416.22166969137425</v>
      </c>
      <c r="O521" s="24">
        <v>444.71164045317641</v>
      </c>
      <c r="P521" s="24">
        <v>476.1289761208393</v>
      </c>
      <c r="Q521" s="21"/>
      <c r="R521" s="21"/>
    </row>
    <row r="522" spans="1:18" x14ac:dyDescent="0.35">
      <c r="A522" s="39" t="s">
        <v>74</v>
      </c>
      <c r="B522" s="35" t="s">
        <v>34</v>
      </c>
      <c r="C522" s="36" t="s">
        <v>36</v>
      </c>
      <c r="D522" s="24">
        <v>242.65894683183933</v>
      </c>
      <c r="E522" s="24">
        <v>260.76004220720364</v>
      </c>
      <c r="F522" s="24">
        <v>281.25539071198801</v>
      </c>
      <c r="G522" s="24">
        <v>303.56318827967476</v>
      </c>
      <c r="H522" s="24">
        <v>327.97574584647805</v>
      </c>
      <c r="I522" s="24">
        <v>354.62430438888214</v>
      </c>
      <c r="J522" s="24">
        <v>383.80683883651267</v>
      </c>
      <c r="K522" s="24">
        <v>416.08399674561463</v>
      </c>
      <c r="L522" s="24">
        <v>451.3867826872268</v>
      </c>
      <c r="M522" s="24">
        <v>490.38055348257149</v>
      </c>
      <c r="N522" s="24">
        <v>533.13219928665592</v>
      </c>
      <c r="O522" s="24">
        <v>580.26187979280292</v>
      </c>
      <c r="P522" s="24">
        <v>632.7866950731692</v>
      </c>
      <c r="Q522" s="21"/>
      <c r="R522" s="21"/>
    </row>
    <row r="523" spans="1:18" x14ac:dyDescent="0.35">
      <c r="A523" s="39" t="s">
        <v>74</v>
      </c>
      <c r="B523" s="35" t="s">
        <v>34</v>
      </c>
      <c r="C523" s="36" t="s">
        <v>37</v>
      </c>
      <c r="D523" s="24">
        <v>149.80531721660697</v>
      </c>
      <c r="E523" s="24">
        <v>160.85893091551435</v>
      </c>
      <c r="F523" s="24">
        <v>172.79189787510887</v>
      </c>
      <c r="G523" s="24">
        <v>185.66665575004532</v>
      </c>
      <c r="H523" s="24">
        <v>199.56430299077388</v>
      </c>
      <c r="I523" s="24">
        <v>214.63159602730295</v>
      </c>
      <c r="J523" s="24">
        <v>231.07585428644853</v>
      </c>
      <c r="K523" s="24">
        <v>248.9132283287837</v>
      </c>
      <c r="L523" s="24">
        <v>268.49902091489963</v>
      </c>
      <c r="M523" s="24">
        <v>290.04710234527101</v>
      </c>
      <c r="N523" s="24">
        <v>313.70513641473235</v>
      </c>
      <c r="O523" s="24">
        <v>339.50493418278768</v>
      </c>
      <c r="P523" s="24">
        <v>368.02072264891825</v>
      </c>
      <c r="Q523" s="21"/>
      <c r="R523" s="21"/>
    </row>
    <row r="524" spans="1:18" x14ac:dyDescent="0.35">
      <c r="A524" s="39" t="s">
        <v>74</v>
      </c>
      <c r="B524" s="35" t="s">
        <v>34</v>
      </c>
      <c r="C524" s="36" t="s">
        <v>38</v>
      </c>
      <c r="D524" s="24">
        <v>56.738878062164069</v>
      </c>
      <c r="E524" s="24">
        <v>60.269171682920849</v>
      </c>
      <c r="F524" s="24">
        <v>64.173157888015453</v>
      </c>
      <c r="G524" s="24">
        <v>68.349207823943274</v>
      </c>
      <c r="H524" s="24">
        <v>72.834333197963147</v>
      </c>
      <c r="I524" s="24">
        <v>77.69024850018026</v>
      </c>
      <c r="J524" s="24">
        <v>83.003891088010405</v>
      </c>
      <c r="K524" s="24">
        <v>88.867632193189664</v>
      </c>
      <c r="L524" s="24">
        <v>95.22838157803713</v>
      </c>
      <c r="M524" s="24">
        <v>102.13488121199407</v>
      </c>
      <c r="N524" s="24">
        <v>109.74224571341249</v>
      </c>
      <c r="O524" s="24">
        <v>118.13981838521356</v>
      </c>
      <c r="P524" s="24">
        <v>127.43044767542125</v>
      </c>
      <c r="Q524" s="21"/>
      <c r="R524" s="21"/>
    </row>
    <row r="525" spans="1:18" x14ac:dyDescent="0.35">
      <c r="A525" s="39" t="s">
        <v>74</v>
      </c>
      <c r="B525" s="35" t="s">
        <v>22</v>
      </c>
      <c r="C525" s="36" t="s">
        <v>39</v>
      </c>
      <c r="D525" s="24">
        <v>166.4381884249425</v>
      </c>
      <c r="E525" s="24">
        <v>176.03772696989324</v>
      </c>
      <c r="F525" s="24">
        <v>188.39790128106301</v>
      </c>
      <c r="G525" s="24">
        <v>201.85415545863918</v>
      </c>
      <c r="H525" s="24">
        <v>216.64452936648092</v>
      </c>
      <c r="I525" s="24">
        <v>232.60179366442924</v>
      </c>
      <c r="J525" s="24">
        <v>250.09181131050309</v>
      </c>
      <c r="K525" s="24">
        <v>269.75287592538575</v>
      </c>
      <c r="L525" s="24">
        <v>290.63058462320146</v>
      </c>
      <c r="M525" s="24">
        <v>313.78555891395695</v>
      </c>
      <c r="N525" s="24">
        <v>338.33657661982329</v>
      </c>
      <c r="O525" s="24">
        <v>365.60714615002234</v>
      </c>
      <c r="P525" s="24">
        <v>396.51847960038617</v>
      </c>
      <c r="Q525" s="21"/>
      <c r="R525" s="21"/>
    </row>
    <row r="526" spans="1:18" x14ac:dyDescent="0.35">
      <c r="A526" s="39" t="s">
        <v>74</v>
      </c>
      <c r="B526" s="35" t="s">
        <v>22</v>
      </c>
      <c r="C526" s="36" t="s">
        <v>40</v>
      </c>
      <c r="D526" s="24">
        <v>179.5668797671531</v>
      </c>
      <c r="E526" s="24">
        <v>191.60981771744687</v>
      </c>
      <c r="F526" s="24">
        <v>204.53636597704488</v>
      </c>
      <c r="G526" s="24">
        <v>218.40193896644405</v>
      </c>
      <c r="H526" s="24">
        <v>233.28226283090018</v>
      </c>
      <c r="I526" s="24">
        <v>249.32765165801354</v>
      </c>
      <c r="J526" s="24">
        <v>266.75472405068444</v>
      </c>
      <c r="K526" s="24">
        <v>285.5536723676164</v>
      </c>
      <c r="L526" s="24">
        <v>306.10362390467157</v>
      </c>
      <c r="M526" s="24">
        <v>328.6126227987848</v>
      </c>
      <c r="N526" s="24">
        <v>353.20804311533902</v>
      </c>
      <c r="O526" s="24">
        <v>379.88311089965498</v>
      </c>
      <c r="P526" s="24">
        <v>409.23756354935949</v>
      </c>
      <c r="Q526" s="21"/>
      <c r="R526" s="21"/>
    </row>
    <row r="527" spans="1:18" x14ac:dyDescent="0.35">
      <c r="A527" s="39" t="s">
        <v>74</v>
      </c>
      <c r="B527" s="35" t="s">
        <v>22</v>
      </c>
      <c r="C527" s="36" t="s">
        <v>41</v>
      </c>
      <c r="D527" s="24">
        <v>122.18976426386779</v>
      </c>
      <c r="E527" s="24">
        <v>129.42760772268747</v>
      </c>
      <c r="F527" s="24">
        <v>137.40582947867009</v>
      </c>
      <c r="G527" s="24">
        <v>145.95482551801405</v>
      </c>
      <c r="H527" s="24">
        <v>155.13801469748407</v>
      </c>
      <c r="I527" s="24">
        <v>164.97736583051088</v>
      </c>
      <c r="J527" s="24">
        <v>175.49338130995523</v>
      </c>
      <c r="K527" s="24">
        <v>186.7689008453182</v>
      </c>
      <c r="L527" s="24">
        <v>198.96448090795968</v>
      </c>
      <c r="M527" s="24">
        <v>212.2288129469425</v>
      </c>
      <c r="N527" s="24">
        <v>226.55884454621383</v>
      </c>
      <c r="O527" s="24">
        <v>241.9888171470362</v>
      </c>
      <c r="P527" s="24">
        <v>258.68705845914178</v>
      </c>
      <c r="Q527" s="21"/>
      <c r="R527" s="21"/>
    </row>
    <row r="528" spans="1:18" x14ac:dyDescent="0.35">
      <c r="A528" s="39" t="s">
        <v>74</v>
      </c>
      <c r="B528" s="35" t="s">
        <v>22</v>
      </c>
      <c r="C528" s="36" t="s">
        <v>42</v>
      </c>
      <c r="D528" s="24">
        <v>207.50876097661603</v>
      </c>
      <c r="E528" s="24">
        <v>223.31859556683125</v>
      </c>
      <c r="F528" s="24">
        <v>240.58747634100246</v>
      </c>
      <c r="G528" s="24">
        <v>259.35164167741453</v>
      </c>
      <c r="H528" s="24">
        <v>279.92101568062867</v>
      </c>
      <c r="I528" s="24">
        <v>302.51987460688503</v>
      </c>
      <c r="J528" s="24">
        <v>327.21186157188924</v>
      </c>
      <c r="K528" s="24">
        <v>354.62721934935468</v>
      </c>
      <c r="L528" s="24">
        <v>384.81860933259577</v>
      </c>
      <c r="M528" s="24">
        <v>417.9356336876852</v>
      </c>
      <c r="N528" s="24">
        <v>454.69778682479898</v>
      </c>
      <c r="O528" s="24">
        <v>495.13919861726703</v>
      </c>
      <c r="P528" s="24">
        <v>539.92373990946044</v>
      </c>
      <c r="Q528" s="21"/>
      <c r="R528" s="21"/>
    </row>
    <row r="529" spans="1:18" x14ac:dyDescent="0.35">
      <c r="A529" s="39" t="s">
        <v>75</v>
      </c>
      <c r="B529" s="35" t="s">
        <v>24</v>
      </c>
      <c r="C529" s="36" t="s">
        <v>25</v>
      </c>
      <c r="D529" s="24">
        <v>31.557712349994549</v>
      </c>
      <c r="E529" s="24">
        <v>32.575266222841755</v>
      </c>
      <c r="F529" s="24">
        <v>33.708887127303186</v>
      </c>
      <c r="G529" s="24">
        <v>34.892032836572561</v>
      </c>
      <c r="H529" s="24">
        <v>36.135757510846844</v>
      </c>
      <c r="I529" s="24">
        <v>37.461755567455867</v>
      </c>
      <c r="J529" s="24">
        <v>38.901015344386316</v>
      </c>
      <c r="K529" s="24">
        <v>40.483056695652664</v>
      </c>
      <c r="L529" s="24">
        <v>42.167142041933793</v>
      </c>
      <c r="M529" s="24">
        <v>43.961347775875673</v>
      </c>
      <c r="N529" s="24">
        <v>45.91796718458739</v>
      </c>
      <c r="O529" s="24">
        <v>48.055222900942788</v>
      </c>
      <c r="P529" s="24">
        <v>50.393838749659629</v>
      </c>
      <c r="Q529" s="21"/>
      <c r="R529" s="21"/>
    </row>
    <row r="530" spans="1:18" x14ac:dyDescent="0.35">
      <c r="A530" s="39" t="s">
        <v>75</v>
      </c>
      <c r="B530" s="35" t="s">
        <v>24</v>
      </c>
      <c r="C530" s="36" t="s">
        <v>26</v>
      </c>
      <c r="D530" s="24">
        <v>274.96967686590892</v>
      </c>
      <c r="E530" s="24">
        <v>287.01169660770478</v>
      </c>
      <c r="F530" s="24">
        <v>300.2721796720956</v>
      </c>
      <c r="G530" s="24">
        <v>314.31791220194009</v>
      </c>
      <c r="H530" s="24">
        <v>329.24096150681589</v>
      </c>
      <c r="I530" s="24">
        <v>345.03884939472658</v>
      </c>
      <c r="J530" s="24">
        <v>361.70481686013562</v>
      </c>
      <c r="K530" s="24">
        <v>379.35960709821541</v>
      </c>
      <c r="L530" s="24">
        <v>398.27343160997935</v>
      </c>
      <c r="M530" s="24">
        <v>418.67553615399294</v>
      </c>
      <c r="N530" s="24">
        <v>440.48064124606947</v>
      </c>
      <c r="O530" s="24">
        <v>463.67870722732471</v>
      </c>
      <c r="P530" s="24">
        <v>488.5150672515299</v>
      </c>
      <c r="Q530" s="21"/>
      <c r="R530" s="21"/>
    </row>
    <row r="531" spans="1:18" x14ac:dyDescent="0.35">
      <c r="A531" s="39" t="s">
        <v>75</v>
      </c>
      <c r="B531" s="35" t="s">
        <v>27</v>
      </c>
      <c r="C531" s="36" t="s">
        <v>28</v>
      </c>
      <c r="D531" s="24">
        <v>114.49956869312609</v>
      </c>
      <c r="E531" s="24">
        <v>118.71751245346832</v>
      </c>
      <c r="F531" s="24">
        <v>123.65701566111946</v>
      </c>
      <c r="G531" s="24">
        <v>128.77476184044261</v>
      </c>
      <c r="H531" s="24">
        <v>134.12979355138398</v>
      </c>
      <c r="I531" s="24">
        <v>139.5824613382066</v>
      </c>
      <c r="J531" s="24">
        <v>145.27010313701305</v>
      </c>
      <c r="K531" s="24">
        <v>151.06557170826511</v>
      </c>
      <c r="L531" s="24">
        <v>157.09397075661178</v>
      </c>
      <c r="M531" s="24">
        <v>163.56941678437255</v>
      </c>
      <c r="N531" s="24">
        <v>170.22547866751074</v>
      </c>
      <c r="O531" s="24">
        <v>177.02810739605258</v>
      </c>
      <c r="P531" s="24">
        <v>184.06811790706536</v>
      </c>
      <c r="Q531" s="21"/>
      <c r="R531" s="21"/>
    </row>
    <row r="532" spans="1:18" x14ac:dyDescent="0.35">
      <c r="A532" s="39" t="s">
        <v>75</v>
      </c>
      <c r="B532" s="35" t="s">
        <v>27</v>
      </c>
      <c r="C532" s="36" t="s">
        <v>29</v>
      </c>
      <c r="D532" s="24">
        <v>60.802683827572892</v>
      </c>
      <c r="E532" s="24">
        <v>63.997220990188005</v>
      </c>
      <c r="F532" s="24">
        <v>67.377116694972827</v>
      </c>
      <c r="G532" s="24">
        <v>70.974734294557607</v>
      </c>
      <c r="H532" s="24">
        <v>74.829152054817328</v>
      </c>
      <c r="I532" s="24">
        <v>78.945526878109817</v>
      </c>
      <c r="J532" s="24">
        <v>83.310212688929298</v>
      </c>
      <c r="K532" s="24">
        <v>87.990884269906232</v>
      </c>
      <c r="L532" s="24">
        <v>93.071328596542699</v>
      </c>
      <c r="M532" s="24">
        <v>98.505032683057806</v>
      </c>
      <c r="N532" s="24">
        <v>104.38666203681315</v>
      </c>
      <c r="O532" s="24">
        <v>110.72702842736473</v>
      </c>
      <c r="P532" s="24">
        <v>117.57004457066249</v>
      </c>
      <c r="Q532" s="21"/>
      <c r="R532" s="21"/>
    </row>
    <row r="533" spans="1:18" x14ac:dyDescent="0.35">
      <c r="A533" s="39" t="s">
        <v>75</v>
      </c>
      <c r="B533" s="35" t="s">
        <v>27</v>
      </c>
      <c r="C533" s="36" t="s">
        <v>30</v>
      </c>
      <c r="D533" s="24">
        <v>56.241295641608495</v>
      </c>
      <c r="E533" s="24">
        <v>59.020843285596285</v>
      </c>
      <c r="F533" s="24">
        <v>62.028790840510275</v>
      </c>
      <c r="G533" s="24">
        <v>65.309098878977295</v>
      </c>
      <c r="H533" s="24">
        <v>68.83697386292765</v>
      </c>
      <c r="I533" s="24">
        <v>72.741982151554296</v>
      </c>
      <c r="J533" s="24">
        <v>76.907864708459542</v>
      </c>
      <c r="K533" s="24">
        <v>81.511568292198561</v>
      </c>
      <c r="L533" s="24">
        <v>86.522687765628035</v>
      </c>
      <c r="M533" s="24">
        <v>91.986061608758902</v>
      </c>
      <c r="N533" s="24">
        <v>98.006047321353194</v>
      </c>
      <c r="O533" s="24">
        <v>104.65464757229836</v>
      </c>
      <c r="P533" s="24">
        <v>111.94885188353841</v>
      </c>
      <c r="Q533" s="21"/>
      <c r="R533" s="21"/>
    </row>
    <row r="534" spans="1:18" x14ac:dyDescent="0.35">
      <c r="A534" s="39" t="s">
        <v>75</v>
      </c>
      <c r="B534" s="35" t="s">
        <v>27</v>
      </c>
      <c r="C534" s="36" t="s">
        <v>31</v>
      </c>
      <c r="D534" s="24">
        <v>34.646368139862801</v>
      </c>
      <c r="E534" s="24">
        <v>36.252059563330214</v>
      </c>
      <c r="F534" s="24">
        <v>37.946533054551061</v>
      </c>
      <c r="G534" s="24">
        <v>39.732631904650781</v>
      </c>
      <c r="H534" s="24">
        <v>41.616408296111786</v>
      </c>
      <c r="I534" s="24">
        <v>43.616475272662342</v>
      </c>
      <c r="J534" s="24">
        <v>45.761308404978074</v>
      </c>
      <c r="K534" s="24">
        <v>48.037995526883932</v>
      </c>
      <c r="L534" s="24">
        <v>50.499647647810008</v>
      </c>
      <c r="M534" s="24">
        <v>53.166659726348406</v>
      </c>
      <c r="N534" s="24">
        <v>56.04429528321841</v>
      </c>
      <c r="O534" s="24">
        <v>59.115568909817561</v>
      </c>
      <c r="P534" s="24">
        <v>62.458607492938107</v>
      </c>
      <c r="Q534" s="14"/>
      <c r="R534" s="14"/>
    </row>
    <row r="535" spans="1:18" x14ac:dyDescent="0.35">
      <c r="A535" s="39" t="s">
        <v>75</v>
      </c>
      <c r="B535" s="35" t="s">
        <v>27</v>
      </c>
      <c r="C535" s="36" t="s">
        <v>32</v>
      </c>
      <c r="D535" s="24">
        <v>24.088496799890649</v>
      </c>
      <c r="E535" s="24">
        <v>24.698858787118745</v>
      </c>
      <c r="F535" s="24">
        <v>25.352835425331172</v>
      </c>
      <c r="G535" s="24">
        <v>26.040979070121111</v>
      </c>
      <c r="H535" s="24">
        <v>26.78211350399468</v>
      </c>
      <c r="I535" s="24">
        <v>27.582431211808746</v>
      </c>
      <c r="J535" s="24">
        <v>28.431159204724409</v>
      </c>
      <c r="K535" s="24">
        <v>29.367519292658393</v>
      </c>
      <c r="L535" s="24">
        <v>30.374388490136578</v>
      </c>
      <c r="M535" s="24">
        <v>31.443820648605413</v>
      </c>
      <c r="N535" s="24">
        <v>32.61072725505403</v>
      </c>
      <c r="O535" s="24">
        <v>33.852897889543961</v>
      </c>
      <c r="P535" s="24">
        <v>35.193403130483915</v>
      </c>
      <c r="Q535" s="14"/>
      <c r="R535" s="14"/>
    </row>
    <row r="536" spans="1:18" x14ac:dyDescent="0.35">
      <c r="A536" s="39" t="s">
        <v>75</v>
      </c>
      <c r="B536" s="35" t="s">
        <v>27</v>
      </c>
      <c r="C536" s="36" t="s">
        <v>33</v>
      </c>
      <c r="D536" s="24">
        <v>16.24897611384257</v>
      </c>
      <c r="E536" s="24">
        <v>16.900467750844978</v>
      </c>
      <c r="F536" s="24">
        <v>17.618775122914009</v>
      </c>
      <c r="G536" s="24">
        <v>18.377739049763278</v>
      </c>
      <c r="H536" s="24">
        <v>19.182277748427289</v>
      </c>
      <c r="I536" s="24">
        <v>20.031728109840675</v>
      </c>
      <c r="J536" s="24">
        <v>20.925184060417553</v>
      </c>
      <c r="K536" s="24">
        <v>21.869124703955816</v>
      </c>
      <c r="L536" s="24">
        <v>22.87855039518405</v>
      </c>
      <c r="M536" s="24">
        <v>23.965892478725578</v>
      </c>
      <c r="N536" s="24">
        <v>25.125397866707292</v>
      </c>
      <c r="O536" s="24">
        <v>26.355679933190356</v>
      </c>
      <c r="P536" s="24">
        <v>27.669881016501215</v>
      </c>
      <c r="Q536" s="14"/>
      <c r="R536" s="14"/>
    </row>
    <row r="537" spans="1:18" x14ac:dyDescent="0.35">
      <c r="A537" s="39" t="s">
        <v>75</v>
      </c>
      <c r="B537" s="35" t="s">
        <v>34</v>
      </c>
      <c r="C537" s="36" t="s">
        <v>35</v>
      </c>
      <c r="D537" s="24">
        <v>107.55507425705414</v>
      </c>
      <c r="E537" s="24">
        <v>111.77813983126694</v>
      </c>
      <c r="F537" s="24">
        <v>116.44782010160171</v>
      </c>
      <c r="G537" s="24">
        <v>121.32116979023527</v>
      </c>
      <c r="H537" s="24">
        <v>126.45688245201308</v>
      </c>
      <c r="I537" s="24">
        <v>131.67819603229933</v>
      </c>
      <c r="J537" s="24">
        <v>137.0182225224425</v>
      </c>
      <c r="K537" s="24">
        <v>142.38686470227958</v>
      </c>
      <c r="L537" s="24">
        <v>148.00294608968863</v>
      </c>
      <c r="M537" s="24">
        <v>154.11957186782689</v>
      </c>
      <c r="N537" s="24">
        <v>160.41483362394581</v>
      </c>
      <c r="O537" s="24">
        <v>166.74648312823302</v>
      </c>
      <c r="P537" s="24">
        <v>173.15439345467581</v>
      </c>
      <c r="Q537" s="14"/>
      <c r="R537" s="14"/>
    </row>
    <row r="538" spans="1:18" x14ac:dyDescent="0.35">
      <c r="A538" s="39" t="s">
        <v>75</v>
      </c>
      <c r="B538" s="35" t="s">
        <v>34</v>
      </c>
      <c r="C538" s="36" t="s">
        <v>36</v>
      </c>
      <c r="D538" s="24">
        <v>104.211169359387</v>
      </c>
      <c r="E538" s="24">
        <v>109.36115159447371</v>
      </c>
      <c r="F538" s="24">
        <v>115.03203286905064</v>
      </c>
      <c r="G538" s="24">
        <v>121.08447776847751</v>
      </c>
      <c r="H538" s="24">
        <v>127.55301260906604</v>
      </c>
      <c r="I538" s="24">
        <v>134.52506186296856</v>
      </c>
      <c r="J538" s="24">
        <v>141.98010491194046</v>
      </c>
      <c r="K538" s="24">
        <v>150.00843703193428</v>
      </c>
      <c r="L538" s="24">
        <v>158.72434370513182</v>
      </c>
      <c r="M538" s="24">
        <v>168.07399840035271</v>
      </c>
      <c r="N538" s="24">
        <v>178.18173772203988</v>
      </c>
      <c r="O538" s="24">
        <v>189.12381586921546</v>
      </c>
      <c r="P538" s="24">
        <v>201.06971937661456</v>
      </c>
      <c r="Q538" s="14"/>
      <c r="R538" s="14"/>
    </row>
    <row r="539" spans="1:18" x14ac:dyDescent="0.35">
      <c r="A539" s="39" t="s">
        <v>75</v>
      </c>
      <c r="B539" s="35" t="s">
        <v>34</v>
      </c>
      <c r="C539" s="36" t="s">
        <v>37</v>
      </c>
      <c r="D539" s="24">
        <v>66.101682864993094</v>
      </c>
      <c r="E539" s="24">
        <v>68.871149200780863</v>
      </c>
      <c r="F539" s="24">
        <v>71.932670897478374</v>
      </c>
      <c r="G539" s="24">
        <v>75.151784954628823</v>
      </c>
      <c r="H539" s="24">
        <v>78.555994588797475</v>
      </c>
      <c r="I539" s="24">
        <v>82.196887567564886</v>
      </c>
      <c r="J539" s="24">
        <v>86.148279659666628</v>
      </c>
      <c r="K539" s="24">
        <v>90.483366430215725</v>
      </c>
      <c r="L539" s="24">
        <v>95.120874071567442</v>
      </c>
      <c r="M539" s="24">
        <v>100.08644001970292</v>
      </c>
      <c r="N539" s="24">
        <v>105.50717785368091</v>
      </c>
      <c r="O539" s="24">
        <v>111.43646247427797</v>
      </c>
      <c r="P539" s="24">
        <v>117.93521588947796</v>
      </c>
      <c r="Q539" s="14"/>
      <c r="R539" s="14"/>
    </row>
    <row r="540" spans="1:18" x14ac:dyDescent="0.35">
      <c r="A540" s="39" t="s">
        <v>75</v>
      </c>
      <c r="B540" s="35" t="s">
        <v>34</v>
      </c>
      <c r="C540" s="36" t="s">
        <v>38</v>
      </c>
      <c r="D540" s="24">
        <v>28.659462734469269</v>
      </c>
      <c r="E540" s="24">
        <v>29.576522204025046</v>
      </c>
      <c r="F540" s="24">
        <v>30.568542931268066</v>
      </c>
      <c r="G540" s="24">
        <v>31.652512525171066</v>
      </c>
      <c r="H540" s="24">
        <v>32.810829367786113</v>
      </c>
      <c r="I540" s="24">
        <v>34.100459499349711</v>
      </c>
      <c r="J540" s="24">
        <v>35.459225110472374</v>
      </c>
      <c r="K540" s="24">
        <v>36.963995629438472</v>
      </c>
      <c r="L540" s="24">
        <v>38.592409785525255</v>
      </c>
      <c r="M540" s="24">
        <v>40.356873641986034</v>
      </c>
      <c r="N540" s="24">
        <v>42.294859230990284</v>
      </c>
      <c r="O540" s="24">
        <v>44.427168656541049</v>
      </c>
      <c r="P540" s="24">
        <v>46.749577280421214</v>
      </c>
      <c r="Q540" s="14"/>
      <c r="R540" s="14"/>
    </row>
    <row r="541" spans="1:18" x14ac:dyDescent="0.35">
      <c r="A541" s="39" t="s">
        <v>75</v>
      </c>
      <c r="B541" s="35" t="s">
        <v>22</v>
      </c>
      <c r="C541" s="36" t="s">
        <v>39</v>
      </c>
      <c r="D541" s="24">
        <v>89.446055287410161</v>
      </c>
      <c r="E541" s="24">
        <v>93.947635094939756</v>
      </c>
      <c r="F541" s="24">
        <v>98.868425142916237</v>
      </c>
      <c r="G541" s="24">
        <v>104.11910098318177</v>
      </c>
      <c r="H541" s="24">
        <v>109.72262872100413</v>
      </c>
      <c r="I541" s="24">
        <v>115.59458592479837</v>
      </c>
      <c r="J541" s="24">
        <v>121.61075068360435</v>
      </c>
      <c r="K541" s="24">
        <v>127.7398413833356</v>
      </c>
      <c r="L541" s="24">
        <v>134.31192794420161</v>
      </c>
      <c r="M541" s="24">
        <v>141.45378014750969</v>
      </c>
      <c r="N541" s="24">
        <v>148.89720204566243</v>
      </c>
      <c r="O541" s="24">
        <v>156.54835200296316</v>
      </c>
      <c r="P541" s="24">
        <v>164.48716486349178</v>
      </c>
      <c r="Q541" s="21"/>
      <c r="R541" s="21"/>
    </row>
    <row r="542" spans="1:18" x14ac:dyDescent="0.35">
      <c r="A542" s="39" t="s">
        <v>75</v>
      </c>
      <c r="B542" s="35" t="s">
        <v>22</v>
      </c>
      <c r="C542" s="36" t="s">
        <v>40</v>
      </c>
      <c r="D542" s="24">
        <v>77.763713275494638</v>
      </c>
      <c r="E542" s="24">
        <v>80.764196554095975</v>
      </c>
      <c r="F542" s="24">
        <v>84.074924375352538</v>
      </c>
      <c r="G542" s="24">
        <v>87.569691749934265</v>
      </c>
      <c r="H542" s="24">
        <v>91.271104410612139</v>
      </c>
      <c r="I542" s="24">
        <v>95.175078149341928</v>
      </c>
      <c r="J542" s="24">
        <v>99.276395039870764</v>
      </c>
      <c r="K542" s="24">
        <v>103.60490217605583</v>
      </c>
      <c r="L542" s="24">
        <v>108.23064056058229</v>
      </c>
      <c r="M542" s="24">
        <v>113.21109034384467</v>
      </c>
      <c r="N542" s="24">
        <v>118.51749586128362</v>
      </c>
      <c r="O542" s="24">
        <v>124.14185919037332</v>
      </c>
      <c r="P542" s="24">
        <v>130.14465877242483</v>
      </c>
      <c r="Q542" s="21"/>
      <c r="R542" s="21"/>
    </row>
    <row r="543" spans="1:18" x14ac:dyDescent="0.35">
      <c r="A543" s="39" t="s">
        <v>75</v>
      </c>
      <c r="B543" s="35" t="s">
        <v>22</v>
      </c>
      <c r="C543" s="36" t="s">
        <v>41</v>
      </c>
      <c r="D543" s="24">
        <v>54.006706793715317</v>
      </c>
      <c r="E543" s="24">
        <v>55.502751677520081</v>
      </c>
      <c r="F543" s="24">
        <v>57.182094165246482</v>
      </c>
      <c r="G543" s="24">
        <v>58.929338682099839</v>
      </c>
      <c r="H543" s="24">
        <v>60.762148372637313</v>
      </c>
      <c r="I543" s="24">
        <v>62.715759238882548</v>
      </c>
      <c r="J543" s="24">
        <v>64.840338090362437</v>
      </c>
      <c r="K543" s="24">
        <v>67.182711818997149</v>
      </c>
      <c r="L543" s="24">
        <v>69.672276736742859</v>
      </c>
      <c r="M543" s="24">
        <v>72.320291913398165</v>
      </c>
      <c r="N543" s="24">
        <v>75.210543009773886</v>
      </c>
      <c r="O543" s="24">
        <v>78.369533108347284</v>
      </c>
      <c r="P543" s="24">
        <v>81.827357415670846</v>
      </c>
      <c r="Q543" s="21"/>
      <c r="R543" s="21"/>
    </row>
    <row r="544" spans="1:18" x14ac:dyDescent="0.35">
      <c r="A544" s="39" t="s">
        <v>75</v>
      </c>
      <c r="B544" s="35" t="s">
        <v>22</v>
      </c>
      <c r="C544" s="36" t="s">
        <v>42</v>
      </c>
      <c r="D544" s="24">
        <v>85.310913859283389</v>
      </c>
      <c r="E544" s="24">
        <v>89.372379503990743</v>
      </c>
      <c r="F544" s="24">
        <v>93.855623115883532</v>
      </c>
      <c r="G544" s="24">
        <v>98.591813623296815</v>
      </c>
      <c r="H544" s="24">
        <v>103.62083751340913</v>
      </c>
      <c r="I544" s="24">
        <v>109.01518164915964</v>
      </c>
      <c r="J544" s="24">
        <v>114.87834839068439</v>
      </c>
      <c r="K544" s="24">
        <v>121.31520841547945</v>
      </c>
      <c r="L544" s="24">
        <v>128.22572841038641</v>
      </c>
      <c r="M544" s="24">
        <v>135.65172152511605</v>
      </c>
      <c r="N544" s="24">
        <v>143.77336751393696</v>
      </c>
      <c r="O544" s="24">
        <v>152.67418582658377</v>
      </c>
      <c r="P544" s="24">
        <v>162.44972494960209</v>
      </c>
      <c r="Q544" s="21"/>
      <c r="R544" s="21"/>
    </row>
    <row r="545" spans="1:18" x14ac:dyDescent="0.35">
      <c r="A545" s="39" t="s">
        <v>76</v>
      </c>
      <c r="B545" s="35" t="s">
        <v>24</v>
      </c>
      <c r="C545" s="36" t="s">
        <v>25</v>
      </c>
      <c r="D545" s="24">
        <v>27.237348365897127</v>
      </c>
      <c r="E545" s="24">
        <v>28.216695205271023</v>
      </c>
      <c r="F545" s="24">
        <v>29.303372504511039</v>
      </c>
      <c r="G545" s="24">
        <v>30.44065780581295</v>
      </c>
      <c r="H545" s="24">
        <v>31.638703253681481</v>
      </c>
      <c r="I545" s="24">
        <v>32.917119062060095</v>
      </c>
      <c r="J545" s="24">
        <v>34.303958381442058</v>
      </c>
      <c r="K545" s="24">
        <v>35.826374486971496</v>
      </c>
      <c r="L545" s="24">
        <v>37.44972351738727</v>
      </c>
      <c r="M545" s="24">
        <v>39.182209873506807</v>
      </c>
      <c r="N545" s="24">
        <v>41.071557488779668</v>
      </c>
      <c r="O545" s="24">
        <v>43.135686285317703</v>
      </c>
      <c r="P545" s="24">
        <v>45.395003301384584</v>
      </c>
      <c r="Q545" s="21"/>
      <c r="R545" s="21"/>
    </row>
    <row r="546" spans="1:18" x14ac:dyDescent="0.35">
      <c r="A546" s="39" t="s">
        <v>76</v>
      </c>
      <c r="B546" s="35" t="s">
        <v>24</v>
      </c>
      <c r="C546" s="36" t="s">
        <v>26</v>
      </c>
      <c r="D546" s="24">
        <v>296.59296685380508</v>
      </c>
      <c r="E546" s="24">
        <v>309.80718912736921</v>
      </c>
      <c r="F546" s="24">
        <v>323.96323474681429</v>
      </c>
      <c r="G546" s="24">
        <v>338.98143902030927</v>
      </c>
      <c r="H546" s="24">
        <v>355.14251011650782</v>
      </c>
      <c r="I546" s="24">
        <v>372.57916125430518</v>
      </c>
      <c r="J546" s="24">
        <v>391.20278173972787</v>
      </c>
      <c r="K546" s="24">
        <v>411.60375812457232</v>
      </c>
      <c r="L546" s="24">
        <v>433.62464234920708</v>
      </c>
      <c r="M546" s="24">
        <v>457.22398037619115</v>
      </c>
      <c r="N546" s="24">
        <v>482.97753851840673</v>
      </c>
      <c r="O546" s="24">
        <v>510.65501666352333</v>
      </c>
      <c r="P546" s="24">
        <v>540.68817998815371</v>
      </c>
      <c r="Q546" s="21"/>
      <c r="R546" s="21"/>
    </row>
    <row r="547" spans="1:18" x14ac:dyDescent="0.35">
      <c r="A547" s="39" t="s">
        <v>76</v>
      </c>
      <c r="B547" s="35" t="s">
        <v>27</v>
      </c>
      <c r="C547" s="36" t="s">
        <v>28</v>
      </c>
      <c r="D547" s="24">
        <v>109.93285917165369</v>
      </c>
      <c r="E547" s="24">
        <v>113.46479552488751</v>
      </c>
      <c r="F547" s="24">
        <v>117.14581919937419</v>
      </c>
      <c r="G547" s="24">
        <v>120.97723611054272</v>
      </c>
      <c r="H547" s="24">
        <v>125.16240064659326</v>
      </c>
      <c r="I547" s="24">
        <v>129.72777098786014</v>
      </c>
      <c r="J547" s="24">
        <v>134.60658233060951</v>
      </c>
      <c r="K547" s="24">
        <v>140.20450887762047</v>
      </c>
      <c r="L547" s="24">
        <v>146.13475187449507</v>
      </c>
      <c r="M547" s="24">
        <v>152.44207764861733</v>
      </c>
      <c r="N547" s="24">
        <v>159.49402991850877</v>
      </c>
      <c r="O547" s="24">
        <v>166.92680914746308</v>
      </c>
      <c r="P547" s="24">
        <v>174.93010872271418</v>
      </c>
      <c r="Q547" s="21"/>
      <c r="R547" s="21"/>
    </row>
    <row r="548" spans="1:18" x14ac:dyDescent="0.35">
      <c r="A548" s="39" t="s">
        <v>76</v>
      </c>
      <c r="B548" s="35" t="s">
        <v>27</v>
      </c>
      <c r="C548" s="36" t="s">
        <v>29</v>
      </c>
      <c r="D548" s="24">
        <v>64.06364398323916</v>
      </c>
      <c r="E548" s="24">
        <v>67.656573647723164</v>
      </c>
      <c r="F548" s="24">
        <v>71.469529498885038</v>
      </c>
      <c r="G548" s="24">
        <v>75.538975061498675</v>
      </c>
      <c r="H548" s="24">
        <v>79.908998682281108</v>
      </c>
      <c r="I548" s="24">
        <v>84.588042403434827</v>
      </c>
      <c r="J548" s="24">
        <v>89.564496820334654</v>
      </c>
      <c r="K548" s="24">
        <v>94.914004259943354</v>
      </c>
      <c r="L548" s="24">
        <v>100.73058564560367</v>
      </c>
      <c r="M548" s="24">
        <v>106.96847743539971</v>
      </c>
      <c r="N548" s="24">
        <v>113.73458301234587</v>
      </c>
      <c r="O548" s="24">
        <v>121.04584946840589</v>
      </c>
      <c r="P548" s="24">
        <v>128.95560484967552</v>
      </c>
      <c r="Q548" s="21"/>
      <c r="R548" s="21"/>
    </row>
    <row r="549" spans="1:18" x14ac:dyDescent="0.35">
      <c r="A549" s="39" t="s">
        <v>76</v>
      </c>
      <c r="B549" s="35" t="s">
        <v>27</v>
      </c>
      <c r="C549" s="36" t="s">
        <v>30</v>
      </c>
      <c r="D549" s="24">
        <v>57.670830252786558</v>
      </c>
      <c r="E549" s="24">
        <v>60.980766953711409</v>
      </c>
      <c r="F549" s="24">
        <v>64.629216285150349</v>
      </c>
      <c r="G549" s="24">
        <v>68.545112502433199</v>
      </c>
      <c r="H549" s="24">
        <v>72.7535462349326</v>
      </c>
      <c r="I549" s="24">
        <v>77.310457204926081</v>
      </c>
      <c r="J549" s="24">
        <v>82.211351789914985</v>
      </c>
      <c r="K549" s="24">
        <v>87.515657671920309</v>
      </c>
      <c r="L549" s="24">
        <v>93.298487743133322</v>
      </c>
      <c r="M549" s="24">
        <v>99.538278327951843</v>
      </c>
      <c r="N549" s="24">
        <v>106.31818002681135</v>
      </c>
      <c r="O549" s="24">
        <v>113.69501760243162</v>
      </c>
      <c r="P549" s="24">
        <v>121.78320666769835</v>
      </c>
      <c r="Q549" s="21"/>
      <c r="R549" s="21"/>
    </row>
    <row r="550" spans="1:18" x14ac:dyDescent="0.35">
      <c r="A550" s="39" t="s">
        <v>76</v>
      </c>
      <c r="B550" s="35" t="s">
        <v>27</v>
      </c>
      <c r="C550" s="36" t="s">
        <v>31</v>
      </c>
      <c r="D550" s="24">
        <v>44.63839771433603</v>
      </c>
      <c r="E550" s="24">
        <v>46.714189259576315</v>
      </c>
      <c r="F550" s="24">
        <v>49.000301435195176</v>
      </c>
      <c r="G550" s="24">
        <v>51.43556541296833</v>
      </c>
      <c r="H550" s="24">
        <v>54.033335507815437</v>
      </c>
      <c r="I550" s="24">
        <v>56.829218681813018</v>
      </c>
      <c r="J550" s="24">
        <v>59.812818727021799</v>
      </c>
      <c r="K550" s="24">
        <v>63.020528266037466</v>
      </c>
      <c r="L550" s="24">
        <v>66.498406595452764</v>
      </c>
      <c r="M550" s="24">
        <v>70.221562064694368</v>
      </c>
      <c r="N550" s="24">
        <v>74.239800318989751</v>
      </c>
      <c r="O550" s="24">
        <v>78.582331919375974</v>
      </c>
      <c r="P550" s="24">
        <v>83.316769545693589</v>
      </c>
      <c r="Q550" s="14"/>
      <c r="R550" s="14"/>
    </row>
    <row r="551" spans="1:18" x14ac:dyDescent="0.35">
      <c r="A551" s="39" t="s">
        <v>76</v>
      </c>
      <c r="B551" s="35" t="s">
        <v>27</v>
      </c>
      <c r="C551" s="36" t="s">
        <v>32</v>
      </c>
      <c r="D551" s="24">
        <v>28.300646077761112</v>
      </c>
      <c r="E551" s="24">
        <v>29.192081993647658</v>
      </c>
      <c r="F551" s="24">
        <v>30.139962647082072</v>
      </c>
      <c r="G551" s="24">
        <v>31.137788612359504</v>
      </c>
      <c r="H551" s="24">
        <v>32.180196952399754</v>
      </c>
      <c r="I551" s="24">
        <v>33.280091914528377</v>
      </c>
      <c r="J551" s="24">
        <v>34.468630380581423</v>
      </c>
      <c r="K551" s="24">
        <v>35.732395167889266</v>
      </c>
      <c r="L551" s="24">
        <v>37.089410847234753</v>
      </c>
      <c r="M551" s="24">
        <v>38.535778716434308</v>
      </c>
      <c r="N551" s="24">
        <v>40.065403694656986</v>
      </c>
      <c r="O551" s="24">
        <v>41.713278492872654</v>
      </c>
      <c r="P551" s="24">
        <v>43.491261704877601</v>
      </c>
      <c r="Q551" s="14"/>
      <c r="R551" s="14"/>
    </row>
    <row r="552" spans="1:18" x14ac:dyDescent="0.35">
      <c r="A552" s="39" t="s">
        <v>76</v>
      </c>
      <c r="B552" s="35" t="s">
        <v>27</v>
      </c>
      <c r="C552" s="36" t="s">
        <v>33</v>
      </c>
      <c r="D552" s="24">
        <v>19.223938019925644</v>
      </c>
      <c r="E552" s="24">
        <v>20.015476953094211</v>
      </c>
      <c r="F552" s="24">
        <v>20.881778185638517</v>
      </c>
      <c r="G552" s="24">
        <v>21.787419126319794</v>
      </c>
      <c r="H552" s="24">
        <v>22.742735346167127</v>
      </c>
      <c r="I552" s="24">
        <v>23.760699123802837</v>
      </c>
      <c r="J552" s="24">
        <v>24.842860072707538</v>
      </c>
      <c r="K552" s="24">
        <v>26.043038368132915</v>
      </c>
      <c r="L552" s="24">
        <v>27.322723160674723</v>
      </c>
      <c r="M552" s="24">
        <v>28.700016056600333</v>
      </c>
      <c r="N552" s="24">
        <v>30.197099035873773</v>
      </c>
      <c r="O552" s="24">
        <v>31.827416318291878</v>
      </c>
      <c r="P552" s="24">
        <v>33.606231798879023</v>
      </c>
      <c r="Q552" s="14"/>
      <c r="R552" s="14"/>
    </row>
    <row r="553" spans="1:18" x14ac:dyDescent="0.35">
      <c r="A553" s="39" t="s">
        <v>76</v>
      </c>
      <c r="B553" s="35" t="s">
        <v>34</v>
      </c>
      <c r="C553" s="36" t="s">
        <v>35</v>
      </c>
      <c r="D553" s="24">
        <v>111.4418609224268</v>
      </c>
      <c r="E553" s="24">
        <v>114.71251748973947</v>
      </c>
      <c r="F553" s="24">
        <v>118.08076650490136</v>
      </c>
      <c r="G553" s="24">
        <v>121.62392605303961</v>
      </c>
      <c r="H553" s="24">
        <v>125.54918185996343</v>
      </c>
      <c r="I553" s="24">
        <v>129.93346000090747</v>
      </c>
      <c r="J553" s="24">
        <v>134.64172678754153</v>
      </c>
      <c r="K553" s="24">
        <v>140.15445975475461</v>
      </c>
      <c r="L553" s="24">
        <v>146.10006112373787</v>
      </c>
      <c r="M553" s="24">
        <v>152.24578059273244</v>
      </c>
      <c r="N553" s="24">
        <v>159.17447737172233</v>
      </c>
      <c r="O553" s="24">
        <v>166.66046938290879</v>
      </c>
      <c r="P553" s="24">
        <v>174.82842939355828</v>
      </c>
      <c r="Q553" s="14"/>
      <c r="R553" s="14"/>
    </row>
    <row r="554" spans="1:18" x14ac:dyDescent="0.35">
      <c r="A554" s="39" t="s">
        <v>76</v>
      </c>
      <c r="B554" s="35" t="s">
        <v>34</v>
      </c>
      <c r="C554" s="36" t="s">
        <v>36</v>
      </c>
      <c r="D554" s="24">
        <v>111.20709877249455</v>
      </c>
      <c r="E554" s="24">
        <v>117.38412209372858</v>
      </c>
      <c r="F554" s="24">
        <v>124.18689868874826</v>
      </c>
      <c r="G554" s="24">
        <v>131.45529743324661</v>
      </c>
      <c r="H554" s="24">
        <v>139.24123681326813</v>
      </c>
      <c r="I554" s="24">
        <v>147.55867101101987</v>
      </c>
      <c r="J554" s="24">
        <v>156.42000395250165</v>
      </c>
      <c r="K554" s="24">
        <v>165.89298284595452</v>
      </c>
      <c r="L554" s="24">
        <v>176.11339692152964</v>
      </c>
      <c r="M554" s="24">
        <v>187.20459761925733</v>
      </c>
      <c r="N554" s="24">
        <v>199.15431400701942</v>
      </c>
      <c r="O554" s="24">
        <v>211.98315394148958</v>
      </c>
      <c r="P554" s="24">
        <v>225.82882537876117</v>
      </c>
      <c r="Q554" s="14"/>
      <c r="R554" s="14"/>
    </row>
    <row r="555" spans="1:18" x14ac:dyDescent="0.35">
      <c r="A555" s="39" t="s">
        <v>76</v>
      </c>
      <c r="B555" s="35" t="s">
        <v>34</v>
      </c>
      <c r="C555" s="36" t="s">
        <v>37</v>
      </c>
      <c r="D555" s="24">
        <v>68.055547965081971</v>
      </c>
      <c r="E555" s="24">
        <v>71.473476086832022</v>
      </c>
      <c r="F555" s="24">
        <v>75.091385186707981</v>
      </c>
      <c r="G555" s="24">
        <v>78.917012876806254</v>
      </c>
      <c r="H555" s="24">
        <v>82.9645702679056</v>
      </c>
      <c r="I555" s="24">
        <v>87.273504582496443</v>
      </c>
      <c r="J555" s="24">
        <v>91.903564991051596</v>
      </c>
      <c r="K555" s="24">
        <v>96.832244723263258</v>
      </c>
      <c r="L555" s="24">
        <v>102.16976589932858</v>
      </c>
      <c r="M555" s="24">
        <v>107.96176515052026</v>
      </c>
      <c r="N555" s="24">
        <v>114.22379348361345</v>
      </c>
      <c r="O555" s="24">
        <v>120.92625030958557</v>
      </c>
      <c r="P555" s="24">
        <v>128.23362573945937</v>
      </c>
      <c r="Q555" s="14"/>
      <c r="R555" s="14"/>
    </row>
    <row r="556" spans="1:18" x14ac:dyDescent="0.35">
      <c r="A556" s="39" t="s">
        <v>76</v>
      </c>
      <c r="B556" s="35" t="s">
        <v>34</v>
      </c>
      <c r="C556" s="36" t="s">
        <v>38</v>
      </c>
      <c r="D556" s="24">
        <v>33.125807559698863</v>
      </c>
      <c r="E556" s="24">
        <v>34.453768662340181</v>
      </c>
      <c r="F556" s="24">
        <v>35.907556870967774</v>
      </c>
      <c r="G556" s="24">
        <v>37.425860463029778</v>
      </c>
      <c r="H556" s="24">
        <v>39.026224429052093</v>
      </c>
      <c r="I556" s="24">
        <v>40.730644721941509</v>
      </c>
      <c r="J556" s="24">
        <v>42.541444390075149</v>
      </c>
      <c r="K556" s="24">
        <v>44.550445287571414</v>
      </c>
      <c r="L556" s="24">
        <v>46.691141921998216</v>
      </c>
      <c r="M556" s="24">
        <v>48.994046887187892</v>
      </c>
      <c r="N556" s="24">
        <v>51.49651114483121</v>
      </c>
      <c r="O556" s="24">
        <v>54.220829314857099</v>
      </c>
      <c r="P556" s="24">
        <v>57.192302777759409</v>
      </c>
      <c r="Q556" s="14"/>
      <c r="R556" s="14"/>
    </row>
    <row r="557" spans="1:18" x14ac:dyDescent="0.35">
      <c r="A557" s="39" t="s">
        <v>76</v>
      </c>
      <c r="B557" s="35" t="s">
        <v>22</v>
      </c>
      <c r="C557" s="36" t="s">
        <v>39</v>
      </c>
      <c r="D557" s="24">
        <v>74.061116147138648</v>
      </c>
      <c r="E557" s="24">
        <v>77.711743103976119</v>
      </c>
      <c r="F557" s="24">
        <v>81.165461832624601</v>
      </c>
      <c r="G557" s="24">
        <v>84.83044719694243</v>
      </c>
      <c r="H557" s="24">
        <v>88.88232283246947</v>
      </c>
      <c r="I557" s="24">
        <v>93.347459610223439</v>
      </c>
      <c r="J557" s="24">
        <v>98.018916040459317</v>
      </c>
      <c r="K557" s="24">
        <v>103.2333676171769</v>
      </c>
      <c r="L557" s="24">
        <v>108.94214533662989</v>
      </c>
      <c r="M557" s="24">
        <v>114.97953292010561</v>
      </c>
      <c r="N557" s="24">
        <v>121.74349406317077</v>
      </c>
      <c r="O557" s="24">
        <v>128.79836035350934</v>
      </c>
      <c r="P557" s="24">
        <v>136.22968554416229</v>
      </c>
      <c r="Q557" s="14"/>
      <c r="R557" s="14"/>
    </row>
    <row r="558" spans="1:18" x14ac:dyDescent="0.35">
      <c r="A558" s="39" t="s">
        <v>76</v>
      </c>
      <c r="B558" s="35" t="s">
        <v>22</v>
      </c>
      <c r="C558" s="36" t="s">
        <v>40</v>
      </c>
      <c r="D558" s="24">
        <v>85.217542685806805</v>
      </c>
      <c r="E558" s="24">
        <v>88.466617035313121</v>
      </c>
      <c r="F558" s="24">
        <v>92.193762264617504</v>
      </c>
      <c r="G558" s="24">
        <v>96.143999408584264</v>
      </c>
      <c r="H558" s="24">
        <v>100.36972486956412</v>
      </c>
      <c r="I558" s="24">
        <v>104.86464645624046</v>
      </c>
      <c r="J558" s="24">
        <v>109.66990500654225</v>
      </c>
      <c r="K558" s="24">
        <v>114.89341983156358</v>
      </c>
      <c r="L558" s="24">
        <v>120.45166024957085</v>
      </c>
      <c r="M558" s="24">
        <v>126.46444200237097</v>
      </c>
      <c r="N558" s="24">
        <v>132.87777949786891</v>
      </c>
      <c r="O558" s="24">
        <v>139.77858972990876</v>
      </c>
      <c r="P558" s="24">
        <v>147.33378765619943</v>
      </c>
      <c r="Q558" s="14"/>
      <c r="R558" s="14"/>
    </row>
    <row r="559" spans="1:18" x14ac:dyDescent="0.35">
      <c r="A559" s="39" t="s">
        <v>76</v>
      </c>
      <c r="B559" s="35" t="s">
        <v>22</v>
      </c>
      <c r="C559" s="36" t="s">
        <v>41</v>
      </c>
      <c r="D559" s="24">
        <v>65.089834912169508</v>
      </c>
      <c r="E559" s="24">
        <v>67.245073190577926</v>
      </c>
      <c r="F559" s="24">
        <v>69.635477881103597</v>
      </c>
      <c r="G559" s="24">
        <v>72.163825956203283</v>
      </c>
      <c r="H559" s="24">
        <v>74.842164787131622</v>
      </c>
      <c r="I559" s="24">
        <v>77.71258969782815</v>
      </c>
      <c r="J559" s="24">
        <v>80.751970715620033</v>
      </c>
      <c r="K559" s="24">
        <v>84.001309296856135</v>
      </c>
      <c r="L559" s="24">
        <v>87.512211969298178</v>
      </c>
      <c r="M559" s="24">
        <v>91.240058494111835</v>
      </c>
      <c r="N559" s="24">
        <v>95.239261577919365</v>
      </c>
      <c r="O559" s="24">
        <v>99.534807756028002</v>
      </c>
      <c r="P559" s="24">
        <v>104.19875916447654</v>
      </c>
      <c r="Q559" s="14"/>
      <c r="R559" s="14"/>
    </row>
    <row r="560" spans="1:18" x14ac:dyDescent="0.35">
      <c r="A560" s="39" t="s">
        <v>76</v>
      </c>
      <c r="B560" s="35" t="s">
        <v>22</v>
      </c>
      <c r="C560" s="36" t="s">
        <v>42</v>
      </c>
      <c r="D560" s="24">
        <v>99.461821474587211</v>
      </c>
      <c r="E560" s="24">
        <v>104.60045100277304</v>
      </c>
      <c r="F560" s="24">
        <v>110.27190527297964</v>
      </c>
      <c r="G560" s="24">
        <v>116.28382426439225</v>
      </c>
      <c r="H560" s="24">
        <v>122.68700088102403</v>
      </c>
      <c r="I560" s="24">
        <v>129.57158455207326</v>
      </c>
      <c r="J560" s="24">
        <v>137.06594835854833</v>
      </c>
      <c r="K560" s="24">
        <v>145.30203586594718</v>
      </c>
      <c r="L560" s="24">
        <v>154.16834831109543</v>
      </c>
      <c r="M560" s="24">
        <v>163.72215683310952</v>
      </c>
      <c r="N560" s="24">
        <v>174.1885608682274</v>
      </c>
      <c r="O560" s="24">
        <v>185.6789451093949</v>
      </c>
      <c r="P560" s="24">
        <v>198.32095092469999</v>
      </c>
      <c r="Q560" s="14"/>
      <c r="R560" s="14"/>
    </row>
    <row r="561" spans="1:18" x14ac:dyDescent="0.35">
      <c r="A561" s="39" t="s">
        <v>77</v>
      </c>
      <c r="B561" s="35" t="s">
        <v>24</v>
      </c>
      <c r="C561" s="36" t="s">
        <v>25</v>
      </c>
      <c r="D561" s="24">
        <v>40.325758925594975</v>
      </c>
      <c r="E561" s="24">
        <v>42.31483652220362</v>
      </c>
      <c r="F561" s="24">
        <v>44.505100822164785</v>
      </c>
      <c r="G561" s="24">
        <v>46.842589709506775</v>
      </c>
      <c r="H561" s="24">
        <v>49.340620167227605</v>
      </c>
      <c r="I561" s="24">
        <v>52.032966717898731</v>
      </c>
      <c r="J561" s="24">
        <v>54.91163977734336</v>
      </c>
      <c r="K561" s="24">
        <v>58.011511255611353</v>
      </c>
      <c r="L561" s="24">
        <v>61.376718206556305</v>
      </c>
      <c r="M561" s="24">
        <v>64.986375226119065</v>
      </c>
      <c r="N561" s="24">
        <v>68.888491611987433</v>
      </c>
      <c r="O561" s="24">
        <v>73.112470074364666</v>
      </c>
      <c r="P561" s="24">
        <v>77.723745137495854</v>
      </c>
      <c r="Q561" s="14"/>
      <c r="R561" s="14"/>
    </row>
    <row r="562" spans="1:18" x14ac:dyDescent="0.35">
      <c r="A562" s="39" t="s">
        <v>77</v>
      </c>
      <c r="B562" s="35" t="s">
        <v>24</v>
      </c>
      <c r="C562" s="36" t="s">
        <v>26</v>
      </c>
      <c r="D562" s="24">
        <v>355.04770746918211</v>
      </c>
      <c r="E562" s="24">
        <v>376.58053609031572</v>
      </c>
      <c r="F562" s="24">
        <v>399.52237146979172</v>
      </c>
      <c r="G562" s="24">
        <v>424.09441111974456</v>
      </c>
      <c r="H562" s="24">
        <v>450.5643460660815</v>
      </c>
      <c r="I562" s="24">
        <v>479.00333867247224</v>
      </c>
      <c r="J562" s="24">
        <v>509.37004486035534</v>
      </c>
      <c r="K562" s="24">
        <v>542.11843400249904</v>
      </c>
      <c r="L562" s="24">
        <v>577.81508827710559</v>
      </c>
      <c r="M562" s="24">
        <v>616.23426923596446</v>
      </c>
      <c r="N562" s="24">
        <v>658.02556236315297</v>
      </c>
      <c r="O562" s="24">
        <v>703.32899918751264</v>
      </c>
      <c r="P562" s="24">
        <v>752.49807492606408</v>
      </c>
      <c r="Q562" s="14"/>
      <c r="R562" s="14"/>
    </row>
    <row r="563" spans="1:18" x14ac:dyDescent="0.35">
      <c r="A563" s="39" t="s">
        <v>77</v>
      </c>
      <c r="B563" s="35" t="s">
        <v>27</v>
      </c>
      <c r="C563" s="36" t="s">
        <v>28</v>
      </c>
      <c r="D563" s="24">
        <v>147.02120054614232</v>
      </c>
      <c r="E563" s="24">
        <v>155.19378178962631</v>
      </c>
      <c r="F563" s="24">
        <v>163.56074546371286</v>
      </c>
      <c r="G563" s="24">
        <v>172.48336122319097</v>
      </c>
      <c r="H563" s="24">
        <v>182.11537919879453</v>
      </c>
      <c r="I563" s="24">
        <v>192.34853704686213</v>
      </c>
      <c r="J563" s="24">
        <v>202.84025257859741</v>
      </c>
      <c r="K563" s="24">
        <v>213.82060290252406</v>
      </c>
      <c r="L563" s="24">
        <v>225.81462020132074</v>
      </c>
      <c r="M563" s="24">
        <v>238.47552978336444</v>
      </c>
      <c r="N563" s="24">
        <v>252.05829769562041</v>
      </c>
      <c r="O563" s="24">
        <v>266.34356046825155</v>
      </c>
      <c r="P563" s="24">
        <v>281.35818488825817</v>
      </c>
      <c r="Q563" s="14"/>
      <c r="R563" s="14"/>
    </row>
    <row r="564" spans="1:18" x14ac:dyDescent="0.35">
      <c r="A564" s="39" t="s">
        <v>77</v>
      </c>
      <c r="B564" s="35" t="s">
        <v>27</v>
      </c>
      <c r="C564" s="36" t="s">
        <v>29</v>
      </c>
      <c r="D564" s="24">
        <v>85.876663704044518</v>
      </c>
      <c r="E564" s="24">
        <v>91.290553224988926</v>
      </c>
      <c r="F564" s="24">
        <v>97.279071515453765</v>
      </c>
      <c r="G564" s="24">
        <v>103.6895015634778</v>
      </c>
      <c r="H564" s="24">
        <v>110.57897853080797</v>
      </c>
      <c r="I564" s="24">
        <v>118.04231820599618</v>
      </c>
      <c r="J564" s="24">
        <v>126.21295214889071</v>
      </c>
      <c r="K564" s="24">
        <v>135.23298494715544</v>
      </c>
      <c r="L564" s="24">
        <v>145.02360311884192</v>
      </c>
      <c r="M564" s="24">
        <v>155.66083033914737</v>
      </c>
      <c r="N564" s="24">
        <v>167.3830427817737</v>
      </c>
      <c r="O564" s="24">
        <v>180.32902977703947</v>
      </c>
      <c r="P564" s="24">
        <v>194.65861817080841</v>
      </c>
      <c r="Q564" s="14"/>
      <c r="R564" s="14"/>
    </row>
    <row r="565" spans="1:18" x14ac:dyDescent="0.35">
      <c r="A565" s="39" t="s">
        <v>77</v>
      </c>
      <c r="B565" s="35" t="s">
        <v>27</v>
      </c>
      <c r="C565" s="36" t="s">
        <v>30</v>
      </c>
      <c r="D565" s="24">
        <v>70.860640965359664</v>
      </c>
      <c r="E565" s="24">
        <v>75.93295279094859</v>
      </c>
      <c r="F565" s="24">
        <v>81.442131492940419</v>
      </c>
      <c r="G565" s="24">
        <v>87.40281097378849</v>
      </c>
      <c r="H565" s="24">
        <v>93.832162161992116</v>
      </c>
      <c r="I565" s="24">
        <v>100.80032410155943</v>
      </c>
      <c r="J565" s="24">
        <v>108.44057795273277</v>
      </c>
      <c r="K565" s="24">
        <v>116.76305936368639</v>
      </c>
      <c r="L565" s="24">
        <v>125.87757338175443</v>
      </c>
      <c r="M565" s="24">
        <v>135.83191098800611</v>
      </c>
      <c r="N565" s="24">
        <v>146.66808638717134</v>
      </c>
      <c r="O565" s="24">
        <v>158.57934606842812</v>
      </c>
      <c r="P565" s="24">
        <v>171.69491146852235</v>
      </c>
      <c r="Q565" s="21"/>
      <c r="R565" s="21"/>
    </row>
    <row r="566" spans="1:18" x14ac:dyDescent="0.35">
      <c r="A566" s="39" t="s">
        <v>77</v>
      </c>
      <c r="B566" s="35" t="s">
        <v>27</v>
      </c>
      <c r="C566" s="36" t="s">
        <v>31</v>
      </c>
      <c r="D566" s="24">
        <v>44.223043748814753</v>
      </c>
      <c r="E566" s="24">
        <v>46.971655851463765</v>
      </c>
      <c r="F566" s="24">
        <v>49.903962155483619</v>
      </c>
      <c r="G566" s="24">
        <v>53.048372092426909</v>
      </c>
      <c r="H566" s="24">
        <v>56.439270687740596</v>
      </c>
      <c r="I566" s="24">
        <v>60.086618459215373</v>
      </c>
      <c r="J566" s="24">
        <v>63.986317500042794</v>
      </c>
      <c r="K566" s="24">
        <v>68.19646534785808</v>
      </c>
      <c r="L566" s="24">
        <v>72.789652969129875</v>
      </c>
      <c r="M566" s="24">
        <v>77.739067529533443</v>
      </c>
      <c r="N566" s="24">
        <v>83.128165316722914</v>
      </c>
      <c r="O566" s="24">
        <v>88.976499312584806</v>
      </c>
      <c r="P566" s="24">
        <v>95.330734184555581</v>
      </c>
      <c r="Q566" s="21"/>
      <c r="R566" s="21"/>
    </row>
    <row r="567" spans="1:18" x14ac:dyDescent="0.35">
      <c r="A567" s="39" t="s">
        <v>77</v>
      </c>
      <c r="B567" s="35" t="s">
        <v>27</v>
      </c>
      <c r="C567" s="36" t="s">
        <v>32</v>
      </c>
      <c r="D567" s="24">
        <v>30.474798661165398</v>
      </c>
      <c r="E567" s="24">
        <v>31.691375473209426</v>
      </c>
      <c r="F567" s="24">
        <v>33.037516669413264</v>
      </c>
      <c r="G567" s="24">
        <v>34.450711422216379</v>
      </c>
      <c r="H567" s="24">
        <v>35.94316707217493</v>
      </c>
      <c r="I567" s="24">
        <v>37.538016773646845</v>
      </c>
      <c r="J567" s="24">
        <v>39.268368104185924</v>
      </c>
      <c r="K567" s="24">
        <v>41.166793828974235</v>
      </c>
      <c r="L567" s="24">
        <v>43.195340523865212</v>
      </c>
      <c r="M567" s="24">
        <v>45.364886198301562</v>
      </c>
      <c r="N567" s="24">
        <v>47.732218727382865</v>
      </c>
      <c r="O567" s="24">
        <v>50.320336655527008</v>
      </c>
      <c r="P567" s="24">
        <v>53.155470140590936</v>
      </c>
      <c r="Q567" s="21"/>
      <c r="R567" s="21"/>
    </row>
    <row r="568" spans="1:18" x14ac:dyDescent="0.35">
      <c r="A568" s="39" t="s">
        <v>77</v>
      </c>
      <c r="B568" s="35" t="s">
        <v>27</v>
      </c>
      <c r="C568" s="36" t="s">
        <v>33</v>
      </c>
      <c r="D568" s="24">
        <v>16.917118769250443</v>
      </c>
      <c r="E568" s="24">
        <v>17.81505348228232</v>
      </c>
      <c r="F568" s="24">
        <v>18.804044994952562</v>
      </c>
      <c r="G568" s="24">
        <v>19.862243554150751</v>
      </c>
      <c r="H568" s="24">
        <v>20.996008581798982</v>
      </c>
      <c r="I568" s="24">
        <v>22.220490803091003</v>
      </c>
      <c r="J568" s="24">
        <v>23.533216353249152</v>
      </c>
      <c r="K568" s="24">
        <v>24.950038867912223</v>
      </c>
      <c r="L568" s="24">
        <v>26.491016288749758</v>
      </c>
      <c r="M568" s="24">
        <v>28.14841962373065</v>
      </c>
      <c r="N568" s="24">
        <v>29.944243066469166</v>
      </c>
      <c r="O568" s="24">
        <v>31.892696980046285</v>
      </c>
      <c r="P568" s="24">
        <v>34.023901210824455</v>
      </c>
      <c r="Q568" s="21"/>
      <c r="R568" s="21"/>
    </row>
    <row r="569" spans="1:18" x14ac:dyDescent="0.35">
      <c r="A569" s="39" t="s">
        <v>77</v>
      </c>
      <c r="B569" s="35" t="s">
        <v>34</v>
      </c>
      <c r="C569" s="36" t="s">
        <v>35</v>
      </c>
      <c r="D569" s="24">
        <v>135.90771638371291</v>
      </c>
      <c r="E569" s="24">
        <v>143.72303150593348</v>
      </c>
      <c r="F569" s="24">
        <v>151.387410076241</v>
      </c>
      <c r="G569" s="24">
        <v>159.49561019112309</v>
      </c>
      <c r="H569" s="24">
        <v>168.16803064088521</v>
      </c>
      <c r="I569" s="24">
        <v>177.30507170075646</v>
      </c>
      <c r="J569" s="24">
        <v>186.79198363865743</v>
      </c>
      <c r="K569" s="24">
        <v>196.77436320027113</v>
      </c>
      <c r="L569" s="24">
        <v>207.66151491072037</v>
      </c>
      <c r="M569" s="24">
        <v>219.09568884774171</v>
      </c>
      <c r="N569" s="24">
        <v>231.50795590939731</v>
      </c>
      <c r="O569" s="24">
        <v>244.72543289705118</v>
      </c>
      <c r="P569" s="24">
        <v>258.53278336519315</v>
      </c>
      <c r="Q569" s="21"/>
      <c r="R569" s="21"/>
    </row>
    <row r="570" spans="1:18" x14ac:dyDescent="0.35">
      <c r="A570" s="39" t="s">
        <v>77</v>
      </c>
      <c r="B570" s="35" t="s">
        <v>34</v>
      </c>
      <c r="C570" s="36" t="s">
        <v>36</v>
      </c>
      <c r="D570" s="24">
        <v>141.63680628744808</v>
      </c>
      <c r="E570" s="24">
        <v>150.83305597097299</v>
      </c>
      <c r="F570" s="24">
        <v>160.99381853719549</v>
      </c>
      <c r="G570" s="24">
        <v>171.96151800173416</v>
      </c>
      <c r="H570" s="24">
        <v>183.81505608398774</v>
      </c>
      <c r="I570" s="24">
        <v>196.71330068954182</v>
      </c>
      <c r="J570" s="24">
        <v>210.66561957243675</v>
      </c>
      <c r="K570" s="24">
        <v>225.84516138156764</v>
      </c>
      <c r="L570" s="24">
        <v>242.47017682449723</v>
      </c>
      <c r="M570" s="24">
        <v>260.51351143863877</v>
      </c>
      <c r="N570" s="24">
        <v>280.22091535302582</v>
      </c>
      <c r="O570" s="24">
        <v>301.77531836274034</v>
      </c>
      <c r="P570" s="24">
        <v>325.51722949242509</v>
      </c>
      <c r="Q570" s="21"/>
      <c r="R570" s="21"/>
    </row>
    <row r="571" spans="1:18" x14ac:dyDescent="0.35">
      <c r="A571" s="39" t="s">
        <v>77</v>
      </c>
      <c r="B571" s="35" t="s">
        <v>34</v>
      </c>
      <c r="C571" s="36" t="s">
        <v>37</v>
      </c>
      <c r="D571" s="24">
        <v>80.530556186877533</v>
      </c>
      <c r="E571" s="24">
        <v>85.103783796448923</v>
      </c>
      <c r="F571" s="24">
        <v>90.277449378422943</v>
      </c>
      <c r="G571" s="24">
        <v>95.830326754670338</v>
      </c>
      <c r="H571" s="24">
        <v>101.83064162172506</v>
      </c>
      <c r="I571" s="24">
        <v>108.29134161379109</v>
      </c>
      <c r="J571" s="24">
        <v>115.27454528703649</v>
      </c>
      <c r="K571" s="24">
        <v>122.91624794168936</v>
      </c>
      <c r="L571" s="24">
        <v>131.15646231891481</v>
      </c>
      <c r="M571" s="24">
        <v>140.15124188088697</v>
      </c>
      <c r="N571" s="24">
        <v>149.87416068171302</v>
      </c>
      <c r="O571" s="24">
        <v>160.45458931820639</v>
      </c>
      <c r="P571" s="24">
        <v>172.12173692841722</v>
      </c>
      <c r="Q571" s="21"/>
      <c r="R571" s="21"/>
    </row>
    <row r="572" spans="1:18" x14ac:dyDescent="0.35">
      <c r="A572" s="39" t="s">
        <v>77</v>
      </c>
      <c r="B572" s="35" t="s">
        <v>34</v>
      </c>
      <c r="C572" s="36" t="s">
        <v>38</v>
      </c>
      <c r="D572" s="24">
        <v>37.298387536738566</v>
      </c>
      <c r="E572" s="24">
        <v>39.235501339163953</v>
      </c>
      <c r="F572" s="24">
        <v>41.368794300097022</v>
      </c>
      <c r="G572" s="24">
        <v>43.649545881723775</v>
      </c>
      <c r="H572" s="24">
        <v>46.091237886711092</v>
      </c>
      <c r="I572" s="24">
        <v>48.726591386281626</v>
      </c>
      <c r="J572" s="24">
        <v>51.549536139568055</v>
      </c>
      <c r="K572" s="24">
        <v>54.59417273458228</v>
      </c>
      <c r="L572" s="24">
        <v>57.903652429529508</v>
      </c>
      <c r="M572" s="24">
        <v>61.460202294816099</v>
      </c>
      <c r="N572" s="24">
        <v>65.311022031004285</v>
      </c>
      <c r="O572" s="24">
        <v>69.486128683879343</v>
      </c>
      <c r="P572" s="24">
        <v>74.050070277524426</v>
      </c>
      <c r="Q572" s="21"/>
      <c r="R572" s="21"/>
    </row>
    <row r="573" spans="1:18" x14ac:dyDescent="0.35">
      <c r="A573" s="39" t="s">
        <v>77</v>
      </c>
      <c r="B573" s="35" t="s">
        <v>22</v>
      </c>
      <c r="C573" s="36" t="s">
        <v>39</v>
      </c>
      <c r="D573" s="24">
        <v>111.77664253935251</v>
      </c>
      <c r="E573" s="24">
        <v>119.39101853116699</v>
      </c>
      <c r="F573" s="24">
        <v>127.11403961072341</v>
      </c>
      <c r="G573" s="24">
        <v>135.40638914872238</v>
      </c>
      <c r="H573" s="24">
        <v>144.42254474480302</v>
      </c>
      <c r="I573" s="24">
        <v>154.13174910234795</v>
      </c>
      <c r="J573" s="24">
        <v>164.19318987082715</v>
      </c>
      <c r="K573" s="24">
        <v>174.93371096479643</v>
      </c>
      <c r="L573" s="24">
        <v>186.8018049478024</v>
      </c>
      <c r="M573" s="24">
        <v>199.22462313586993</v>
      </c>
      <c r="N573" s="24">
        <v>212.8887838572789</v>
      </c>
      <c r="O573" s="24">
        <v>227.66512124274436</v>
      </c>
      <c r="P573" s="24">
        <v>243.29372324701728</v>
      </c>
      <c r="Q573" s="21"/>
      <c r="R573" s="21"/>
    </row>
    <row r="574" spans="1:18" x14ac:dyDescent="0.35">
      <c r="A574" s="39" t="s">
        <v>77</v>
      </c>
      <c r="B574" s="35" t="s">
        <v>22</v>
      </c>
      <c r="C574" s="36" t="s">
        <v>40</v>
      </c>
      <c r="D574" s="24">
        <v>96.78413329520167</v>
      </c>
      <c r="E574" s="24">
        <v>102.12425537790213</v>
      </c>
      <c r="F574" s="24">
        <v>107.79949189043019</v>
      </c>
      <c r="G574" s="24">
        <v>113.82540416939281</v>
      </c>
      <c r="H574" s="24">
        <v>120.22714437911084</v>
      </c>
      <c r="I574" s="24">
        <v>127.0668681643424</v>
      </c>
      <c r="J574" s="24">
        <v>134.43741673089971</v>
      </c>
      <c r="K574" s="24">
        <v>142.31300142941814</v>
      </c>
      <c r="L574" s="24">
        <v>150.86235420258902</v>
      </c>
      <c r="M574" s="24">
        <v>160.16195094787699</v>
      </c>
      <c r="N574" s="24">
        <v>170.24498655542095</v>
      </c>
      <c r="O574" s="24">
        <v>181.07788973432454</v>
      </c>
      <c r="P574" s="24">
        <v>192.91700393251693</v>
      </c>
      <c r="Q574" s="21"/>
      <c r="R574" s="21"/>
    </row>
    <row r="575" spans="1:18" x14ac:dyDescent="0.35">
      <c r="A575" s="39" t="s">
        <v>77</v>
      </c>
      <c r="B575" s="35" t="s">
        <v>22</v>
      </c>
      <c r="C575" s="36" t="s">
        <v>41</v>
      </c>
      <c r="D575" s="24">
        <v>73.2702327695376</v>
      </c>
      <c r="E575" s="24">
        <v>76.714459138076492</v>
      </c>
      <c r="F575" s="24">
        <v>80.395131351351964</v>
      </c>
      <c r="G575" s="24">
        <v>84.303524424481267</v>
      </c>
      <c r="H575" s="24">
        <v>88.433188526672382</v>
      </c>
      <c r="I575" s="24">
        <v>92.82722467973845</v>
      </c>
      <c r="J575" s="24">
        <v>97.581982212450399</v>
      </c>
      <c r="K575" s="24">
        <v>102.67308683784354</v>
      </c>
      <c r="L575" s="24">
        <v>108.16461541231151</v>
      </c>
      <c r="M575" s="24">
        <v>114.0601467332132</v>
      </c>
      <c r="N575" s="24">
        <v>120.35649709932486</v>
      </c>
      <c r="O575" s="24">
        <v>127.17324923756786</v>
      </c>
      <c r="P575" s="24">
        <v>134.56612300464687</v>
      </c>
      <c r="Q575" s="21"/>
      <c r="R575" s="21"/>
    </row>
    <row r="576" spans="1:18" x14ac:dyDescent="0.35">
      <c r="A576" s="39" t="s">
        <v>77</v>
      </c>
      <c r="B576" s="35" t="s">
        <v>22</v>
      </c>
      <c r="C576" s="36" t="s">
        <v>42</v>
      </c>
      <c r="D576" s="24">
        <v>113.54245779068533</v>
      </c>
      <c r="E576" s="24">
        <v>120.66563956537374</v>
      </c>
      <c r="F576" s="24">
        <v>128.71880943945095</v>
      </c>
      <c r="G576" s="24">
        <v>137.40168308665486</v>
      </c>
      <c r="H576" s="24">
        <v>146.82208858272287</v>
      </c>
      <c r="I576" s="24">
        <v>157.01046344394223</v>
      </c>
      <c r="J576" s="24">
        <v>168.06909582352151</v>
      </c>
      <c r="K576" s="24">
        <v>180.21014602605234</v>
      </c>
      <c r="L576" s="24">
        <v>193.36303192095903</v>
      </c>
      <c r="M576" s="24">
        <v>207.77392364512343</v>
      </c>
      <c r="N576" s="24">
        <v>223.4237864631157</v>
      </c>
      <c r="O576" s="24">
        <v>240.52520904724051</v>
      </c>
      <c r="P576" s="24">
        <v>259.4449698793789</v>
      </c>
      <c r="Q576" s="21"/>
      <c r="R576" s="21"/>
    </row>
    <row r="577" spans="1:18" x14ac:dyDescent="0.35">
      <c r="A577" s="39" t="s">
        <v>78</v>
      </c>
      <c r="B577" s="35" t="s">
        <v>24</v>
      </c>
      <c r="C577" s="36" t="s">
        <v>25</v>
      </c>
      <c r="D577" s="24">
        <v>21.381022770340458</v>
      </c>
      <c r="E577" s="24">
        <v>21.74442394606308</v>
      </c>
      <c r="F577" s="24">
        <v>22.147538712013624</v>
      </c>
      <c r="G577" s="24">
        <v>22.600638466593594</v>
      </c>
      <c r="H577" s="24">
        <v>23.088647978264223</v>
      </c>
      <c r="I577" s="24">
        <v>23.64977052327686</v>
      </c>
      <c r="J577" s="24">
        <v>24.237323285690138</v>
      </c>
      <c r="K577" s="24">
        <v>24.902264359033094</v>
      </c>
      <c r="L577" s="24">
        <v>25.62572518604129</v>
      </c>
      <c r="M577" s="24">
        <v>26.412907410026751</v>
      </c>
      <c r="N577" s="24">
        <v>27.285039159647468</v>
      </c>
      <c r="O577" s="24">
        <v>28.251291919642014</v>
      </c>
      <c r="P577" s="24">
        <v>29.304287099950717</v>
      </c>
      <c r="Q577" s="21"/>
      <c r="R577" s="21"/>
    </row>
    <row r="578" spans="1:18" x14ac:dyDescent="0.35">
      <c r="A578" s="39" t="s">
        <v>78</v>
      </c>
      <c r="B578" s="35" t="s">
        <v>24</v>
      </c>
      <c r="C578" s="36" t="s">
        <v>26</v>
      </c>
      <c r="D578" s="24">
        <v>194.04614547694416</v>
      </c>
      <c r="E578" s="24">
        <v>200.11653560649953</v>
      </c>
      <c r="F578" s="24">
        <v>206.57127794718897</v>
      </c>
      <c r="G578" s="24">
        <v>213.36558422060071</v>
      </c>
      <c r="H578" s="24">
        <v>220.46249103296179</v>
      </c>
      <c r="I578" s="24">
        <v>227.95021191272343</v>
      </c>
      <c r="J578" s="24">
        <v>236.04190716497465</v>
      </c>
      <c r="K578" s="24">
        <v>244.64531537923463</v>
      </c>
      <c r="L578" s="24">
        <v>253.88352090482161</v>
      </c>
      <c r="M578" s="24">
        <v>263.72943708825227</v>
      </c>
      <c r="N578" s="24">
        <v>274.14096820570273</v>
      </c>
      <c r="O578" s="24">
        <v>285.35718977477632</v>
      </c>
      <c r="P578" s="24">
        <v>297.45872044135643</v>
      </c>
      <c r="Q578" s="21"/>
      <c r="R578" s="21"/>
    </row>
    <row r="579" spans="1:18" x14ac:dyDescent="0.35">
      <c r="A579" s="39" t="s">
        <v>78</v>
      </c>
      <c r="B579" s="35" t="s">
        <v>27</v>
      </c>
      <c r="C579" s="36" t="s">
        <v>28</v>
      </c>
      <c r="D579" s="24">
        <v>74.4513090544026</v>
      </c>
      <c r="E579" s="24">
        <v>76.021656781490378</v>
      </c>
      <c r="F579" s="24">
        <v>77.644399549778768</v>
      </c>
      <c r="G579" s="24">
        <v>79.362332474618768</v>
      </c>
      <c r="H579" s="24">
        <v>81.078174176837138</v>
      </c>
      <c r="I579" s="24">
        <v>82.880034646610113</v>
      </c>
      <c r="J579" s="24">
        <v>84.949384130102402</v>
      </c>
      <c r="K579" s="24">
        <v>87.153224450741959</v>
      </c>
      <c r="L579" s="24">
        <v>89.512820487739077</v>
      </c>
      <c r="M579" s="24">
        <v>91.973500641956832</v>
      </c>
      <c r="N579" s="24">
        <v>94.455998370698467</v>
      </c>
      <c r="O579" s="24">
        <v>97.258405911898336</v>
      </c>
      <c r="P579" s="24">
        <v>100.30709722701386</v>
      </c>
      <c r="Q579" s="21"/>
      <c r="R579" s="21"/>
    </row>
    <row r="580" spans="1:18" x14ac:dyDescent="0.35">
      <c r="A580" s="39" t="s">
        <v>78</v>
      </c>
      <c r="B580" s="35" t="s">
        <v>27</v>
      </c>
      <c r="C580" s="36" t="s">
        <v>29</v>
      </c>
      <c r="D580" s="24">
        <v>48.870630230624684</v>
      </c>
      <c r="E580" s="24">
        <v>50.771797950037943</v>
      </c>
      <c r="F580" s="24">
        <v>52.869178359192006</v>
      </c>
      <c r="G580" s="24">
        <v>55.083589528587382</v>
      </c>
      <c r="H580" s="24">
        <v>57.429358578847093</v>
      </c>
      <c r="I580" s="24">
        <v>59.904036282269679</v>
      </c>
      <c r="J580" s="24">
        <v>62.504456819030338</v>
      </c>
      <c r="K580" s="24">
        <v>65.249527442778245</v>
      </c>
      <c r="L580" s="24">
        <v>68.183492198082988</v>
      </c>
      <c r="M580" s="24">
        <v>71.34273576237203</v>
      </c>
      <c r="N580" s="24">
        <v>74.709343297750635</v>
      </c>
      <c r="O580" s="24">
        <v>78.278463092265454</v>
      </c>
      <c r="P580" s="24">
        <v>82.08841572917629</v>
      </c>
      <c r="Q580" s="21"/>
      <c r="R580" s="21"/>
    </row>
    <row r="581" spans="1:18" x14ac:dyDescent="0.35">
      <c r="A581" s="39" t="s">
        <v>78</v>
      </c>
      <c r="B581" s="35" t="s">
        <v>27</v>
      </c>
      <c r="C581" s="36" t="s">
        <v>30</v>
      </c>
      <c r="D581" s="24">
        <v>35.030206464805282</v>
      </c>
      <c r="E581" s="24">
        <v>36.596962046099165</v>
      </c>
      <c r="F581" s="24">
        <v>38.24829481742659</v>
      </c>
      <c r="G581" s="24">
        <v>39.9866612556756</v>
      </c>
      <c r="H581" s="24">
        <v>41.817730568227503</v>
      </c>
      <c r="I581" s="24">
        <v>43.759756987639257</v>
      </c>
      <c r="J581" s="24">
        <v>45.840775204981874</v>
      </c>
      <c r="K581" s="24">
        <v>48.047185316593108</v>
      </c>
      <c r="L581" s="24">
        <v>50.431504896538861</v>
      </c>
      <c r="M581" s="24">
        <v>53.013253764392168</v>
      </c>
      <c r="N581" s="24">
        <v>55.796741168659253</v>
      </c>
      <c r="O581" s="24">
        <v>58.764096202986266</v>
      </c>
      <c r="P581" s="24">
        <v>61.992101187538651</v>
      </c>
      <c r="Q581" s="14"/>
      <c r="R581" s="14"/>
    </row>
    <row r="582" spans="1:18" x14ac:dyDescent="0.35">
      <c r="A582" s="39" t="s">
        <v>78</v>
      </c>
      <c r="B582" s="35" t="s">
        <v>27</v>
      </c>
      <c r="C582" s="36" t="s">
        <v>31</v>
      </c>
      <c r="D582" s="24">
        <v>30.24189552101479</v>
      </c>
      <c r="E582" s="24">
        <v>31.150279835309114</v>
      </c>
      <c r="F582" s="24">
        <v>32.121451285911682</v>
      </c>
      <c r="G582" s="24">
        <v>33.144250755299225</v>
      </c>
      <c r="H582" s="24">
        <v>34.243290144978381</v>
      </c>
      <c r="I582" s="24">
        <v>35.427474759245143</v>
      </c>
      <c r="J582" s="24">
        <v>36.684071859948574</v>
      </c>
      <c r="K582" s="24">
        <v>38.064612884255013</v>
      </c>
      <c r="L582" s="24">
        <v>39.548527276328059</v>
      </c>
      <c r="M582" s="24">
        <v>41.126802816521739</v>
      </c>
      <c r="N582" s="24">
        <v>42.846306361558156</v>
      </c>
      <c r="O582" s="24">
        <v>44.679692220742915</v>
      </c>
      <c r="P582" s="24">
        <v>46.658864515214049</v>
      </c>
      <c r="Q582" s="14"/>
      <c r="R582" s="14"/>
    </row>
    <row r="583" spans="1:18" x14ac:dyDescent="0.35">
      <c r="A583" s="39" t="s">
        <v>78</v>
      </c>
      <c r="B583" s="35" t="s">
        <v>27</v>
      </c>
      <c r="C583" s="36" t="s">
        <v>32</v>
      </c>
      <c r="D583" s="24">
        <v>17.805117012215891</v>
      </c>
      <c r="E583" s="24">
        <v>18.106148199891816</v>
      </c>
      <c r="F583" s="24">
        <v>18.417225538818638</v>
      </c>
      <c r="G583" s="24">
        <v>18.74436773098984</v>
      </c>
      <c r="H583" s="24">
        <v>19.094409298480123</v>
      </c>
      <c r="I583" s="24">
        <v>19.464418916181977</v>
      </c>
      <c r="J583" s="24">
        <v>19.84699019420859</v>
      </c>
      <c r="K583" s="24">
        <v>20.25487046714148</v>
      </c>
      <c r="L583" s="24">
        <v>20.702622539268717</v>
      </c>
      <c r="M583" s="24">
        <v>21.173601856198772</v>
      </c>
      <c r="N583" s="24">
        <v>21.68338842281733</v>
      </c>
      <c r="O583" s="24">
        <v>22.227789623842938</v>
      </c>
      <c r="P583" s="24">
        <v>22.80945461307056</v>
      </c>
      <c r="Q583" s="14"/>
      <c r="R583" s="14"/>
    </row>
    <row r="584" spans="1:18" x14ac:dyDescent="0.35">
      <c r="A584" s="39" t="s">
        <v>78</v>
      </c>
      <c r="B584" s="35" t="s">
        <v>27</v>
      </c>
      <c r="C584" s="36" t="s">
        <v>33</v>
      </c>
      <c r="D584" s="24">
        <v>9.0280099642213489</v>
      </c>
      <c r="E584" s="24">
        <v>9.2141147397342031</v>
      </c>
      <c r="F584" s="24">
        <v>9.4182671080748932</v>
      </c>
      <c r="G584" s="24">
        <v>9.6450209420235211</v>
      </c>
      <c r="H584" s="24">
        <v>9.8881762438557779</v>
      </c>
      <c r="I584" s="24">
        <v>10.164260844054109</v>
      </c>
      <c r="J584" s="24">
        <v>10.453552242393021</v>
      </c>
      <c r="K584" s="24">
        <v>10.778159176757896</v>
      </c>
      <c r="L584" s="24">
        <v>11.13027869290522</v>
      </c>
      <c r="M584" s="24">
        <v>11.512449656837477</v>
      </c>
      <c r="N584" s="24">
        <v>11.934229743866318</v>
      </c>
      <c r="O584" s="24">
        <v>12.400034642682453</v>
      </c>
      <c r="P584" s="24">
        <v>12.907074269293767</v>
      </c>
      <c r="Q584" s="14"/>
      <c r="R584" s="14"/>
    </row>
    <row r="585" spans="1:18" x14ac:dyDescent="0.35">
      <c r="A585" s="39" t="s">
        <v>78</v>
      </c>
      <c r="B585" s="35" t="s">
        <v>34</v>
      </c>
      <c r="C585" s="36" t="s">
        <v>35</v>
      </c>
      <c r="D585" s="24">
        <v>68.884268151186944</v>
      </c>
      <c r="E585" s="24">
        <v>70.572395346148284</v>
      </c>
      <c r="F585" s="24">
        <v>72.177891344931481</v>
      </c>
      <c r="G585" s="24">
        <v>73.94652877694503</v>
      </c>
      <c r="H585" s="24">
        <v>75.768759346392414</v>
      </c>
      <c r="I585" s="24">
        <v>77.677840197002553</v>
      </c>
      <c r="J585" s="24">
        <v>79.798378572172567</v>
      </c>
      <c r="K585" s="24">
        <v>81.832295478954649</v>
      </c>
      <c r="L585" s="24">
        <v>84.084330940222173</v>
      </c>
      <c r="M585" s="24">
        <v>86.473044749681435</v>
      </c>
      <c r="N585" s="24">
        <v>88.803853471422059</v>
      </c>
      <c r="O585" s="24">
        <v>91.248380194389057</v>
      </c>
      <c r="P585" s="24">
        <v>93.779533525128102</v>
      </c>
      <c r="Q585" s="14"/>
      <c r="R585" s="14"/>
    </row>
    <row r="586" spans="1:18" x14ac:dyDescent="0.35">
      <c r="A586" s="39" t="s">
        <v>78</v>
      </c>
      <c r="B586" s="35" t="s">
        <v>34</v>
      </c>
      <c r="C586" s="36" t="s">
        <v>36</v>
      </c>
      <c r="D586" s="24">
        <v>74.236456879475398</v>
      </c>
      <c r="E586" s="24">
        <v>76.97982482678816</v>
      </c>
      <c r="F586" s="24">
        <v>79.986762593013793</v>
      </c>
      <c r="G586" s="24">
        <v>83.11822203257411</v>
      </c>
      <c r="H586" s="24">
        <v>86.411944121182984</v>
      </c>
      <c r="I586" s="24">
        <v>89.91506357596559</v>
      </c>
      <c r="J586" s="24">
        <v>93.630710118931802</v>
      </c>
      <c r="K586" s="24">
        <v>97.75894432640608</v>
      </c>
      <c r="L586" s="24">
        <v>102.14999397489208</v>
      </c>
      <c r="M586" s="24">
        <v>106.86811199859926</v>
      </c>
      <c r="N586" s="24">
        <v>111.99168423192593</v>
      </c>
      <c r="O586" s="24">
        <v>117.56539929405864</v>
      </c>
      <c r="P586" s="24">
        <v>123.63991118386991</v>
      </c>
      <c r="Q586" s="14"/>
      <c r="R586" s="14"/>
    </row>
    <row r="587" spans="1:18" x14ac:dyDescent="0.35">
      <c r="A587" s="39" t="s">
        <v>78</v>
      </c>
      <c r="B587" s="35" t="s">
        <v>34</v>
      </c>
      <c r="C587" s="36" t="s">
        <v>37</v>
      </c>
      <c r="D587" s="24">
        <v>50.330792209731975</v>
      </c>
      <c r="E587" s="24">
        <v>51.808233455957527</v>
      </c>
      <c r="F587" s="24">
        <v>53.461457395358963</v>
      </c>
      <c r="G587" s="24">
        <v>55.183414739026809</v>
      </c>
      <c r="H587" s="24">
        <v>56.990966528626892</v>
      </c>
      <c r="I587" s="24">
        <v>58.917563191860317</v>
      </c>
      <c r="J587" s="24">
        <v>61.01089481463692</v>
      </c>
      <c r="K587" s="24">
        <v>63.315811964772443</v>
      </c>
      <c r="L587" s="24">
        <v>65.766776877190111</v>
      </c>
      <c r="M587" s="24">
        <v>68.375103793010652</v>
      </c>
      <c r="N587" s="24">
        <v>71.220746986636584</v>
      </c>
      <c r="O587" s="24">
        <v>74.329923118879833</v>
      </c>
      <c r="P587" s="24">
        <v>77.73241794052619</v>
      </c>
      <c r="Q587" s="14"/>
      <c r="R587" s="14"/>
    </row>
    <row r="588" spans="1:18" x14ac:dyDescent="0.35">
      <c r="A588" s="39" t="s">
        <v>78</v>
      </c>
      <c r="B588" s="35" t="s">
        <v>34</v>
      </c>
      <c r="C588" s="36" t="s">
        <v>38</v>
      </c>
      <c r="D588" s="24">
        <v>21.975651006890313</v>
      </c>
      <c r="E588" s="24">
        <v>22.500505923668644</v>
      </c>
      <c r="F588" s="24">
        <v>23.092705325898351</v>
      </c>
      <c r="G588" s="24">
        <v>23.718057138648359</v>
      </c>
      <c r="H588" s="24">
        <v>24.379469015023723</v>
      </c>
      <c r="I588" s="24">
        <v>25.08951547117184</v>
      </c>
      <c r="J588" s="24">
        <v>25.839246944923513</v>
      </c>
      <c r="K588" s="24">
        <v>26.640527968134545</v>
      </c>
      <c r="L588" s="24">
        <v>27.508144298558548</v>
      </c>
      <c r="M588" s="24">
        <v>28.426083956987696</v>
      </c>
      <c r="N588" s="24">
        <v>29.409722675365593</v>
      </c>
      <c r="O588" s="24">
        <v>30.464779087090811</v>
      </c>
      <c r="P588" s="24">
        <v>31.611144891782931</v>
      </c>
      <c r="Q588" s="21"/>
      <c r="R588" s="21"/>
    </row>
    <row r="589" spans="1:18" x14ac:dyDescent="0.35">
      <c r="A589" s="39" t="s">
        <v>78</v>
      </c>
      <c r="B589" s="35" t="s">
        <v>22</v>
      </c>
      <c r="C589" s="36" t="s">
        <v>39</v>
      </c>
      <c r="D589" s="24">
        <v>60.120992072316398</v>
      </c>
      <c r="E589" s="24">
        <v>61.986960993187751</v>
      </c>
      <c r="F589" s="24">
        <v>63.879982498649696</v>
      </c>
      <c r="G589" s="24">
        <v>65.938201489685639</v>
      </c>
      <c r="H589" s="24">
        <v>68.072543353637656</v>
      </c>
      <c r="I589" s="24">
        <v>70.367118779822903</v>
      </c>
      <c r="J589" s="24">
        <v>72.954626142237998</v>
      </c>
      <c r="K589" s="24">
        <v>75.709000875911727</v>
      </c>
      <c r="L589" s="24">
        <v>78.690743156140201</v>
      </c>
      <c r="M589" s="24">
        <v>81.792888208125476</v>
      </c>
      <c r="N589" s="24">
        <v>84.987294971553496</v>
      </c>
      <c r="O589" s="24">
        <v>88.554378848163964</v>
      </c>
      <c r="P589" s="24">
        <v>92.401741297946387</v>
      </c>
      <c r="Q589" s="21"/>
      <c r="R589" s="21"/>
    </row>
    <row r="590" spans="1:18" x14ac:dyDescent="0.35">
      <c r="A590" s="39" t="s">
        <v>78</v>
      </c>
      <c r="B590" s="35" t="s">
        <v>22</v>
      </c>
      <c r="C590" s="36" t="s">
        <v>40</v>
      </c>
      <c r="D590" s="24">
        <v>55.539562377314041</v>
      </c>
      <c r="E590" s="24">
        <v>57.020552587159344</v>
      </c>
      <c r="F590" s="24">
        <v>58.678333879787608</v>
      </c>
      <c r="G590" s="24">
        <v>60.418039570604762</v>
      </c>
      <c r="H590" s="24">
        <v>62.251671131269369</v>
      </c>
      <c r="I590" s="24">
        <v>64.172400499357394</v>
      </c>
      <c r="J590" s="24">
        <v>66.172860951054844</v>
      </c>
      <c r="K590" s="24">
        <v>68.269313005093267</v>
      </c>
      <c r="L590" s="24">
        <v>70.503682455719627</v>
      </c>
      <c r="M590" s="24">
        <v>72.907708873217246</v>
      </c>
      <c r="N590" s="24">
        <v>75.456027416993962</v>
      </c>
      <c r="O590" s="24">
        <v>78.137497386656136</v>
      </c>
      <c r="P590" s="24">
        <v>80.984455560431599</v>
      </c>
      <c r="Q590" s="21"/>
      <c r="R590" s="21"/>
    </row>
    <row r="591" spans="1:18" x14ac:dyDescent="0.35">
      <c r="A591" s="39" t="s">
        <v>78</v>
      </c>
      <c r="B591" s="35" t="s">
        <v>22</v>
      </c>
      <c r="C591" s="36" t="s">
        <v>41</v>
      </c>
      <c r="D591" s="24">
        <v>40.779623308969363</v>
      </c>
      <c r="E591" s="24">
        <v>41.481615167797642</v>
      </c>
      <c r="F591" s="24">
        <v>42.283089655406023</v>
      </c>
      <c r="G591" s="24">
        <v>43.103785153359922</v>
      </c>
      <c r="H591" s="24">
        <v>43.960980591526294</v>
      </c>
      <c r="I591" s="24">
        <v>44.875350654394786</v>
      </c>
      <c r="J591" s="24">
        <v>45.843930520274156</v>
      </c>
      <c r="K591" s="24">
        <v>46.96024963954531</v>
      </c>
      <c r="L591" s="24">
        <v>48.142564896622858</v>
      </c>
      <c r="M591" s="24">
        <v>49.415837587788694</v>
      </c>
      <c r="N591" s="24">
        <v>50.80950110149044</v>
      </c>
      <c r="O591" s="24">
        <v>52.335251048922345</v>
      </c>
      <c r="P591" s="24">
        <v>54.006265277824895</v>
      </c>
      <c r="Q591" s="21"/>
      <c r="R591" s="21"/>
    </row>
    <row r="592" spans="1:18" x14ac:dyDescent="0.35">
      <c r="A592" s="39" t="s">
        <v>78</v>
      </c>
      <c r="B592" s="35" t="s">
        <v>22</v>
      </c>
      <c r="C592" s="36" t="s">
        <v>42</v>
      </c>
      <c r="D592" s="24">
        <v>58.98699048868481</v>
      </c>
      <c r="E592" s="24">
        <v>61.371830804417883</v>
      </c>
      <c r="F592" s="24">
        <v>63.877410625359246</v>
      </c>
      <c r="G592" s="24">
        <v>66.506196473543994</v>
      </c>
      <c r="H592" s="24">
        <v>69.265943934792674</v>
      </c>
      <c r="I592" s="24">
        <v>72.185112502425198</v>
      </c>
      <c r="J592" s="24">
        <v>75.307812837097799</v>
      </c>
      <c r="K592" s="24">
        <v>78.609016217717397</v>
      </c>
      <c r="L592" s="24">
        <v>82.172255582380231</v>
      </c>
      <c r="M592" s="24">
        <v>86.025909829147636</v>
      </c>
      <c r="N592" s="24">
        <v>90.17318387531229</v>
      </c>
      <c r="O592" s="24">
        <v>94.581354410675914</v>
      </c>
      <c r="P592" s="24">
        <v>99.370545405104266</v>
      </c>
      <c r="Q592" s="21"/>
      <c r="R592" s="21"/>
    </row>
    <row r="593" spans="1:18" x14ac:dyDescent="0.35">
      <c r="A593" s="39" t="s">
        <v>79</v>
      </c>
      <c r="B593" s="35" t="s">
        <v>24</v>
      </c>
      <c r="C593" s="36" t="s">
        <v>25</v>
      </c>
      <c r="D593" s="24">
        <v>55.465099789262126</v>
      </c>
      <c r="E593" s="24">
        <v>59.223958509645797</v>
      </c>
      <c r="F593" s="24">
        <v>63.380159651049738</v>
      </c>
      <c r="G593" s="24">
        <v>67.864462996060794</v>
      </c>
      <c r="H593" s="24">
        <v>72.713607848974846</v>
      </c>
      <c r="I593" s="24">
        <v>77.945974492949915</v>
      </c>
      <c r="J593" s="24">
        <v>83.579716324197079</v>
      </c>
      <c r="K593" s="24">
        <v>89.66312848257806</v>
      </c>
      <c r="L593" s="24">
        <v>96.283230943828812</v>
      </c>
      <c r="M593" s="24">
        <v>103.52394022158083</v>
      </c>
      <c r="N593" s="24">
        <v>111.39765664753396</v>
      </c>
      <c r="O593" s="24">
        <v>119.93530179524799</v>
      </c>
      <c r="P593" s="24">
        <v>129.23502945255393</v>
      </c>
      <c r="Q593" s="21"/>
      <c r="R593" s="21"/>
    </row>
    <row r="594" spans="1:18" x14ac:dyDescent="0.35">
      <c r="A594" s="39" t="s">
        <v>79</v>
      </c>
      <c r="B594" s="35" t="s">
        <v>24</v>
      </c>
      <c r="C594" s="36" t="s">
        <v>26</v>
      </c>
      <c r="D594" s="24">
        <v>616.7682603018028</v>
      </c>
      <c r="E594" s="24">
        <v>661.4659778971336</v>
      </c>
      <c r="F594" s="24">
        <v>710.15684473687497</v>
      </c>
      <c r="G594" s="24">
        <v>762.90388509594447</v>
      </c>
      <c r="H594" s="24">
        <v>820.57395786324673</v>
      </c>
      <c r="I594" s="24">
        <v>883.77052114737285</v>
      </c>
      <c r="J594" s="24">
        <v>952.61901045874993</v>
      </c>
      <c r="K594" s="24">
        <v>1028.8921850903309</v>
      </c>
      <c r="L594" s="24">
        <v>1112.6621766423089</v>
      </c>
      <c r="M594" s="24">
        <v>1204.2797594863023</v>
      </c>
      <c r="N594" s="24">
        <v>1305.7323430112713</v>
      </c>
      <c r="O594" s="24">
        <v>1417.0112768588642</v>
      </c>
      <c r="P594" s="24">
        <v>1539.9093375833022</v>
      </c>
      <c r="Q594" s="21"/>
      <c r="R594" s="21"/>
    </row>
    <row r="595" spans="1:18" x14ac:dyDescent="0.35">
      <c r="A595" s="39" t="s">
        <v>79</v>
      </c>
      <c r="B595" s="35" t="s">
        <v>27</v>
      </c>
      <c r="C595" s="36" t="s">
        <v>28</v>
      </c>
      <c r="D595" s="24">
        <v>231.31861136307651</v>
      </c>
      <c r="E595" s="24">
        <v>246.27697046987396</v>
      </c>
      <c r="F595" s="24">
        <v>262.16789713107744</v>
      </c>
      <c r="G595" s="24">
        <v>279.13345754013449</v>
      </c>
      <c r="H595" s="24">
        <v>297.82207440845468</v>
      </c>
      <c r="I595" s="24">
        <v>318.15396934296803</v>
      </c>
      <c r="J595" s="24">
        <v>339.80175862663657</v>
      </c>
      <c r="K595" s="24">
        <v>363.62473929204384</v>
      </c>
      <c r="L595" s="24">
        <v>389.61703947173362</v>
      </c>
      <c r="M595" s="24">
        <v>417.54980988164016</v>
      </c>
      <c r="N595" s="24">
        <v>448.44167748949121</v>
      </c>
      <c r="O595" s="24">
        <v>481.09395693075408</v>
      </c>
      <c r="P595" s="24">
        <v>516.29939896657334</v>
      </c>
      <c r="Q595" s="21"/>
      <c r="R595" s="21"/>
    </row>
    <row r="596" spans="1:18" x14ac:dyDescent="0.35">
      <c r="A596" s="39" t="s">
        <v>79</v>
      </c>
      <c r="B596" s="35" t="s">
        <v>27</v>
      </c>
      <c r="C596" s="36" t="s">
        <v>29</v>
      </c>
      <c r="D596" s="24">
        <v>151.745638221886</v>
      </c>
      <c r="E596" s="24">
        <v>164.25737883211298</v>
      </c>
      <c r="F596" s="24">
        <v>177.96034513800822</v>
      </c>
      <c r="G596" s="24">
        <v>192.91963620300973</v>
      </c>
      <c r="H596" s="24">
        <v>209.20794788980231</v>
      </c>
      <c r="I596" s="24">
        <v>227.0183490876426</v>
      </c>
      <c r="J596" s="24">
        <v>246.69322901288947</v>
      </c>
      <c r="K596" s="24">
        <v>268.30786771880071</v>
      </c>
      <c r="L596" s="24">
        <v>292.16860977664942</v>
      </c>
      <c r="M596" s="24">
        <v>318.44919524825457</v>
      </c>
      <c r="N596" s="24">
        <v>347.31563036095207</v>
      </c>
      <c r="O596" s="24">
        <v>379.29745975945332</v>
      </c>
      <c r="P596" s="24">
        <v>414.79105102278021</v>
      </c>
      <c r="Q596" s="21"/>
      <c r="R596" s="21"/>
    </row>
    <row r="597" spans="1:18" x14ac:dyDescent="0.35">
      <c r="A597" s="39" t="s">
        <v>79</v>
      </c>
      <c r="B597" s="35" t="s">
        <v>27</v>
      </c>
      <c r="C597" s="36" t="s">
        <v>30</v>
      </c>
      <c r="D597" s="24">
        <v>109.59452779042942</v>
      </c>
      <c r="E597" s="24">
        <v>118.7863186651888</v>
      </c>
      <c r="F597" s="24">
        <v>129.05263072307199</v>
      </c>
      <c r="G597" s="24">
        <v>140.2447970640726</v>
      </c>
      <c r="H597" s="24">
        <v>152.48418746707623</v>
      </c>
      <c r="I597" s="24">
        <v>165.95183065478196</v>
      </c>
      <c r="J597" s="24">
        <v>180.89514808436758</v>
      </c>
      <c r="K597" s="24">
        <v>197.59087535278096</v>
      </c>
      <c r="L597" s="24">
        <v>216.01156698221843</v>
      </c>
      <c r="M597" s="24">
        <v>236.35478569383031</v>
      </c>
      <c r="N597" s="24">
        <v>259.07660934183144</v>
      </c>
      <c r="O597" s="24">
        <v>284.51061518265203</v>
      </c>
      <c r="P597" s="24">
        <v>313.04471007294495</v>
      </c>
      <c r="Q597" s="14"/>
      <c r="R597" s="14"/>
    </row>
    <row r="598" spans="1:18" x14ac:dyDescent="0.35">
      <c r="A598" s="39" t="s">
        <v>79</v>
      </c>
      <c r="B598" s="35" t="s">
        <v>27</v>
      </c>
      <c r="C598" s="36" t="s">
        <v>31</v>
      </c>
      <c r="D598" s="24">
        <v>94.792856954472043</v>
      </c>
      <c r="E598" s="24">
        <v>101.41948024419442</v>
      </c>
      <c r="F598" s="24">
        <v>108.66576887846591</v>
      </c>
      <c r="G598" s="24">
        <v>116.63837699393092</v>
      </c>
      <c r="H598" s="24">
        <v>125.3282454694247</v>
      </c>
      <c r="I598" s="24">
        <v>135.00520072327313</v>
      </c>
      <c r="J598" s="24">
        <v>145.50237228458468</v>
      </c>
      <c r="K598" s="24">
        <v>157.19268956240313</v>
      </c>
      <c r="L598" s="24">
        <v>170.07650595232417</v>
      </c>
      <c r="M598" s="24">
        <v>184.29972493234317</v>
      </c>
      <c r="N598" s="24">
        <v>200.13642912922802</v>
      </c>
      <c r="O598" s="24">
        <v>217.81311946293698</v>
      </c>
      <c r="P598" s="24">
        <v>237.45602551187139</v>
      </c>
      <c r="Q598" s="14"/>
      <c r="R598" s="14"/>
    </row>
    <row r="599" spans="1:18" x14ac:dyDescent="0.35">
      <c r="A599" s="39" t="s">
        <v>79</v>
      </c>
      <c r="B599" s="35" t="s">
        <v>27</v>
      </c>
      <c r="C599" s="36" t="s">
        <v>32</v>
      </c>
      <c r="D599" s="24">
        <v>52.142600572341735</v>
      </c>
      <c r="E599" s="24">
        <v>55.125285989227194</v>
      </c>
      <c r="F599" s="24">
        <v>58.394732806066898</v>
      </c>
      <c r="G599" s="24">
        <v>61.863247474039639</v>
      </c>
      <c r="H599" s="24">
        <v>65.567307323277078</v>
      </c>
      <c r="I599" s="24">
        <v>69.552997745602738</v>
      </c>
      <c r="J599" s="24">
        <v>73.835512920399296</v>
      </c>
      <c r="K599" s="24">
        <v>78.585987252416629</v>
      </c>
      <c r="L599" s="24">
        <v>83.707052907084773</v>
      </c>
      <c r="M599" s="24">
        <v>89.268227119590279</v>
      </c>
      <c r="N599" s="24">
        <v>95.355513015813173</v>
      </c>
      <c r="O599" s="24">
        <v>102.03202177560581</v>
      </c>
      <c r="P599" s="24">
        <v>109.3698817044517</v>
      </c>
      <c r="Q599" s="14"/>
      <c r="R599" s="14"/>
    </row>
    <row r="600" spans="1:18" x14ac:dyDescent="0.35">
      <c r="A600" s="39" t="s">
        <v>79</v>
      </c>
      <c r="B600" s="35" t="s">
        <v>27</v>
      </c>
      <c r="C600" s="36" t="s">
        <v>33</v>
      </c>
      <c r="D600" s="24">
        <v>32.639125188859232</v>
      </c>
      <c r="E600" s="24">
        <v>34.82450220618216</v>
      </c>
      <c r="F600" s="24">
        <v>37.295629711234341</v>
      </c>
      <c r="G600" s="24">
        <v>39.968832816817724</v>
      </c>
      <c r="H600" s="24">
        <v>42.877803154186637</v>
      </c>
      <c r="I600" s="24">
        <v>46.034148086054451</v>
      </c>
      <c r="J600" s="24">
        <v>49.470705854069372</v>
      </c>
      <c r="K600" s="24">
        <v>53.253154394463678</v>
      </c>
      <c r="L600" s="24">
        <v>57.364632496127243</v>
      </c>
      <c r="M600" s="24">
        <v>61.881956832224823</v>
      </c>
      <c r="N600" s="24">
        <v>66.804140321489243</v>
      </c>
      <c r="O600" s="24">
        <v>72.199405542709982</v>
      </c>
      <c r="P600" s="24">
        <v>78.183299757234622</v>
      </c>
      <c r="Q600" s="14"/>
      <c r="R600" s="14"/>
    </row>
    <row r="601" spans="1:18" x14ac:dyDescent="0.35">
      <c r="A601" s="39" t="s">
        <v>79</v>
      </c>
      <c r="B601" s="35" t="s">
        <v>34</v>
      </c>
      <c r="C601" s="36" t="s">
        <v>35</v>
      </c>
      <c r="D601" s="24">
        <v>226.17227829993772</v>
      </c>
      <c r="E601" s="24">
        <v>241.86798790127654</v>
      </c>
      <c r="F601" s="24">
        <v>258.42747628606958</v>
      </c>
      <c r="G601" s="24">
        <v>275.8198259335594</v>
      </c>
      <c r="H601" s="24">
        <v>294.78489668503312</v>
      </c>
      <c r="I601" s="24">
        <v>314.96584636749412</v>
      </c>
      <c r="J601" s="24">
        <v>336.84709909541311</v>
      </c>
      <c r="K601" s="24">
        <v>360.67457815354817</v>
      </c>
      <c r="L601" s="24">
        <v>386.6064991544406</v>
      </c>
      <c r="M601" s="24">
        <v>414.17142671505292</v>
      </c>
      <c r="N601" s="24">
        <v>444.37527774638897</v>
      </c>
      <c r="O601" s="24">
        <v>476.07335918887202</v>
      </c>
      <c r="P601" s="24">
        <v>510.08770647647043</v>
      </c>
      <c r="Q601" s="14"/>
      <c r="R601" s="14"/>
    </row>
    <row r="602" spans="1:18" x14ac:dyDescent="0.35">
      <c r="A602" s="39" t="s">
        <v>79</v>
      </c>
      <c r="B602" s="35" t="s">
        <v>34</v>
      </c>
      <c r="C602" s="36" t="s">
        <v>36</v>
      </c>
      <c r="D602" s="24">
        <v>241.66591874030033</v>
      </c>
      <c r="E602" s="24">
        <v>260.14244050713262</v>
      </c>
      <c r="F602" s="24">
        <v>280.43280657369752</v>
      </c>
      <c r="G602" s="24">
        <v>302.84404806500487</v>
      </c>
      <c r="H602" s="24">
        <v>327.38989283352925</v>
      </c>
      <c r="I602" s="24">
        <v>354.81250776259361</v>
      </c>
      <c r="J602" s="24">
        <v>384.72401239839479</v>
      </c>
      <c r="K602" s="24">
        <v>418.15382284870316</v>
      </c>
      <c r="L602" s="24">
        <v>455.16477812870403</v>
      </c>
      <c r="M602" s="24">
        <v>496.21008623508692</v>
      </c>
      <c r="N602" s="24">
        <v>542.0983662980633</v>
      </c>
      <c r="O602" s="24">
        <v>593.52813544226353</v>
      </c>
      <c r="P602" s="24">
        <v>650.94060759656668</v>
      </c>
      <c r="Q602" s="14"/>
      <c r="R602" s="14"/>
    </row>
    <row r="603" spans="1:18" x14ac:dyDescent="0.35">
      <c r="A603" s="39" t="s">
        <v>79</v>
      </c>
      <c r="B603" s="35" t="s">
        <v>34</v>
      </c>
      <c r="C603" s="36" t="s">
        <v>37</v>
      </c>
      <c r="D603" s="24">
        <v>141.48027328613622</v>
      </c>
      <c r="E603" s="24">
        <v>151.77191278786049</v>
      </c>
      <c r="F603" s="24">
        <v>163.41984219872484</v>
      </c>
      <c r="G603" s="24">
        <v>176.07881220419566</v>
      </c>
      <c r="H603" s="24">
        <v>189.91293647041832</v>
      </c>
      <c r="I603" s="24">
        <v>204.99190782708064</v>
      </c>
      <c r="J603" s="24">
        <v>221.48129042349717</v>
      </c>
      <c r="K603" s="24">
        <v>239.69705868048737</v>
      </c>
      <c r="L603" s="24">
        <v>259.59026336889883</v>
      </c>
      <c r="M603" s="24">
        <v>281.53456526953153</v>
      </c>
      <c r="N603" s="24">
        <v>305.55743832347673</v>
      </c>
      <c r="O603" s="24">
        <v>332.00321039843146</v>
      </c>
      <c r="P603" s="24">
        <v>361.44091653154828</v>
      </c>
      <c r="Q603" s="14"/>
      <c r="R603" s="14"/>
    </row>
    <row r="604" spans="1:18" x14ac:dyDescent="0.35">
      <c r="A604" s="39" t="s">
        <v>79</v>
      </c>
      <c r="B604" s="35" t="s">
        <v>34</v>
      </c>
      <c r="C604" s="36" t="s">
        <v>38</v>
      </c>
      <c r="D604" s="24">
        <v>62.914889764690628</v>
      </c>
      <c r="E604" s="24">
        <v>66.907595210509783</v>
      </c>
      <c r="F604" s="24">
        <v>71.25687932943282</v>
      </c>
      <c r="G604" s="24">
        <v>76.025661889245285</v>
      </c>
      <c r="H604" s="24">
        <v>81.199839723240942</v>
      </c>
      <c r="I604" s="24">
        <v>86.946233683154389</v>
      </c>
      <c r="J604" s="24">
        <v>93.146324865641859</v>
      </c>
      <c r="K604" s="24">
        <v>100.02985389017029</v>
      </c>
      <c r="L604" s="24">
        <v>107.58386693409416</v>
      </c>
      <c r="M604" s="24">
        <v>115.88762148821182</v>
      </c>
      <c r="N604" s="24">
        <v>125.09891729087616</v>
      </c>
      <c r="O604" s="24">
        <v>135.34187362454526</v>
      </c>
      <c r="P604" s="24">
        <v>146.6751364312708</v>
      </c>
      <c r="Q604" s="14"/>
      <c r="R604" s="14"/>
    </row>
    <row r="605" spans="1:18" x14ac:dyDescent="0.35">
      <c r="A605" s="39" t="s">
        <v>79</v>
      </c>
      <c r="B605" s="35" t="s">
        <v>22</v>
      </c>
      <c r="C605" s="36" t="s">
        <v>39</v>
      </c>
      <c r="D605" s="24">
        <v>189.65200259801986</v>
      </c>
      <c r="E605" s="24">
        <v>204.48314785456353</v>
      </c>
      <c r="F605" s="24">
        <v>220.76702003006972</v>
      </c>
      <c r="G605" s="24">
        <v>238.01442614938958</v>
      </c>
      <c r="H605" s="24">
        <v>256.9988326554062</v>
      </c>
      <c r="I605" s="24">
        <v>277.38681569547805</v>
      </c>
      <c r="J605" s="24">
        <v>299.85602350738009</v>
      </c>
      <c r="K605" s="24">
        <v>324.7363307337796</v>
      </c>
      <c r="L605" s="24">
        <v>351.85068522730114</v>
      </c>
      <c r="M605" s="24">
        <v>381.21758578898482</v>
      </c>
      <c r="N605" s="24">
        <v>413.54470796580188</v>
      </c>
      <c r="O605" s="24">
        <v>447.97235964316451</v>
      </c>
      <c r="P605" s="24">
        <v>485.71771156249633</v>
      </c>
      <c r="Q605" s="14"/>
      <c r="R605" s="14"/>
    </row>
    <row r="606" spans="1:18" x14ac:dyDescent="0.35">
      <c r="A606" s="39" t="s">
        <v>79</v>
      </c>
      <c r="B606" s="35" t="s">
        <v>22</v>
      </c>
      <c r="C606" s="36" t="s">
        <v>40</v>
      </c>
      <c r="D606" s="24">
        <v>170.05202902378051</v>
      </c>
      <c r="E606" s="24">
        <v>182.19031188799863</v>
      </c>
      <c r="F606" s="24">
        <v>195.24489835042368</v>
      </c>
      <c r="G606" s="24">
        <v>209.34854081168211</v>
      </c>
      <c r="H606" s="24">
        <v>224.66182277662375</v>
      </c>
      <c r="I606" s="24">
        <v>241.25325948405879</v>
      </c>
      <c r="J606" s="24">
        <v>259.13681291260878</v>
      </c>
      <c r="K606" s="24">
        <v>278.57830726999066</v>
      </c>
      <c r="L606" s="24">
        <v>299.91147476244493</v>
      </c>
      <c r="M606" s="24">
        <v>323.07140526672737</v>
      </c>
      <c r="N606" s="24">
        <v>348.44844764350353</v>
      </c>
      <c r="O606" s="24">
        <v>376.17785183002366</v>
      </c>
      <c r="P606" s="24">
        <v>406.51327851591634</v>
      </c>
      <c r="Q606" s="14"/>
      <c r="R606" s="14"/>
    </row>
    <row r="607" spans="1:18" x14ac:dyDescent="0.35">
      <c r="A607" s="39" t="s">
        <v>79</v>
      </c>
      <c r="B607" s="35" t="s">
        <v>22</v>
      </c>
      <c r="C607" s="36" t="s">
        <v>41</v>
      </c>
      <c r="D607" s="24">
        <v>116.96988611312675</v>
      </c>
      <c r="E607" s="24">
        <v>123.55484199381907</v>
      </c>
      <c r="F607" s="24">
        <v>130.70106790236048</v>
      </c>
      <c r="G607" s="24">
        <v>138.51149872497123</v>
      </c>
      <c r="H607" s="24">
        <v>146.94580455966044</v>
      </c>
      <c r="I607" s="24">
        <v>156.29195313196016</v>
      </c>
      <c r="J607" s="24">
        <v>166.31708759726402</v>
      </c>
      <c r="K607" s="24">
        <v>177.41614538509396</v>
      </c>
      <c r="L607" s="24">
        <v>189.54284728883715</v>
      </c>
      <c r="M607" s="24">
        <v>202.81428970512948</v>
      </c>
      <c r="N607" s="24">
        <v>217.48159163312553</v>
      </c>
      <c r="O607" s="24">
        <v>233.73029583047105</v>
      </c>
      <c r="P607" s="24">
        <v>251.62753633208183</v>
      </c>
      <c r="Q607" s="14"/>
      <c r="R607" s="14"/>
    </row>
    <row r="608" spans="1:18" x14ac:dyDescent="0.35">
      <c r="A608" s="39" t="s">
        <v>79</v>
      </c>
      <c r="B608" s="35" t="s">
        <v>22</v>
      </c>
      <c r="C608" s="36" t="s">
        <v>42</v>
      </c>
      <c r="D608" s="24">
        <v>195.55944235613779</v>
      </c>
      <c r="E608" s="24">
        <v>210.46163467039821</v>
      </c>
      <c r="F608" s="24">
        <v>226.82401810507082</v>
      </c>
      <c r="G608" s="24">
        <v>244.89388240596227</v>
      </c>
      <c r="H608" s="24">
        <v>264.68110572053126</v>
      </c>
      <c r="I608" s="24">
        <v>286.78446732882583</v>
      </c>
      <c r="J608" s="24">
        <v>310.88880276569415</v>
      </c>
      <c r="K608" s="24">
        <v>337.82453018404482</v>
      </c>
      <c r="L608" s="24">
        <v>367.64040030755444</v>
      </c>
      <c r="M608" s="24">
        <v>400.7004189470415</v>
      </c>
      <c r="N608" s="24">
        <v>437.65525241637431</v>
      </c>
      <c r="O608" s="24">
        <v>479.06607135045306</v>
      </c>
      <c r="P608" s="24">
        <v>525.28584062536174</v>
      </c>
      <c r="Q608" s="14"/>
      <c r="R608" s="14"/>
    </row>
    <row r="609" spans="1:18" x14ac:dyDescent="0.35">
      <c r="A609" s="39" t="s">
        <v>80</v>
      </c>
      <c r="B609" s="35" t="s">
        <v>24</v>
      </c>
      <c r="C609" s="36" t="s">
        <v>25</v>
      </c>
      <c r="D609" s="24">
        <v>24.279194199534153</v>
      </c>
      <c r="E609" s="24">
        <v>25.043637864069609</v>
      </c>
      <c r="F609" s="24">
        <v>25.892453007541373</v>
      </c>
      <c r="G609" s="24">
        <v>26.784919852115618</v>
      </c>
      <c r="H609" s="24">
        <v>27.726921887655426</v>
      </c>
      <c r="I609" s="24">
        <v>28.71606060873312</v>
      </c>
      <c r="J609" s="24">
        <v>29.749645428352935</v>
      </c>
      <c r="K609" s="24">
        <v>30.835551901782615</v>
      </c>
      <c r="L609" s="24">
        <v>31.993389795483203</v>
      </c>
      <c r="M609" s="24">
        <v>33.238506280944343</v>
      </c>
      <c r="N609" s="24">
        <v>34.56049166841224</v>
      </c>
      <c r="O609" s="24">
        <v>35.955246002656452</v>
      </c>
      <c r="P609" s="24">
        <v>37.438589785745457</v>
      </c>
      <c r="Q609" s="14"/>
      <c r="R609" s="14"/>
    </row>
    <row r="610" spans="1:18" x14ac:dyDescent="0.35">
      <c r="A610" s="39" t="s">
        <v>80</v>
      </c>
      <c r="B610" s="35" t="s">
        <v>24</v>
      </c>
      <c r="C610" s="36" t="s">
        <v>26</v>
      </c>
      <c r="D610" s="24">
        <v>250.55966080850803</v>
      </c>
      <c r="E610" s="24">
        <v>259.748932713599</v>
      </c>
      <c r="F610" s="24">
        <v>269.82249062470868</v>
      </c>
      <c r="G610" s="24">
        <v>280.31055815634909</v>
      </c>
      <c r="H610" s="24">
        <v>291.34007336729775</v>
      </c>
      <c r="I610" s="24">
        <v>303.06950870089213</v>
      </c>
      <c r="J610" s="24">
        <v>315.50884184099812</v>
      </c>
      <c r="K610" s="24">
        <v>329.33164031987508</v>
      </c>
      <c r="L610" s="24">
        <v>344.0322283489744</v>
      </c>
      <c r="M610" s="24">
        <v>359.82628920226875</v>
      </c>
      <c r="N610" s="24">
        <v>376.97686073355555</v>
      </c>
      <c r="O610" s="24">
        <v>395.63327095462137</v>
      </c>
      <c r="P610" s="24">
        <v>415.96476325814689</v>
      </c>
      <c r="Q610" s="14"/>
      <c r="R610" s="14"/>
    </row>
    <row r="611" spans="1:18" x14ac:dyDescent="0.35">
      <c r="A611" s="39" t="s">
        <v>80</v>
      </c>
      <c r="B611" s="35" t="s">
        <v>27</v>
      </c>
      <c r="C611" s="36" t="s">
        <v>28</v>
      </c>
      <c r="D611" s="24">
        <v>98.341950557448513</v>
      </c>
      <c r="E611" s="24">
        <v>101.00828176827005</v>
      </c>
      <c r="F611" s="24">
        <v>103.9995934961855</v>
      </c>
      <c r="G611" s="24">
        <v>106.96105194102017</v>
      </c>
      <c r="H611" s="24">
        <v>109.98239326438235</v>
      </c>
      <c r="I611" s="24">
        <v>113.13584467873963</v>
      </c>
      <c r="J611" s="24">
        <v>116.38334601532063</v>
      </c>
      <c r="K611" s="24">
        <v>120.32222895208466</v>
      </c>
      <c r="L611" s="24">
        <v>124.34362822947267</v>
      </c>
      <c r="M611" s="24">
        <v>128.69015508653541</v>
      </c>
      <c r="N611" s="24">
        <v>133.52894894299584</v>
      </c>
      <c r="O611" s="24">
        <v>138.90373259090904</v>
      </c>
      <c r="P611" s="24">
        <v>144.81713886522692</v>
      </c>
      <c r="Q611" s="14"/>
      <c r="R611" s="14"/>
    </row>
    <row r="612" spans="1:18" x14ac:dyDescent="0.35">
      <c r="A612" s="39" t="s">
        <v>80</v>
      </c>
      <c r="B612" s="35" t="s">
        <v>27</v>
      </c>
      <c r="C612" s="36" t="s">
        <v>29</v>
      </c>
      <c r="D612" s="24">
        <v>55.848122951958885</v>
      </c>
      <c r="E612" s="24">
        <v>58.462395157913733</v>
      </c>
      <c r="F612" s="24">
        <v>61.255849653584363</v>
      </c>
      <c r="G612" s="24">
        <v>64.22173618836969</v>
      </c>
      <c r="H612" s="24">
        <v>67.355042698320617</v>
      </c>
      <c r="I612" s="24">
        <v>70.688501143850829</v>
      </c>
      <c r="J612" s="24">
        <v>74.295367751017892</v>
      </c>
      <c r="K612" s="24">
        <v>78.156929213187055</v>
      </c>
      <c r="L612" s="24">
        <v>82.321817021704589</v>
      </c>
      <c r="M612" s="24">
        <v>86.792582399126928</v>
      </c>
      <c r="N612" s="24">
        <v>91.56662869906674</v>
      </c>
      <c r="O612" s="24">
        <v>96.73476113940724</v>
      </c>
      <c r="P612" s="24">
        <v>102.33913957825158</v>
      </c>
      <c r="Q612" s="21"/>
      <c r="R612" s="21"/>
    </row>
    <row r="613" spans="1:18" x14ac:dyDescent="0.35">
      <c r="A613" s="39" t="s">
        <v>80</v>
      </c>
      <c r="B613" s="35" t="s">
        <v>27</v>
      </c>
      <c r="C613" s="36" t="s">
        <v>30</v>
      </c>
      <c r="D613" s="24">
        <v>42.490077684895269</v>
      </c>
      <c r="E613" s="24">
        <v>44.596877624800165</v>
      </c>
      <c r="F613" s="24">
        <v>46.916773559968036</v>
      </c>
      <c r="G613" s="24">
        <v>49.393037239620632</v>
      </c>
      <c r="H613" s="24">
        <v>52.03982692608286</v>
      </c>
      <c r="I613" s="24">
        <v>54.892891455658201</v>
      </c>
      <c r="J613" s="24">
        <v>57.943955067465168</v>
      </c>
      <c r="K613" s="24">
        <v>61.229962283662069</v>
      </c>
      <c r="L613" s="24">
        <v>64.797672939781336</v>
      </c>
      <c r="M613" s="24">
        <v>68.625245909077407</v>
      </c>
      <c r="N613" s="24">
        <v>72.763571185289649</v>
      </c>
      <c r="O613" s="24">
        <v>77.243935167980865</v>
      </c>
      <c r="P613" s="24">
        <v>82.135722656185621</v>
      </c>
      <c r="Q613" s="21"/>
      <c r="R613" s="21"/>
    </row>
    <row r="614" spans="1:18" x14ac:dyDescent="0.35">
      <c r="A614" s="39" t="s">
        <v>80</v>
      </c>
      <c r="B614" s="35" t="s">
        <v>27</v>
      </c>
      <c r="C614" s="36" t="s">
        <v>31</v>
      </c>
      <c r="D614" s="24">
        <v>35.736082128846768</v>
      </c>
      <c r="E614" s="24">
        <v>37.209634769666458</v>
      </c>
      <c r="F614" s="24">
        <v>38.833545381525951</v>
      </c>
      <c r="G614" s="24">
        <v>40.550647735280648</v>
      </c>
      <c r="H614" s="24">
        <v>42.372096969857779</v>
      </c>
      <c r="I614" s="24">
        <v>44.29676771548376</v>
      </c>
      <c r="J614" s="24">
        <v>46.322991790697095</v>
      </c>
      <c r="K614" s="24">
        <v>48.465442043131702</v>
      </c>
      <c r="L614" s="24">
        <v>50.757739245623512</v>
      </c>
      <c r="M614" s="24">
        <v>53.227950555873598</v>
      </c>
      <c r="N614" s="24">
        <v>55.863876966749118</v>
      </c>
      <c r="O614" s="24">
        <v>58.662973635221505</v>
      </c>
      <c r="P614" s="24">
        <v>61.655022564683293</v>
      </c>
      <c r="Q614" s="21"/>
      <c r="R614" s="21"/>
    </row>
    <row r="615" spans="1:18" x14ac:dyDescent="0.35">
      <c r="A615" s="39" t="s">
        <v>80</v>
      </c>
      <c r="B615" s="35" t="s">
        <v>27</v>
      </c>
      <c r="C615" s="36" t="s">
        <v>32</v>
      </c>
      <c r="D615" s="24">
        <v>26.144879221624027</v>
      </c>
      <c r="E615" s="24">
        <v>26.69581453568162</v>
      </c>
      <c r="F615" s="24">
        <v>27.288784398770744</v>
      </c>
      <c r="G615" s="24">
        <v>27.913063115982574</v>
      </c>
      <c r="H615" s="24">
        <v>28.588402774843804</v>
      </c>
      <c r="I615" s="24">
        <v>29.320741184056132</v>
      </c>
      <c r="J615" s="24">
        <v>30.09787810473054</v>
      </c>
      <c r="K615" s="24">
        <v>30.960735280281032</v>
      </c>
      <c r="L615" s="24">
        <v>31.890152096241987</v>
      </c>
      <c r="M615" s="24">
        <v>32.876910978293616</v>
      </c>
      <c r="N615" s="24">
        <v>33.956750522508507</v>
      </c>
      <c r="O615" s="24">
        <v>35.105335583417094</v>
      </c>
      <c r="P615" s="24">
        <v>36.345678257116148</v>
      </c>
      <c r="Q615" s="21"/>
      <c r="R615" s="21"/>
    </row>
    <row r="616" spans="1:18" x14ac:dyDescent="0.35">
      <c r="A616" s="39" t="s">
        <v>80</v>
      </c>
      <c r="B616" s="35" t="s">
        <v>27</v>
      </c>
      <c r="C616" s="36" t="s">
        <v>33</v>
      </c>
      <c r="D616" s="24">
        <v>16.277742463268705</v>
      </c>
      <c r="E616" s="24">
        <v>16.819566721336564</v>
      </c>
      <c r="F616" s="24">
        <v>17.420397142215428</v>
      </c>
      <c r="G616" s="24">
        <v>18.055941788190975</v>
      </c>
      <c r="H616" s="24">
        <v>18.729232621465751</v>
      </c>
      <c r="I616" s="24">
        <v>19.450823131836703</v>
      </c>
      <c r="J616" s="24">
        <v>20.214948540119742</v>
      </c>
      <c r="K616" s="24">
        <v>21.031894449311149</v>
      </c>
      <c r="L616" s="24">
        <v>21.914608611633501</v>
      </c>
      <c r="M616" s="24">
        <v>22.851950554306168</v>
      </c>
      <c r="N616" s="24">
        <v>23.857576085357969</v>
      </c>
      <c r="O616" s="24">
        <v>24.937778840342023</v>
      </c>
      <c r="P616" s="24">
        <v>26.11065112242883</v>
      </c>
      <c r="Q616" s="21"/>
      <c r="R616" s="21"/>
    </row>
    <row r="617" spans="1:18" x14ac:dyDescent="0.35">
      <c r="A617" s="39" t="s">
        <v>80</v>
      </c>
      <c r="B617" s="35" t="s">
        <v>34</v>
      </c>
      <c r="C617" s="36" t="s">
        <v>35</v>
      </c>
      <c r="D617" s="24">
        <v>83.101962595537373</v>
      </c>
      <c r="E617" s="24">
        <v>85.242413911359819</v>
      </c>
      <c r="F617" s="24">
        <v>87.861598726817022</v>
      </c>
      <c r="G617" s="24">
        <v>90.367456155283918</v>
      </c>
      <c r="H617" s="24">
        <v>92.880402318716847</v>
      </c>
      <c r="I617" s="24">
        <v>95.407322943098876</v>
      </c>
      <c r="J617" s="24">
        <v>98.093720895466532</v>
      </c>
      <c r="K617" s="24">
        <v>101.35372040688003</v>
      </c>
      <c r="L617" s="24">
        <v>104.60956058704306</v>
      </c>
      <c r="M617" s="24">
        <v>108.1452700963016</v>
      </c>
      <c r="N617" s="24">
        <v>111.99142543014989</v>
      </c>
      <c r="O617" s="24">
        <v>116.19904925079726</v>
      </c>
      <c r="P617" s="24">
        <v>120.89044395201159</v>
      </c>
      <c r="Q617" s="21"/>
      <c r="R617" s="21"/>
    </row>
    <row r="618" spans="1:18" x14ac:dyDescent="0.35">
      <c r="A618" s="39" t="s">
        <v>80</v>
      </c>
      <c r="B618" s="35" t="s">
        <v>34</v>
      </c>
      <c r="C618" s="36" t="s">
        <v>36</v>
      </c>
      <c r="D618" s="24">
        <v>97.382539091993436</v>
      </c>
      <c r="E618" s="24">
        <v>102.03718098340644</v>
      </c>
      <c r="F618" s="24">
        <v>106.94223612271945</v>
      </c>
      <c r="G618" s="24">
        <v>112.14533240520508</v>
      </c>
      <c r="H618" s="24">
        <v>117.70381454955222</v>
      </c>
      <c r="I618" s="24">
        <v>123.62059685718093</v>
      </c>
      <c r="J618" s="24">
        <v>129.86904927974064</v>
      </c>
      <c r="K618" s="24">
        <v>136.54973866949126</v>
      </c>
      <c r="L618" s="24">
        <v>143.78638217578273</v>
      </c>
      <c r="M618" s="24">
        <v>151.49911784912697</v>
      </c>
      <c r="N618" s="24">
        <v>159.82657163855964</v>
      </c>
      <c r="O618" s="24">
        <v>168.77643261031892</v>
      </c>
      <c r="P618" s="24">
        <v>178.40662413916661</v>
      </c>
      <c r="Q618" s="21"/>
      <c r="R618" s="21"/>
    </row>
    <row r="619" spans="1:18" x14ac:dyDescent="0.35">
      <c r="A619" s="39" t="s">
        <v>80</v>
      </c>
      <c r="B619" s="35" t="s">
        <v>34</v>
      </c>
      <c r="C619" s="36" t="s">
        <v>37</v>
      </c>
      <c r="D619" s="24">
        <v>66.159314562015965</v>
      </c>
      <c r="E619" s="24">
        <v>68.377869312803639</v>
      </c>
      <c r="F619" s="24">
        <v>70.776281217466675</v>
      </c>
      <c r="G619" s="24">
        <v>73.39467305482296</v>
      </c>
      <c r="H619" s="24">
        <v>76.193198466882819</v>
      </c>
      <c r="I619" s="24">
        <v>79.304932326284316</v>
      </c>
      <c r="J619" s="24">
        <v>82.586649326373603</v>
      </c>
      <c r="K619" s="24">
        <v>86.218122807247326</v>
      </c>
      <c r="L619" s="24">
        <v>90.148728997700147</v>
      </c>
      <c r="M619" s="24">
        <v>94.408754262962077</v>
      </c>
      <c r="N619" s="24">
        <v>99.087296690201327</v>
      </c>
      <c r="O619" s="24">
        <v>104.23491804683633</v>
      </c>
      <c r="P619" s="24">
        <v>109.84375170388489</v>
      </c>
      <c r="Q619" s="21"/>
      <c r="R619" s="21"/>
    </row>
    <row r="620" spans="1:18" x14ac:dyDescent="0.35">
      <c r="A620" s="39" t="s">
        <v>80</v>
      </c>
      <c r="B620" s="35" t="s">
        <v>34</v>
      </c>
      <c r="C620" s="36" t="s">
        <v>38</v>
      </c>
      <c r="D620" s="24">
        <v>28.195038758495411</v>
      </c>
      <c r="E620" s="24">
        <v>29.135106370098661</v>
      </c>
      <c r="F620" s="24">
        <v>30.134827565246901</v>
      </c>
      <c r="G620" s="24">
        <v>31.188016393152701</v>
      </c>
      <c r="H620" s="24">
        <v>32.289579919801255</v>
      </c>
      <c r="I620" s="24">
        <v>33.452717183061132</v>
      </c>
      <c r="J620" s="24">
        <v>34.709067767770279</v>
      </c>
      <c r="K620" s="24">
        <v>36.045610338039047</v>
      </c>
      <c r="L620" s="24">
        <v>37.480946383931645</v>
      </c>
      <c r="M620" s="24">
        <v>39.011653274822478</v>
      </c>
      <c r="N620" s="24">
        <v>40.632058643056965</v>
      </c>
      <c r="O620" s="24">
        <v>42.378117049325304</v>
      </c>
      <c r="P620" s="24">
        <v>44.262533248829236</v>
      </c>
      <c r="Q620" s="21"/>
      <c r="R620" s="21"/>
    </row>
    <row r="621" spans="1:18" x14ac:dyDescent="0.35">
      <c r="A621" s="39" t="s">
        <v>80</v>
      </c>
      <c r="B621" s="35" t="s">
        <v>22</v>
      </c>
      <c r="C621" s="36" t="s">
        <v>39</v>
      </c>
      <c r="D621" s="24">
        <v>73.869057293547627</v>
      </c>
      <c r="E621" s="24">
        <v>76.359359821759085</v>
      </c>
      <c r="F621" s="24">
        <v>79.308447677911289</v>
      </c>
      <c r="G621" s="24">
        <v>82.256311850203531</v>
      </c>
      <c r="H621" s="24">
        <v>85.2547011321235</v>
      </c>
      <c r="I621" s="24">
        <v>88.417728605086552</v>
      </c>
      <c r="J621" s="24">
        <v>91.820002462318826</v>
      </c>
      <c r="K621" s="24">
        <v>95.977055108708214</v>
      </c>
      <c r="L621" s="24">
        <v>100.19952919668214</v>
      </c>
      <c r="M621" s="24">
        <v>104.87958597267396</v>
      </c>
      <c r="N621" s="24">
        <v>110.04748958131614</v>
      </c>
      <c r="O621" s="24">
        <v>115.82459592105084</v>
      </c>
      <c r="P621" s="24">
        <v>122.25900047694199</v>
      </c>
      <c r="Q621" s="21"/>
      <c r="R621" s="21"/>
    </row>
    <row r="622" spans="1:18" x14ac:dyDescent="0.35">
      <c r="A622" s="39" t="s">
        <v>80</v>
      </c>
      <c r="B622" s="35" t="s">
        <v>22</v>
      </c>
      <c r="C622" s="36" t="s">
        <v>40</v>
      </c>
      <c r="D622" s="24">
        <v>71.741588202488174</v>
      </c>
      <c r="E622" s="24">
        <v>74.028074197853158</v>
      </c>
      <c r="F622" s="24">
        <v>76.567758560508437</v>
      </c>
      <c r="G622" s="24">
        <v>79.252815313483651</v>
      </c>
      <c r="H622" s="24">
        <v>82.095937879099438</v>
      </c>
      <c r="I622" s="24">
        <v>85.142717877140683</v>
      </c>
      <c r="J622" s="24">
        <v>88.367066119034149</v>
      </c>
      <c r="K622" s="24">
        <v>91.813195520571782</v>
      </c>
      <c r="L622" s="24">
        <v>95.536697753229859</v>
      </c>
      <c r="M622" s="24">
        <v>99.487847479536384</v>
      </c>
      <c r="N622" s="24">
        <v>103.72513902507502</v>
      </c>
      <c r="O622" s="24">
        <v>108.2747383969002</v>
      </c>
      <c r="P622" s="24">
        <v>113.21389410125006</v>
      </c>
      <c r="Q622" s="21"/>
      <c r="R622" s="21"/>
    </row>
    <row r="623" spans="1:18" x14ac:dyDescent="0.35">
      <c r="A623" s="39" t="s">
        <v>80</v>
      </c>
      <c r="B623" s="35" t="s">
        <v>22</v>
      </c>
      <c r="C623" s="36" t="s">
        <v>41</v>
      </c>
      <c r="D623" s="24">
        <v>54.525722179682717</v>
      </c>
      <c r="E623" s="24">
        <v>56.082592140962319</v>
      </c>
      <c r="F623" s="24">
        <v>57.699268113157402</v>
      </c>
      <c r="G623" s="24">
        <v>59.396133138425149</v>
      </c>
      <c r="H623" s="24">
        <v>61.197049689900012</v>
      </c>
      <c r="I623" s="24">
        <v>63.095617439338135</v>
      </c>
      <c r="J623" s="24">
        <v>65.070563563721961</v>
      </c>
      <c r="K623" s="24">
        <v>67.165652329247379</v>
      </c>
      <c r="L623" s="24">
        <v>69.432616525165372</v>
      </c>
      <c r="M623" s="24">
        <v>71.820798784364527</v>
      </c>
      <c r="N623" s="24">
        <v>74.386414196839539</v>
      </c>
      <c r="O623" s="24">
        <v>77.120321235929666</v>
      </c>
      <c r="P623" s="24">
        <v>80.036572937212</v>
      </c>
      <c r="Q623" s="21"/>
      <c r="R623" s="21"/>
    </row>
    <row r="624" spans="1:18" x14ac:dyDescent="0.35">
      <c r="A624" s="39" t="s">
        <v>80</v>
      </c>
      <c r="B624" s="35" t="s">
        <v>22</v>
      </c>
      <c r="C624" s="36" t="s">
        <v>42</v>
      </c>
      <c r="D624" s="24">
        <v>74.702487332323656</v>
      </c>
      <c r="E624" s="24">
        <v>78.322544417094022</v>
      </c>
      <c r="F624" s="24">
        <v>82.139469280672898</v>
      </c>
      <c r="G624" s="24">
        <v>86.190217706352357</v>
      </c>
      <c r="H624" s="24">
        <v>90.519306553830219</v>
      </c>
      <c r="I624" s="24">
        <v>95.129505388059897</v>
      </c>
      <c r="J624" s="24">
        <v>100.00085512427614</v>
      </c>
      <c r="K624" s="24">
        <v>105.21128926313031</v>
      </c>
      <c r="L624" s="24">
        <v>110.85677466938026</v>
      </c>
      <c r="M624" s="24">
        <v>116.87656324663824</v>
      </c>
      <c r="N624" s="24">
        <v>123.37830959873706</v>
      </c>
      <c r="O624" s="24">
        <v>130.36886140339709</v>
      </c>
      <c r="P624" s="24">
        <v>137.89388552848828</v>
      </c>
      <c r="Q624" s="21"/>
      <c r="R624" s="21"/>
    </row>
    <row r="625" spans="1:18" x14ac:dyDescent="0.35">
      <c r="A625" s="39" t="s">
        <v>81</v>
      </c>
      <c r="B625" s="35" t="s">
        <v>24</v>
      </c>
      <c r="C625" s="36" t="s">
        <v>25</v>
      </c>
      <c r="D625" s="24">
        <v>32.701150401857902</v>
      </c>
      <c r="E625" s="24">
        <v>34.136542508921181</v>
      </c>
      <c r="F625" s="24">
        <v>35.722187213642364</v>
      </c>
      <c r="G625" s="24">
        <v>37.392161687099218</v>
      </c>
      <c r="H625" s="24">
        <v>39.1606226489656</v>
      </c>
      <c r="I625" s="24">
        <v>41.053839760259173</v>
      </c>
      <c r="J625" s="24">
        <v>43.109383349299065</v>
      </c>
      <c r="K625" s="24">
        <v>45.364797274989051</v>
      </c>
      <c r="L625" s="24">
        <v>47.780462514039336</v>
      </c>
      <c r="M625" s="24">
        <v>50.370157423506349</v>
      </c>
      <c r="N625" s="24">
        <v>53.198831544650105</v>
      </c>
      <c r="O625" s="24">
        <v>56.294743018170188</v>
      </c>
      <c r="P625" s="24">
        <v>59.690171281804723</v>
      </c>
      <c r="Q625" s="21"/>
      <c r="R625" s="21"/>
    </row>
    <row r="626" spans="1:18" x14ac:dyDescent="0.35">
      <c r="A626" s="39" t="s">
        <v>81</v>
      </c>
      <c r="B626" s="35" t="s">
        <v>24</v>
      </c>
      <c r="C626" s="36" t="s">
        <v>26</v>
      </c>
      <c r="D626" s="24">
        <v>325.19466898498302</v>
      </c>
      <c r="E626" s="24">
        <v>342.39805653260612</v>
      </c>
      <c r="F626" s="24">
        <v>361.3455840822453</v>
      </c>
      <c r="G626" s="24">
        <v>381.61649184696216</v>
      </c>
      <c r="H626" s="24">
        <v>403.33228863878134</v>
      </c>
      <c r="I626" s="24">
        <v>426.78328180377645</v>
      </c>
      <c r="J626" s="24">
        <v>451.92107302521202</v>
      </c>
      <c r="K626" s="24">
        <v>479.04924831778141</v>
      </c>
      <c r="L626" s="24">
        <v>508.55191440117551</v>
      </c>
      <c r="M626" s="24">
        <v>540.27949140215151</v>
      </c>
      <c r="N626" s="24">
        <v>574.65300321489053</v>
      </c>
      <c r="O626" s="24">
        <v>611.94381483241364</v>
      </c>
      <c r="P626" s="24">
        <v>652.72837413578213</v>
      </c>
      <c r="Q626" s="21"/>
      <c r="R626" s="21"/>
    </row>
    <row r="627" spans="1:18" x14ac:dyDescent="0.35">
      <c r="A627" s="39" t="s">
        <v>81</v>
      </c>
      <c r="B627" s="35" t="s">
        <v>27</v>
      </c>
      <c r="C627" s="36" t="s">
        <v>28</v>
      </c>
      <c r="D627" s="24">
        <v>113.4720267598118</v>
      </c>
      <c r="E627" s="24">
        <v>118.53009879194281</v>
      </c>
      <c r="F627" s="24">
        <v>124.36393360553438</v>
      </c>
      <c r="G627" s="24">
        <v>130.50013408324332</v>
      </c>
      <c r="H627" s="24">
        <v>137.04005462581523</v>
      </c>
      <c r="I627" s="24">
        <v>143.95229702283717</v>
      </c>
      <c r="J627" s="24">
        <v>151.31725616957777</v>
      </c>
      <c r="K627" s="24">
        <v>158.96175544646172</v>
      </c>
      <c r="L627" s="24">
        <v>167.24163281140522</v>
      </c>
      <c r="M627" s="24">
        <v>175.76937627854932</v>
      </c>
      <c r="N627" s="24">
        <v>184.68986753245031</v>
      </c>
      <c r="O627" s="24">
        <v>194.10460247478238</v>
      </c>
      <c r="P627" s="24">
        <v>204.24790759017333</v>
      </c>
      <c r="Q627" s="21"/>
      <c r="R627" s="21"/>
    </row>
    <row r="628" spans="1:18" x14ac:dyDescent="0.35">
      <c r="A628" s="39" t="s">
        <v>81</v>
      </c>
      <c r="B628" s="35" t="s">
        <v>27</v>
      </c>
      <c r="C628" s="36" t="s">
        <v>29</v>
      </c>
      <c r="D628" s="24">
        <v>80.571203309862526</v>
      </c>
      <c r="E628" s="24">
        <v>85.677548395095002</v>
      </c>
      <c r="F628" s="24">
        <v>91.141469777840413</v>
      </c>
      <c r="G628" s="24">
        <v>96.98368086367843</v>
      </c>
      <c r="H628" s="24">
        <v>103.23359620343136</v>
      </c>
      <c r="I628" s="24">
        <v>109.95319682333957</v>
      </c>
      <c r="J628" s="24">
        <v>117.23281102469565</v>
      </c>
      <c r="K628" s="24">
        <v>125.06196955675701</v>
      </c>
      <c r="L628" s="24">
        <v>133.60063780651109</v>
      </c>
      <c r="M628" s="24">
        <v>142.93185824508282</v>
      </c>
      <c r="N628" s="24">
        <v>153.10238270559469</v>
      </c>
      <c r="O628" s="24">
        <v>164.10010459302268</v>
      </c>
      <c r="P628" s="24">
        <v>176.17500732436139</v>
      </c>
      <c r="Q628" s="14"/>
      <c r="R628" s="14"/>
    </row>
    <row r="629" spans="1:18" x14ac:dyDescent="0.35">
      <c r="A629" s="39" t="s">
        <v>81</v>
      </c>
      <c r="B629" s="35" t="s">
        <v>27</v>
      </c>
      <c r="C629" s="36" t="s">
        <v>30</v>
      </c>
      <c r="D629" s="24">
        <v>65.097949476640878</v>
      </c>
      <c r="E629" s="24">
        <v>69.039051434047494</v>
      </c>
      <c r="F629" s="24">
        <v>73.325233031394561</v>
      </c>
      <c r="G629" s="24">
        <v>78.018261769463251</v>
      </c>
      <c r="H629" s="24">
        <v>83.100168739838878</v>
      </c>
      <c r="I629" s="24">
        <v>88.73831860702289</v>
      </c>
      <c r="J629" s="24">
        <v>94.807006350479725</v>
      </c>
      <c r="K629" s="24">
        <v>101.5363378692598</v>
      </c>
      <c r="L629" s="24">
        <v>108.90753906991277</v>
      </c>
      <c r="M629" s="24">
        <v>116.99535150537245</v>
      </c>
      <c r="N629" s="24">
        <v>125.95296275679569</v>
      </c>
      <c r="O629" s="24">
        <v>135.89795086827164</v>
      </c>
      <c r="P629" s="24">
        <v>146.88083364950785</v>
      </c>
      <c r="Q629" s="14"/>
      <c r="R629" s="14"/>
    </row>
    <row r="630" spans="1:18" x14ac:dyDescent="0.35">
      <c r="A630" s="39" t="s">
        <v>81</v>
      </c>
      <c r="B630" s="35" t="s">
        <v>27</v>
      </c>
      <c r="C630" s="36" t="s">
        <v>31</v>
      </c>
      <c r="D630" s="24">
        <v>45.920548652122136</v>
      </c>
      <c r="E630" s="24">
        <v>48.407398694052873</v>
      </c>
      <c r="F630" s="24">
        <v>51.130915730294276</v>
      </c>
      <c r="G630" s="24">
        <v>54.012181643495929</v>
      </c>
      <c r="H630" s="24">
        <v>57.081585556119357</v>
      </c>
      <c r="I630" s="24">
        <v>60.37752184693138</v>
      </c>
      <c r="J630" s="24">
        <v>63.91111623121548</v>
      </c>
      <c r="K630" s="24">
        <v>67.828333249034472</v>
      </c>
      <c r="L630" s="24">
        <v>72.041703969113257</v>
      </c>
      <c r="M630" s="24">
        <v>76.608368229609454</v>
      </c>
      <c r="N630" s="24">
        <v>81.598942627958976</v>
      </c>
      <c r="O630" s="24">
        <v>87.063627598953801</v>
      </c>
      <c r="P630" s="24">
        <v>93.059721662129533</v>
      </c>
      <c r="Q630" s="14"/>
      <c r="R630" s="14"/>
    </row>
    <row r="631" spans="1:18" x14ac:dyDescent="0.35">
      <c r="A631" s="39" t="s">
        <v>81</v>
      </c>
      <c r="B631" s="35" t="s">
        <v>27</v>
      </c>
      <c r="C631" s="36" t="s">
        <v>32</v>
      </c>
      <c r="D631" s="24">
        <v>32.449737866961954</v>
      </c>
      <c r="E631" s="24">
        <v>33.502419612381004</v>
      </c>
      <c r="F631" s="24">
        <v>34.640922519609674</v>
      </c>
      <c r="G631" s="24">
        <v>35.884607365876406</v>
      </c>
      <c r="H631" s="24">
        <v>37.213653839299518</v>
      </c>
      <c r="I631" s="24">
        <v>38.692781379863398</v>
      </c>
      <c r="J631" s="24">
        <v>40.251630413266675</v>
      </c>
      <c r="K631" s="24">
        <v>41.977561309531495</v>
      </c>
      <c r="L631" s="24">
        <v>43.845392848728864</v>
      </c>
      <c r="M631" s="24">
        <v>45.869400485923158</v>
      </c>
      <c r="N631" s="24">
        <v>48.092373454205401</v>
      </c>
      <c r="O631" s="24">
        <v>50.538218013558009</v>
      </c>
      <c r="P631" s="24">
        <v>53.20241108426233</v>
      </c>
      <c r="Q631" s="14"/>
      <c r="R631" s="14"/>
    </row>
    <row r="632" spans="1:18" x14ac:dyDescent="0.35">
      <c r="A632" s="39" t="s">
        <v>81</v>
      </c>
      <c r="B632" s="35" t="s">
        <v>27</v>
      </c>
      <c r="C632" s="36" t="s">
        <v>33</v>
      </c>
      <c r="D632" s="24">
        <v>20.384353321441651</v>
      </c>
      <c r="E632" s="24">
        <v>21.378082114008144</v>
      </c>
      <c r="F632" s="24">
        <v>22.46529663121434</v>
      </c>
      <c r="G632" s="24">
        <v>23.609787808304095</v>
      </c>
      <c r="H632" s="24">
        <v>24.823852323242601</v>
      </c>
      <c r="I632" s="24">
        <v>26.123005884041223</v>
      </c>
      <c r="J632" s="24">
        <v>27.510636185275821</v>
      </c>
      <c r="K632" s="24">
        <v>29.048088161725961</v>
      </c>
      <c r="L632" s="24">
        <v>30.695470409543574</v>
      </c>
      <c r="M632" s="24">
        <v>32.475294081120644</v>
      </c>
      <c r="N632" s="24">
        <v>34.415305682535603</v>
      </c>
      <c r="O632" s="24">
        <v>36.534054301995312</v>
      </c>
      <c r="P632" s="24">
        <v>38.852664107152378</v>
      </c>
      <c r="Q632" s="14"/>
      <c r="R632" s="14"/>
    </row>
    <row r="633" spans="1:18" x14ac:dyDescent="0.35">
      <c r="A633" s="39" t="s">
        <v>81</v>
      </c>
      <c r="B633" s="35" t="s">
        <v>34</v>
      </c>
      <c r="C633" s="36" t="s">
        <v>35</v>
      </c>
      <c r="D633" s="24">
        <v>116.52044382981197</v>
      </c>
      <c r="E633" s="24">
        <v>121.163288609315</v>
      </c>
      <c r="F633" s="24">
        <v>126.52945493964666</v>
      </c>
      <c r="G633" s="24">
        <v>132.27256203694083</v>
      </c>
      <c r="H633" s="24">
        <v>138.36753335967848</v>
      </c>
      <c r="I633" s="24">
        <v>144.99362072218446</v>
      </c>
      <c r="J633" s="24">
        <v>151.99850319097044</v>
      </c>
      <c r="K633" s="24">
        <v>159.39929347694357</v>
      </c>
      <c r="L633" s="24">
        <v>167.45615967976357</v>
      </c>
      <c r="M633" s="24">
        <v>176.03794818088829</v>
      </c>
      <c r="N633" s="24">
        <v>185.12254242722537</v>
      </c>
      <c r="O633" s="24">
        <v>194.81683801448276</v>
      </c>
      <c r="P633" s="24">
        <v>205.43896562713746</v>
      </c>
      <c r="Q633" s="14"/>
      <c r="R633" s="14"/>
    </row>
    <row r="634" spans="1:18" x14ac:dyDescent="0.35">
      <c r="A634" s="39" t="s">
        <v>81</v>
      </c>
      <c r="B634" s="35" t="s">
        <v>34</v>
      </c>
      <c r="C634" s="36" t="s">
        <v>36</v>
      </c>
      <c r="D634" s="24">
        <v>125.51415209813952</v>
      </c>
      <c r="E634" s="24">
        <v>133.59000782254554</v>
      </c>
      <c r="F634" s="24">
        <v>142.22205249971702</v>
      </c>
      <c r="G634" s="24">
        <v>151.49464959813517</v>
      </c>
      <c r="H634" s="24">
        <v>161.50991262002762</v>
      </c>
      <c r="I634" s="24">
        <v>172.3008892018054</v>
      </c>
      <c r="J634" s="24">
        <v>183.86057168667699</v>
      </c>
      <c r="K634" s="24">
        <v>196.36059537995837</v>
      </c>
      <c r="L634" s="24">
        <v>210.01572420062445</v>
      </c>
      <c r="M634" s="24">
        <v>224.75566310533927</v>
      </c>
      <c r="N634" s="24">
        <v>240.82832363935898</v>
      </c>
      <c r="O634" s="24">
        <v>258.29849688451742</v>
      </c>
      <c r="P634" s="24">
        <v>277.31018494732251</v>
      </c>
      <c r="Q634" s="14"/>
      <c r="R634" s="14"/>
    </row>
    <row r="635" spans="1:18" x14ac:dyDescent="0.35">
      <c r="A635" s="39" t="s">
        <v>81</v>
      </c>
      <c r="B635" s="35" t="s">
        <v>34</v>
      </c>
      <c r="C635" s="36" t="s">
        <v>37</v>
      </c>
      <c r="D635" s="24">
        <v>80.97301529967703</v>
      </c>
      <c r="E635" s="24">
        <v>85.276854349908731</v>
      </c>
      <c r="F635" s="24">
        <v>90.027402026788991</v>
      </c>
      <c r="G635" s="24">
        <v>95.069497062393609</v>
      </c>
      <c r="H635" s="24">
        <v>100.44589086231856</v>
      </c>
      <c r="I635" s="24">
        <v>106.23179538025069</v>
      </c>
      <c r="J635" s="24">
        <v>112.53418188093359</v>
      </c>
      <c r="K635" s="24">
        <v>119.46355097550924</v>
      </c>
      <c r="L635" s="24">
        <v>126.93086614572258</v>
      </c>
      <c r="M635" s="24">
        <v>134.98553776786753</v>
      </c>
      <c r="N635" s="24">
        <v>143.81561969708082</v>
      </c>
      <c r="O635" s="24">
        <v>153.51632646951651</v>
      </c>
      <c r="P635" s="24">
        <v>164.19683744385739</v>
      </c>
      <c r="Q635" s="14"/>
      <c r="R635" s="14"/>
    </row>
    <row r="636" spans="1:18" x14ac:dyDescent="0.35">
      <c r="A636" s="39" t="s">
        <v>81</v>
      </c>
      <c r="B636" s="35" t="s">
        <v>34</v>
      </c>
      <c r="C636" s="36" t="s">
        <v>38</v>
      </c>
      <c r="D636" s="24">
        <v>34.888208159212375</v>
      </c>
      <c r="E636" s="24">
        <v>36.504448259758057</v>
      </c>
      <c r="F636" s="24">
        <v>38.288861829734991</v>
      </c>
      <c r="G636" s="24">
        <v>40.171944836591791</v>
      </c>
      <c r="H636" s="24">
        <v>42.169574445722276</v>
      </c>
      <c r="I636" s="24">
        <v>44.310816259795068</v>
      </c>
      <c r="J636" s="24">
        <v>46.637199615930122</v>
      </c>
      <c r="K636" s="24">
        <v>49.190605760359247</v>
      </c>
      <c r="L636" s="24">
        <v>51.929626889104192</v>
      </c>
      <c r="M636" s="24">
        <v>54.87049977156277</v>
      </c>
      <c r="N636" s="24">
        <v>58.085348995875513</v>
      </c>
      <c r="O636" s="24">
        <v>61.606896482067121</v>
      </c>
      <c r="P636" s="24">
        <v>65.472557399269476</v>
      </c>
      <c r="Q636" s="14"/>
      <c r="R636" s="14"/>
    </row>
    <row r="637" spans="1:18" x14ac:dyDescent="0.35">
      <c r="A637" s="39" t="s">
        <v>81</v>
      </c>
      <c r="B637" s="35" t="s">
        <v>22</v>
      </c>
      <c r="C637" s="36" t="s">
        <v>39</v>
      </c>
      <c r="D637" s="24">
        <v>93.27908893360177</v>
      </c>
      <c r="E637" s="24">
        <v>98.543761399093569</v>
      </c>
      <c r="F637" s="24">
        <v>104.56415750584409</v>
      </c>
      <c r="G637" s="24">
        <v>111.05554956844895</v>
      </c>
      <c r="H637" s="24">
        <v>117.92436085818457</v>
      </c>
      <c r="I637" s="24">
        <v>125.31164137549939</v>
      </c>
      <c r="J637" s="24">
        <v>133.13596061631995</v>
      </c>
      <c r="K637" s="24">
        <v>141.23850175695293</v>
      </c>
      <c r="L637" s="24">
        <v>150.1321486447153</v>
      </c>
      <c r="M637" s="24">
        <v>159.63561136695023</v>
      </c>
      <c r="N637" s="24">
        <v>169.65196611532122</v>
      </c>
      <c r="O637" s="24">
        <v>180.50794172225397</v>
      </c>
      <c r="P637" s="24">
        <v>192.39514558472695</v>
      </c>
      <c r="Q637" s="14"/>
      <c r="R637" s="14"/>
    </row>
    <row r="638" spans="1:18" x14ac:dyDescent="0.35">
      <c r="A638" s="39" t="s">
        <v>81</v>
      </c>
      <c r="B638" s="35" t="s">
        <v>22</v>
      </c>
      <c r="C638" s="36" t="s">
        <v>40</v>
      </c>
      <c r="D638" s="24">
        <v>85.634039318538896</v>
      </c>
      <c r="E638" s="24">
        <v>89.599570295674567</v>
      </c>
      <c r="F638" s="24">
        <v>93.977737762395989</v>
      </c>
      <c r="G638" s="24">
        <v>98.597926323832866</v>
      </c>
      <c r="H638" s="24">
        <v>103.499091950204</v>
      </c>
      <c r="I638" s="24">
        <v>108.75255697697224</v>
      </c>
      <c r="J638" s="24">
        <v>114.46022863020494</v>
      </c>
      <c r="K638" s="24">
        <v>120.72487068987772</v>
      </c>
      <c r="L638" s="24">
        <v>127.44482960721541</v>
      </c>
      <c r="M638" s="24">
        <v>134.65992926592054</v>
      </c>
      <c r="N638" s="24">
        <v>142.54714733577268</v>
      </c>
      <c r="O638" s="24">
        <v>151.18675116157183</v>
      </c>
      <c r="P638" s="24">
        <v>160.670520010247</v>
      </c>
      <c r="Q638" s="14"/>
      <c r="R638" s="14"/>
    </row>
    <row r="639" spans="1:18" x14ac:dyDescent="0.35">
      <c r="A639" s="39" t="s">
        <v>81</v>
      </c>
      <c r="B639" s="35" t="s">
        <v>22</v>
      </c>
      <c r="C639" s="36" t="s">
        <v>41</v>
      </c>
      <c r="D639" s="24">
        <v>68.371142647035867</v>
      </c>
      <c r="E639" s="24">
        <v>71.124078319337769</v>
      </c>
      <c r="F639" s="24">
        <v>74.06891938462833</v>
      </c>
      <c r="G639" s="24">
        <v>77.184920087226331</v>
      </c>
      <c r="H639" s="24">
        <v>80.533709854369945</v>
      </c>
      <c r="I639" s="24">
        <v>84.142329707966653</v>
      </c>
      <c r="J639" s="24">
        <v>87.987370666346834</v>
      </c>
      <c r="K639" s="24">
        <v>92.198495378415842</v>
      </c>
      <c r="L639" s="24">
        <v>96.735712078678617</v>
      </c>
      <c r="M639" s="24">
        <v>101.58552013891293</v>
      </c>
      <c r="N639" s="24">
        <v>106.8717367523096</v>
      </c>
      <c r="O639" s="24">
        <v>112.53776915559433</v>
      </c>
      <c r="P639" s="24">
        <v>118.67380251485781</v>
      </c>
      <c r="Q639" s="14"/>
      <c r="R639" s="14"/>
    </row>
    <row r="640" spans="1:18" x14ac:dyDescent="0.35">
      <c r="A640" s="39" t="s">
        <v>81</v>
      </c>
      <c r="B640" s="35" t="s">
        <v>22</v>
      </c>
      <c r="C640" s="36" t="s">
        <v>42</v>
      </c>
      <c r="D640" s="24">
        <v>110.61154848766438</v>
      </c>
      <c r="E640" s="24">
        <v>117.2671890274214</v>
      </c>
      <c r="F640" s="24">
        <v>124.45695664301928</v>
      </c>
      <c r="G640" s="24">
        <v>132.17025755455325</v>
      </c>
      <c r="H640" s="24">
        <v>140.53574862498843</v>
      </c>
      <c r="I640" s="24">
        <v>149.63059350359734</v>
      </c>
      <c r="J640" s="24">
        <v>159.4468964616394</v>
      </c>
      <c r="K640" s="24">
        <v>170.25217776752396</v>
      </c>
      <c r="L640" s="24">
        <v>182.01968658460549</v>
      </c>
      <c r="M640" s="24">
        <v>194.76858805387423</v>
      </c>
      <c r="N640" s="24">
        <v>208.78098455613721</v>
      </c>
      <c r="O640" s="24">
        <v>224.00609581116368</v>
      </c>
      <c r="P640" s="24">
        <v>240.67907730775508</v>
      </c>
      <c r="Q640" s="14"/>
      <c r="R640" s="14"/>
    </row>
    <row r="641" spans="1:18" x14ac:dyDescent="0.35">
      <c r="A641" s="39" t="s">
        <v>82</v>
      </c>
      <c r="B641" s="35" t="s">
        <v>24</v>
      </c>
      <c r="C641" s="36" t="s">
        <v>25</v>
      </c>
      <c r="D641" s="24">
        <v>43.600018416154789</v>
      </c>
      <c r="E641" s="24">
        <v>45.934572621913986</v>
      </c>
      <c r="F641" s="24">
        <v>48.506022381211075</v>
      </c>
      <c r="G641" s="24">
        <v>51.258321123646844</v>
      </c>
      <c r="H641" s="24">
        <v>54.208122208194148</v>
      </c>
      <c r="I641" s="24">
        <v>57.394806004965893</v>
      </c>
      <c r="J641" s="24">
        <v>60.812298533976048</v>
      </c>
      <c r="K641" s="24">
        <v>64.501875226519346</v>
      </c>
      <c r="L641" s="24">
        <v>68.515753293022613</v>
      </c>
      <c r="M641" s="24">
        <v>72.834374168815799</v>
      </c>
      <c r="N641" s="24">
        <v>77.515053961684231</v>
      </c>
      <c r="O641" s="24">
        <v>82.595059771626211</v>
      </c>
      <c r="P641" s="24">
        <v>88.152926034269683</v>
      </c>
      <c r="Q641" s="14"/>
      <c r="R641" s="14"/>
    </row>
    <row r="642" spans="1:18" x14ac:dyDescent="0.35">
      <c r="A642" s="39" t="s">
        <v>82</v>
      </c>
      <c r="B642" s="35" t="s">
        <v>24</v>
      </c>
      <c r="C642" s="36" t="s">
        <v>26</v>
      </c>
      <c r="D642" s="24">
        <v>403.62437564038953</v>
      </c>
      <c r="E642" s="24">
        <v>428.15991053757068</v>
      </c>
      <c r="F642" s="24">
        <v>454.6748831777773</v>
      </c>
      <c r="G642" s="24">
        <v>483.13407200817136</v>
      </c>
      <c r="H642" s="24">
        <v>514.01118815023506</v>
      </c>
      <c r="I642" s="24">
        <v>547.59270462064399</v>
      </c>
      <c r="J642" s="24">
        <v>583.85447093067273</v>
      </c>
      <c r="K642" s="24">
        <v>623.78078342921481</v>
      </c>
      <c r="L642" s="24">
        <v>667.28004407633716</v>
      </c>
      <c r="M642" s="24">
        <v>714.42876721140317</v>
      </c>
      <c r="N642" s="24">
        <v>766.26812078958335</v>
      </c>
      <c r="O642" s="24">
        <v>822.61992462562682</v>
      </c>
      <c r="P642" s="24">
        <v>884.35563264973371</v>
      </c>
      <c r="Q642" s="21"/>
      <c r="R642" s="21"/>
    </row>
    <row r="643" spans="1:18" x14ac:dyDescent="0.35">
      <c r="A643" s="39" t="s">
        <v>82</v>
      </c>
      <c r="B643" s="35" t="s">
        <v>27</v>
      </c>
      <c r="C643" s="36" t="s">
        <v>28</v>
      </c>
      <c r="D643" s="24">
        <v>149.709476667947</v>
      </c>
      <c r="E643" s="24">
        <v>158.30232685482406</v>
      </c>
      <c r="F643" s="24">
        <v>167.45619152829454</v>
      </c>
      <c r="G643" s="24">
        <v>176.9501265254446</v>
      </c>
      <c r="H643" s="24">
        <v>187.28508469413833</v>
      </c>
      <c r="I643" s="24">
        <v>198.13674970025488</v>
      </c>
      <c r="J643" s="24">
        <v>209.78313995572137</v>
      </c>
      <c r="K643" s="24">
        <v>222.38014671906251</v>
      </c>
      <c r="L643" s="24">
        <v>235.93460214367241</v>
      </c>
      <c r="M643" s="24">
        <v>250.16465522367207</v>
      </c>
      <c r="N643" s="24">
        <v>265.47659404008346</v>
      </c>
      <c r="O643" s="24">
        <v>281.23281619798468</v>
      </c>
      <c r="P643" s="24">
        <v>298.01497926990567</v>
      </c>
      <c r="Q643" s="21"/>
      <c r="R643" s="21"/>
    </row>
    <row r="644" spans="1:18" x14ac:dyDescent="0.35">
      <c r="A644" s="39" t="s">
        <v>82</v>
      </c>
      <c r="B644" s="35" t="s">
        <v>27</v>
      </c>
      <c r="C644" s="36" t="s">
        <v>29</v>
      </c>
      <c r="D644" s="24">
        <v>101.38651803560262</v>
      </c>
      <c r="E644" s="24">
        <v>107.90447455157367</v>
      </c>
      <c r="F644" s="24">
        <v>115.00788299423579</v>
      </c>
      <c r="G644" s="24">
        <v>122.79966779242756</v>
      </c>
      <c r="H644" s="24">
        <v>131.25866069279715</v>
      </c>
      <c r="I644" s="24">
        <v>140.65608835664747</v>
      </c>
      <c r="J644" s="24">
        <v>150.8024097838657</v>
      </c>
      <c r="K644" s="24">
        <v>162.07132404959907</v>
      </c>
      <c r="L644" s="24">
        <v>174.44446024370956</v>
      </c>
      <c r="M644" s="24">
        <v>188.05290732194422</v>
      </c>
      <c r="N644" s="24">
        <v>203.15560782540382</v>
      </c>
      <c r="O644" s="24">
        <v>219.95760114398166</v>
      </c>
      <c r="P644" s="24">
        <v>238.55814484070592</v>
      </c>
      <c r="Q644" s="21"/>
      <c r="R644" s="21"/>
    </row>
    <row r="645" spans="1:18" x14ac:dyDescent="0.35">
      <c r="A645" s="39" t="s">
        <v>82</v>
      </c>
      <c r="B645" s="35" t="s">
        <v>27</v>
      </c>
      <c r="C645" s="36" t="s">
        <v>30</v>
      </c>
      <c r="D645" s="24">
        <v>75.47667121559229</v>
      </c>
      <c r="E645" s="24">
        <v>80.704718454231283</v>
      </c>
      <c r="F645" s="24">
        <v>86.419370427821221</v>
      </c>
      <c r="G645" s="24">
        <v>92.704553607485508</v>
      </c>
      <c r="H645" s="24">
        <v>99.552023174796787</v>
      </c>
      <c r="I645" s="24">
        <v>107.17507883701026</v>
      </c>
      <c r="J645" s="24">
        <v>115.43983528632384</v>
      </c>
      <c r="K645" s="24">
        <v>124.64099252438047</v>
      </c>
      <c r="L645" s="24">
        <v>134.7771265711217</v>
      </c>
      <c r="M645" s="24">
        <v>145.9621540281656</v>
      </c>
      <c r="N645" s="24">
        <v>158.4112334521073</v>
      </c>
      <c r="O645" s="24">
        <v>172.3013493356078</v>
      </c>
      <c r="P645" s="24">
        <v>187.72974409043789</v>
      </c>
      <c r="Q645" s="21"/>
      <c r="R645" s="21"/>
    </row>
    <row r="646" spans="1:18" x14ac:dyDescent="0.35">
      <c r="A646" s="39" t="s">
        <v>82</v>
      </c>
      <c r="B646" s="35" t="s">
        <v>27</v>
      </c>
      <c r="C646" s="36" t="s">
        <v>31</v>
      </c>
      <c r="D646" s="24">
        <v>51.185674737947792</v>
      </c>
      <c r="E646" s="24">
        <v>54.330990646295582</v>
      </c>
      <c r="F646" s="24">
        <v>57.808444228400319</v>
      </c>
      <c r="G646" s="24">
        <v>61.525749625649432</v>
      </c>
      <c r="H646" s="24">
        <v>65.515686484326892</v>
      </c>
      <c r="I646" s="24">
        <v>69.833158683797876</v>
      </c>
      <c r="J646" s="24">
        <v>74.555581721566284</v>
      </c>
      <c r="K646" s="24">
        <v>79.76502658534838</v>
      </c>
      <c r="L646" s="24">
        <v>85.41276377945367</v>
      </c>
      <c r="M646" s="24">
        <v>91.541537549578138</v>
      </c>
      <c r="N646" s="24">
        <v>98.289306289435842</v>
      </c>
      <c r="O646" s="24">
        <v>105.73472204615292</v>
      </c>
      <c r="P646" s="24">
        <v>113.96829520004007</v>
      </c>
      <c r="Q646" s="21"/>
      <c r="R646" s="21"/>
    </row>
    <row r="647" spans="1:18" x14ac:dyDescent="0.35">
      <c r="A647" s="39" t="s">
        <v>82</v>
      </c>
      <c r="B647" s="35" t="s">
        <v>27</v>
      </c>
      <c r="C647" s="36" t="s">
        <v>32</v>
      </c>
      <c r="D647" s="24">
        <v>42.641066723472854</v>
      </c>
      <c r="E647" s="24">
        <v>44.396443017280241</v>
      </c>
      <c r="F647" s="24">
        <v>46.29255565555502</v>
      </c>
      <c r="G647" s="24">
        <v>48.358506321109047</v>
      </c>
      <c r="H647" s="24">
        <v>50.571518621900196</v>
      </c>
      <c r="I647" s="24">
        <v>53.022864689600794</v>
      </c>
      <c r="J647" s="24">
        <v>55.621717078880124</v>
      </c>
      <c r="K647" s="24">
        <v>58.492047309342027</v>
      </c>
      <c r="L647" s="24">
        <v>61.605105542599489</v>
      </c>
      <c r="M647" s="24">
        <v>64.986507092718554</v>
      </c>
      <c r="N647" s="24">
        <v>68.703023435656704</v>
      </c>
      <c r="O647" s="24">
        <v>72.796567849153533</v>
      </c>
      <c r="P647" s="24">
        <v>77.269360574828539</v>
      </c>
      <c r="Q647" s="21"/>
      <c r="R647" s="21"/>
    </row>
    <row r="648" spans="1:18" x14ac:dyDescent="0.35">
      <c r="A648" s="39" t="s">
        <v>82</v>
      </c>
      <c r="B648" s="35" t="s">
        <v>27</v>
      </c>
      <c r="C648" s="36" t="s">
        <v>33</v>
      </c>
      <c r="D648" s="24">
        <v>26.824986675981716</v>
      </c>
      <c r="E648" s="24">
        <v>28.455529635279785</v>
      </c>
      <c r="F648" s="24">
        <v>30.196460724681522</v>
      </c>
      <c r="G648" s="24">
        <v>32.053789259702064</v>
      </c>
      <c r="H648" s="24">
        <v>34.036336690469909</v>
      </c>
      <c r="I648" s="24">
        <v>36.163570358298578</v>
      </c>
      <c r="J648" s="24">
        <v>38.464085638291401</v>
      </c>
      <c r="K648" s="24">
        <v>40.933121468001751</v>
      </c>
      <c r="L648" s="24">
        <v>43.621739088802926</v>
      </c>
      <c r="M648" s="24">
        <v>46.555380164140388</v>
      </c>
      <c r="N648" s="24">
        <v>49.747409708580427</v>
      </c>
      <c r="O648" s="24">
        <v>53.191927824372478</v>
      </c>
      <c r="P648" s="24">
        <v>56.968034708085355</v>
      </c>
      <c r="Q648" s="21"/>
      <c r="R648" s="21"/>
    </row>
    <row r="649" spans="1:18" x14ac:dyDescent="0.35">
      <c r="A649" s="39" t="s">
        <v>82</v>
      </c>
      <c r="B649" s="35" t="s">
        <v>34</v>
      </c>
      <c r="C649" s="36" t="s">
        <v>35</v>
      </c>
      <c r="D649" s="24">
        <v>152.04815132417474</v>
      </c>
      <c r="E649" s="24">
        <v>159.92362635878163</v>
      </c>
      <c r="F649" s="24">
        <v>168.1623240185362</v>
      </c>
      <c r="G649" s="24">
        <v>176.95476868533439</v>
      </c>
      <c r="H649" s="24">
        <v>186.4895776596365</v>
      </c>
      <c r="I649" s="24">
        <v>196.84108798107496</v>
      </c>
      <c r="J649" s="24">
        <v>207.78136786225826</v>
      </c>
      <c r="K649" s="24">
        <v>219.68779545554639</v>
      </c>
      <c r="L649" s="24">
        <v>232.6487401160465</v>
      </c>
      <c r="M649" s="24">
        <v>246.50051494524905</v>
      </c>
      <c r="N649" s="24">
        <v>261.61387973115984</v>
      </c>
      <c r="O649" s="24">
        <v>277.66274220316416</v>
      </c>
      <c r="P649" s="24">
        <v>294.90529448110988</v>
      </c>
      <c r="Q649" s="21"/>
      <c r="R649" s="21"/>
    </row>
    <row r="650" spans="1:18" x14ac:dyDescent="0.35">
      <c r="A650" s="39" t="s">
        <v>82</v>
      </c>
      <c r="B650" s="35" t="s">
        <v>34</v>
      </c>
      <c r="C650" s="36" t="s">
        <v>36</v>
      </c>
      <c r="D650" s="24">
        <v>156.1862746900706</v>
      </c>
      <c r="E650" s="24">
        <v>166.90595455089652</v>
      </c>
      <c r="F650" s="24">
        <v>178.55158977775795</v>
      </c>
      <c r="G650" s="24">
        <v>191.12845934635357</v>
      </c>
      <c r="H650" s="24">
        <v>204.84306138421371</v>
      </c>
      <c r="I650" s="24">
        <v>219.83310174484529</v>
      </c>
      <c r="J650" s="24">
        <v>236.11531002551644</v>
      </c>
      <c r="K650" s="24">
        <v>254.11436044479638</v>
      </c>
      <c r="L650" s="24">
        <v>273.82874424665755</v>
      </c>
      <c r="M650" s="24">
        <v>295.32538968839214</v>
      </c>
      <c r="N650" s="24">
        <v>319.07146041941201</v>
      </c>
      <c r="O650" s="24">
        <v>345.03956496663915</v>
      </c>
      <c r="P650" s="24">
        <v>373.64112686926131</v>
      </c>
      <c r="Q650" s="21"/>
      <c r="R650" s="21"/>
    </row>
    <row r="651" spans="1:18" x14ac:dyDescent="0.35">
      <c r="A651" s="39" t="s">
        <v>82</v>
      </c>
      <c r="B651" s="35" t="s">
        <v>34</v>
      </c>
      <c r="C651" s="36" t="s">
        <v>37</v>
      </c>
      <c r="D651" s="24">
        <v>101.89930158497567</v>
      </c>
      <c r="E651" s="24">
        <v>108.16840133195974</v>
      </c>
      <c r="F651" s="24">
        <v>115.09965166603088</v>
      </c>
      <c r="G651" s="24">
        <v>122.50944533151893</v>
      </c>
      <c r="H651" s="24">
        <v>130.46315365829534</v>
      </c>
      <c r="I651" s="24">
        <v>139.07022268822803</v>
      </c>
      <c r="J651" s="24">
        <v>148.48495979825947</v>
      </c>
      <c r="K651" s="24">
        <v>158.87098678903936</v>
      </c>
      <c r="L651" s="24">
        <v>170.13145024576798</v>
      </c>
      <c r="M651" s="24">
        <v>182.35167449281963</v>
      </c>
      <c r="N651" s="24">
        <v>195.80667498954696</v>
      </c>
      <c r="O651" s="24">
        <v>210.65339571119156</v>
      </c>
      <c r="P651" s="24">
        <v>227.07244882648135</v>
      </c>
      <c r="Q651" s="14"/>
      <c r="R651" s="14"/>
    </row>
    <row r="652" spans="1:18" x14ac:dyDescent="0.35">
      <c r="A652" s="39" t="s">
        <v>82</v>
      </c>
      <c r="B652" s="35" t="s">
        <v>34</v>
      </c>
      <c r="C652" s="36" t="s">
        <v>38</v>
      </c>
      <c r="D652" s="24">
        <v>37.090666457323323</v>
      </c>
      <c r="E652" s="24">
        <v>39.096500917846733</v>
      </c>
      <c r="F652" s="24">
        <v>41.367340096663384</v>
      </c>
      <c r="G652" s="24">
        <v>43.799719768611297</v>
      </c>
      <c r="H652" s="24">
        <v>46.423517656283664</v>
      </c>
      <c r="I652" s="24">
        <v>49.2430982114616</v>
      </c>
      <c r="J652" s="24">
        <v>52.285131778614605</v>
      </c>
      <c r="K652" s="24">
        <v>55.609515966352006</v>
      </c>
      <c r="L652" s="24">
        <v>59.186862760887728</v>
      </c>
      <c r="M652" s="24">
        <v>63.085562253758063</v>
      </c>
      <c r="N652" s="24">
        <v>67.291159611148728</v>
      </c>
      <c r="O652" s="24">
        <v>71.859281516258235</v>
      </c>
      <c r="P652" s="24">
        <v>76.889688507150922</v>
      </c>
      <c r="Q652" s="14"/>
      <c r="R652" s="14"/>
    </row>
    <row r="653" spans="1:18" x14ac:dyDescent="0.35">
      <c r="A653" s="39" t="s">
        <v>82</v>
      </c>
      <c r="B653" s="35" t="s">
        <v>22</v>
      </c>
      <c r="C653" s="36" t="s">
        <v>39</v>
      </c>
      <c r="D653" s="24">
        <v>113.66567379648478</v>
      </c>
      <c r="E653" s="24">
        <v>120.66499840253545</v>
      </c>
      <c r="F653" s="24">
        <v>127.81334979663387</v>
      </c>
      <c r="G653" s="24">
        <v>135.43743481771236</v>
      </c>
      <c r="H653" s="24">
        <v>143.87312938275431</v>
      </c>
      <c r="I653" s="24">
        <v>153.2318332716444</v>
      </c>
      <c r="J653" s="24">
        <v>163.17506945442585</v>
      </c>
      <c r="K653" s="24">
        <v>174.44476073608314</v>
      </c>
      <c r="L653" s="24">
        <v>186.79950471502377</v>
      </c>
      <c r="M653" s="24">
        <v>200.0390795014207</v>
      </c>
      <c r="N653" s="24">
        <v>215.12714684708078</v>
      </c>
      <c r="O653" s="24">
        <v>231.3330292625393</v>
      </c>
      <c r="P653" s="24">
        <v>248.91463034714411</v>
      </c>
      <c r="Q653" s="14"/>
      <c r="R653" s="14"/>
    </row>
    <row r="654" spans="1:18" x14ac:dyDescent="0.35">
      <c r="A654" s="39" t="s">
        <v>82</v>
      </c>
      <c r="B654" s="35" t="s">
        <v>22</v>
      </c>
      <c r="C654" s="36" t="s">
        <v>40</v>
      </c>
      <c r="D654" s="24">
        <v>117.16294656782794</v>
      </c>
      <c r="E654" s="24">
        <v>123.52590336252028</v>
      </c>
      <c r="F654" s="24">
        <v>130.72898442982643</v>
      </c>
      <c r="G654" s="24">
        <v>138.44577316655398</v>
      </c>
      <c r="H654" s="24">
        <v>146.77104786558223</v>
      </c>
      <c r="I654" s="24">
        <v>155.71900712692531</v>
      </c>
      <c r="J654" s="24">
        <v>165.3743987855041</v>
      </c>
      <c r="K654" s="24">
        <v>175.92713975026749</v>
      </c>
      <c r="L654" s="24">
        <v>187.28484561394589</v>
      </c>
      <c r="M654" s="24">
        <v>199.66445147341278</v>
      </c>
      <c r="N654" s="24">
        <v>213.02087717240084</v>
      </c>
      <c r="O654" s="24">
        <v>227.53085826171449</v>
      </c>
      <c r="P654" s="24">
        <v>243.51102542379741</v>
      </c>
      <c r="Q654" s="14"/>
      <c r="R654" s="14"/>
    </row>
    <row r="655" spans="1:18" x14ac:dyDescent="0.35">
      <c r="A655" s="39" t="s">
        <v>82</v>
      </c>
      <c r="B655" s="35" t="s">
        <v>22</v>
      </c>
      <c r="C655" s="36" t="s">
        <v>41</v>
      </c>
      <c r="D655" s="24">
        <v>87.921869286431971</v>
      </c>
      <c r="E655" s="24">
        <v>92.255848946946713</v>
      </c>
      <c r="F655" s="24">
        <v>97.028192393064984</v>
      </c>
      <c r="G655" s="24">
        <v>102.12121360398918</v>
      </c>
      <c r="H655" s="24">
        <v>107.56391545085064</v>
      </c>
      <c r="I655" s="24">
        <v>113.42989529468109</v>
      </c>
      <c r="J655" s="24">
        <v>119.70169745382026</v>
      </c>
      <c r="K655" s="24">
        <v>126.45530194924162</v>
      </c>
      <c r="L655" s="24">
        <v>133.78687610097859</v>
      </c>
      <c r="M655" s="24">
        <v>141.65084193759682</v>
      </c>
      <c r="N655" s="24">
        <v>150.15179674140143</v>
      </c>
      <c r="O655" s="24">
        <v>159.35376965882796</v>
      </c>
      <c r="P655" s="24">
        <v>169.3993160136269</v>
      </c>
      <c r="Q655" s="14"/>
      <c r="R655" s="14"/>
    </row>
    <row r="656" spans="1:18" x14ac:dyDescent="0.35">
      <c r="A656" s="39" t="s">
        <v>82</v>
      </c>
      <c r="B656" s="35" t="s">
        <v>22</v>
      </c>
      <c r="C656" s="36" t="s">
        <v>42</v>
      </c>
      <c r="D656" s="24">
        <v>128.47390440579963</v>
      </c>
      <c r="E656" s="24">
        <v>137.64773244748221</v>
      </c>
      <c r="F656" s="24">
        <v>147.61037893946312</v>
      </c>
      <c r="G656" s="24">
        <v>158.38797154356263</v>
      </c>
      <c r="H656" s="24">
        <v>170.01121765924199</v>
      </c>
      <c r="I656" s="24">
        <v>182.60677493235906</v>
      </c>
      <c r="J656" s="24">
        <v>196.41560377089854</v>
      </c>
      <c r="K656" s="24">
        <v>211.45545622014188</v>
      </c>
      <c r="L656" s="24">
        <v>227.9245709394115</v>
      </c>
      <c r="M656" s="24">
        <v>245.90876846778858</v>
      </c>
      <c r="N656" s="24">
        <v>265.4833539903845</v>
      </c>
      <c r="O656" s="24">
        <v>286.99732721417121</v>
      </c>
      <c r="P656" s="24">
        <v>310.68358689943494</v>
      </c>
      <c r="Q656" s="14"/>
      <c r="R656" s="14"/>
    </row>
    <row r="657" spans="1:18" x14ac:dyDescent="0.35">
      <c r="A657" s="39" t="s">
        <v>83</v>
      </c>
      <c r="B657" s="35" t="s">
        <v>24</v>
      </c>
      <c r="C657" s="36" t="s">
        <v>25</v>
      </c>
      <c r="D657" s="24">
        <v>141.37060850787216</v>
      </c>
      <c r="E657" s="24">
        <v>151.65955615214276</v>
      </c>
      <c r="F657" s="24">
        <v>162.87017828836952</v>
      </c>
      <c r="G657" s="24">
        <v>175.01773898385923</v>
      </c>
      <c r="H657" s="24">
        <v>188.30192820318541</v>
      </c>
      <c r="I657" s="24">
        <v>202.86222226913344</v>
      </c>
      <c r="J657" s="24">
        <v>218.7285323795567</v>
      </c>
      <c r="K657" s="24">
        <v>236.30904305688105</v>
      </c>
      <c r="L657" s="24">
        <v>255.62181892132551</v>
      </c>
      <c r="M657" s="24">
        <v>276.7489614898866</v>
      </c>
      <c r="N657" s="24">
        <v>300.14877401905443</v>
      </c>
      <c r="O657" s="24">
        <v>325.82125045846755</v>
      </c>
      <c r="P657" s="24">
        <v>354.18059905141024</v>
      </c>
      <c r="Q657" s="14"/>
      <c r="R657" s="14"/>
    </row>
    <row r="658" spans="1:18" x14ac:dyDescent="0.35">
      <c r="A658" s="39" t="s">
        <v>83</v>
      </c>
      <c r="B658" s="35" t="s">
        <v>24</v>
      </c>
      <c r="C658" s="36" t="s">
        <v>26</v>
      </c>
      <c r="D658" s="24">
        <v>1539.9410773602415</v>
      </c>
      <c r="E658" s="24">
        <v>1668.3503304105286</v>
      </c>
      <c r="F658" s="24">
        <v>1811.484313902725</v>
      </c>
      <c r="G658" s="24">
        <v>1967.9394972327627</v>
      </c>
      <c r="H658" s="24">
        <v>2139.2868011316154</v>
      </c>
      <c r="I658" s="24">
        <v>2326.6339530104356</v>
      </c>
      <c r="J658" s="24">
        <v>2531.1300557912364</v>
      </c>
      <c r="K658" s="24">
        <v>2754.8864332255657</v>
      </c>
      <c r="L658" s="24">
        <v>3001.3084755125578</v>
      </c>
      <c r="M658" s="24">
        <v>3273.88192869458</v>
      </c>
      <c r="N658" s="24">
        <v>3574.0084565634907</v>
      </c>
      <c r="O658" s="24">
        <v>3903.7363909180849</v>
      </c>
      <c r="P658" s="24">
        <v>4267.3911340732011</v>
      </c>
      <c r="Q658" s="14"/>
      <c r="R658" s="14"/>
    </row>
    <row r="659" spans="1:18" x14ac:dyDescent="0.35">
      <c r="A659" s="39" t="s">
        <v>83</v>
      </c>
      <c r="B659" s="35" t="s">
        <v>27</v>
      </c>
      <c r="C659" s="36" t="s">
        <v>28</v>
      </c>
      <c r="D659" s="24">
        <v>558.58828112526317</v>
      </c>
      <c r="E659" s="24">
        <v>602.64913931994306</v>
      </c>
      <c r="F659" s="24">
        <v>652.14556581470447</v>
      </c>
      <c r="G659" s="24">
        <v>705.9662797069268</v>
      </c>
      <c r="H659" s="24">
        <v>764.3801387135486</v>
      </c>
      <c r="I659" s="24">
        <v>826.92857438819124</v>
      </c>
      <c r="J659" s="24">
        <v>893.56787002957071</v>
      </c>
      <c r="K659" s="24">
        <v>963.81711332450186</v>
      </c>
      <c r="L659" s="24">
        <v>1039.8926439329534</v>
      </c>
      <c r="M659" s="24">
        <v>1124.0523209939506</v>
      </c>
      <c r="N659" s="24">
        <v>1214.0957261236281</v>
      </c>
      <c r="O659" s="24">
        <v>1309.9079610274894</v>
      </c>
      <c r="P659" s="24">
        <v>1411.861990211049</v>
      </c>
      <c r="Q659" s="14"/>
      <c r="R659" s="14"/>
    </row>
    <row r="660" spans="1:18" x14ac:dyDescent="0.35">
      <c r="A660" s="39" t="s">
        <v>83</v>
      </c>
      <c r="B660" s="35" t="s">
        <v>27</v>
      </c>
      <c r="C660" s="36" t="s">
        <v>29</v>
      </c>
      <c r="D660" s="24">
        <v>381.96989475650929</v>
      </c>
      <c r="E660" s="24">
        <v>415.43156171221966</v>
      </c>
      <c r="F660" s="24">
        <v>452.29803167180381</v>
      </c>
      <c r="G660" s="24">
        <v>492.73675165734551</v>
      </c>
      <c r="H660" s="24">
        <v>537.44023760340554</v>
      </c>
      <c r="I660" s="24">
        <v>586.96380647938599</v>
      </c>
      <c r="J660" s="24">
        <v>641.57208647035475</v>
      </c>
      <c r="K660" s="24">
        <v>702.64902062577642</v>
      </c>
      <c r="L660" s="24">
        <v>770.48957437696174</v>
      </c>
      <c r="M660" s="24">
        <v>845.59144674328388</v>
      </c>
      <c r="N660" s="24">
        <v>929.62244619295313</v>
      </c>
      <c r="O660" s="24">
        <v>1022.9151089116782</v>
      </c>
      <c r="P660" s="24">
        <v>1127.1118191210294</v>
      </c>
      <c r="Q660" s="14"/>
      <c r="R660" s="14"/>
    </row>
    <row r="661" spans="1:18" x14ac:dyDescent="0.35">
      <c r="A661" s="39" t="s">
        <v>83</v>
      </c>
      <c r="B661" s="35" t="s">
        <v>27</v>
      </c>
      <c r="C661" s="36" t="s">
        <v>30</v>
      </c>
      <c r="D661" s="24">
        <v>295.36168720322127</v>
      </c>
      <c r="E661" s="24">
        <v>322.82795102329226</v>
      </c>
      <c r="F661" s="24">
        <v>353.63473536742453</v>
      </c>
      <c r="G661" s="24">
        <v>387.65034736929653</v>
      </c>
      <c r="H661" s="24">
        <v>425.25046084946814</v>
      </c>
      <c r="I661" s="24">
        <v>467.02420052997422</v>
      </c>
      <c r="J661" s="24">
        <v>513.25527743366024</v>
      </c>
      <c r="K661" s="24">
        <v>564.64173960829385</v>
      </c>
      <c r="L661" s="24">
        <v>622.05226744568517</v>
      </c>
      <c r="M661" s="24">
        <v>685.79908372564864</v>
      </c>
      <c r="N661" s="24">
        <v>756.92459252043272</v>
      </c>
      <c r="O661" s="24">
        <v>836.38873053698592</v>
      </c>
      <c r="P661" s="24">
        <v>925.66294658396578</v>
      </c>
      <c r="Q661" s="14"/>
      <c r="R661" s="14"/>
    </row>
    <row r="662" spans="1:18" x14ac:dyDescent="0.35">
      <c r="A662" s="39" t="s">
        <v>83</v>
      </c>
      <c r="B662" s="35" t="s">
        <v>27</v>
      </c>
      <c r="C662" s="36" t="s">
        <v>31</v>
      </c>
      <c r="D662" s="24">
        <v>235.05908803123745</v>
      </c>
      <c r="E662" s="24">
        <v>254.03931430099928</v>
      </c>
      <c r="F662" s="24">
        <v>275.20141060113252</v>
      </c>
      <c r="G662" s="24">
        <v>298.20861208280701</v>
      </c>
      <c r="H662" s="24">
        <v>323.30207450460387</v>
      </c>
      <c r="I662" s="24">
        <v>350.84653741459152</v>
      </c>
      <c r="J662" s="24">
        <v>381.3427635328074</v>
      </c>
      <c r="K662" s="24">
        <v>415.34739436005515</v>
      </c>
      <c r="L662" s="24">
        <v>452.77108901379916</v>
      </c>
      <c r="M662" s="24">
        <v>493.99691527953593</v>
      </c>
      <c r="N662" s="24">
        <v>539.94362615358705</v>
      </c>
      <c r="O662" s="24">
        <v>591.26390796028875</v>
      </c>
      <c r="P662" s="24">
        <v>648.7155858085448</v>
      </c>
      <c r="Q662" s="14"/>
      <c r="R662" s="14"/>
    </row>
    <row r="663" spans="1:18" x14ac:dyDescent="0.35">
      <c r="A663" s="39" t="s">
        <v>83</v>
      </c>
      <c r="B663" s="35" t="s">
        <v>27</v>
      </c>
      <c r="C663" s="36" t="s">
        <v>32</v>
      </c>
      <c r="D663" s="24">
        <v>129.4216294219265</v>
      </c>
      <c r="E663" s="24">
        <v>137.76686870085206</v>
      </c>
      <c r="F663" s="24">
        <v>146.80722943136567</v>
      </c>
      <c r="G663" s="24">
        <v>156.53840195659308</v>
      </c>
      <c r="H663" s="24">
        <v>167.12087076623871</v>
      </c>
      <c r="I663" s="24">
        <v>178.65643093685574</v>
      </c>
      <c r="J663" s="24">
        <v>191.14689304357003</v>
      </c>
      <c r="K663" s="24">
        <v>204.92418736120658</v>
      </c>
      <c r="L663" s="24">
        <v>219.97132702622429</v>
      </c>
      <c r="M663" s="24">
        <v>236.32642808691767</v>
      </c>
      <c r="N663" s="24">
        <v>254.34715651699139</v>
      </c>
      <c r="O663" s="24">
        <v>273.99129454420404</v>
      </c>
      <c r="P663" s="24">
        <v>295.56554810469464</v>
      </c>
      <c r="Q663" s="14"/>
      <c r="R663" s="14"/>
    </row>
    <row r="664" spans="1:18" x14ac:dyDescent="0.35">
      <c r="A664" s="39" t="s">
        <v>83</v>
      </c>
      <c r="B664" s="35" t="s">
        <v>27</v>
      </c>
      <c r="C664" s="36" t="s">
        <v>33</v>
      </c>
      <c r="D664" s="24">
        <v>80.911105329955987</v>
      </c>
      <c r="E664" s="24">
        <v>87.295051505364995</v>
      </c>
      <c r="F664" s="24">
        <v>94.26751930466375</v>
      </c>
      <c r="G664" s="24">
        <v>101.85684344365302</v>
      </c>
      <c r="H664" s="24">
        <v>110.09494689753609</v>
      </c>
      <c r="I664" s="24">
        <v>119.07662553057034</v>
      </c>
      <c r="J664" s="24">
        <v>128.97369766083008</v>
      </c>
      <c r="K664" s="24">
        <v>139.81602100261273</v>
      </c>
      <c r="L664" s="24">
        <v>151.7533926382599</v>
      </c>
      <c r="M664" s="24">
        <v>164.86469535513015</v>
      </c>
      <c r="N664" s="24">
        <v>179.22368307495287</v>
      </c>
      <c r="O664" s="24">
        <v>195.09063839590527</v>
      </c>
      <c r="P664" s="24">
        <v>212.65384329532816</v>
      </c>
      <c r="Q664" s="14"/>
      <c r="R664" s="14"/>
    </row>
    <row r="665" spans="1:18" x14ac:dyDescent="0.35">
      <c r="A665" s="39" t="s">
        <v>83</v>
      </c>
      <c r="B665" s="35" t="s">
        <v>34</v>
      </c>
      <c r="C665" s="36" t="s">
        <v>35</v>
      </c>
      <c r="D665" s="24">
        <v>529.54189020665331</v>
      </c>
      <c r="E665" s="24">
        <v>573.25622627893881</v>
      </c>
      <c r="F665" s="24">
        <v>622.25220109945121</v>
      </c>
      <c r="G665" s="24">
        <v>674.73484876170119</v>
      </c>
      <c r="H665" s="24">
        <v>731.79389650286157</v>
      </c>
      <c r="I665" s="24">
        <v>791.85471211638946</v>
      </c>
      <c r="J665" s="24">
        <v>856.57799424609198</v>
      </c>
      <c r="K665" s="24">
        <v>924.79505297712694</v>
      </c>
      <c r="L665" s="24">
        <v>998.25261551683388</v>
      </c>
      <c r="M665" s="24">
        <v>1078.9787364266122</v>
      </c>
      <c r="N665" s="24">
        <v>1165.0841138185665</v>
      </c>
      <c r="O665" s="24">
        <v>1255.3147991852143</v>
      </c>
      <c r="P665" s="24">
        <v>1350.7989643955184</v>
      </c>
      <c r="Q665" s="14"/>
      <c r="R665" s="14"/>
    </row>
    <row r="666" spans="1:18" x14ac:dyDescent="0.35">
      <c r="A666" s="39" t="s">
        <v>83</v>
      </c>
      <c r="B666" s="35" t="s">
        <v>34</v>
      </c>
      <c r="C666" s="36" t="s">
        <v>36</v>
      </c>
      <c r="D666" s="24">
        <v>572.73665091950988</v>
      </c>
      <c r="E666" s="24">
        <v>623.60370284812927</v>
      </c>
      <c r="F666" s="24">
        <v>680.50750305677263</v>
      </c>
      <c r="G666" s="24">
        <v>743.1214179624402</v>
      </c>
      <c r="H666" s="24">
        <v>812.09570766491208</v>
      </c>
      <c r="I666" s="24">
        <v>888.47763672495068</v>
      </c>
      <c r="J666" s="24">
        <v>972.71670689395819</v>
      </c>
      <c r="K666" s="24">
        <v>1066.0399154308438</v>
      </c>
      <c r="L666" s="24">
        <v>1169.9767743353987</v>
      </c>
      <c r="M666" s="24">
        <v>1284.9858413544864</v>
      </c>
      <c r="N666" s="24">
        <v>1412.885548386721</v>
      </c>
      <c r="O666" s="24">
        <v>1555.3114290134863</v>
      </c>
      <c r="P666" s="24">
        <v>1714.8238202590308</v>
      </c>
      <c r="Q666" s="21"/>
      <c r="R666" s="21"/>
    </row>
    <row r="667" spans="1:18" x14ac:dyDescent="0.35">
      <c r="A667" s="39" t="s">
        <v>83</v>
      </c>
      <c r="B667" s="35" t="s">
        <v>34</v>
      </c>
      <c r="C667" s="36" t="s">
        <v>37</v>
      </c>
      <c r="D667" s="24">
        <v>406.93414076985692</v>
      </c>
      <c r="E667" s="24">
        <v>438.76415081485476</v>
      </c>
      <c r="F667" s="24">
        <v>473.76059351804753</v>
      </c>
      <c r="G667" s="24">
        <v>512.45777504726948</v>
      </c>
      <c r="H667" s="24">
        <v>554.89715307341658</v>
      </c>
      <c r="I667" s="24">
        <v>602.35506331053568</v>
      </c>
      <c r="J667" s="24">
        <v>654.1976819362186</v>
      </c>
      <c r="K667" s="24">
        <v>712.19703390593509</v>
      </c>
      <c r="L667" s="24">
        <v>776.49036774125898</v>
      </c>
      <c r="M667" s="24">
        <v>847.88172409759818</v>
      </c>
      <c r="N667" s="24">
        <v>927.78761070932637</v>
      </c>
      <c r="O667" s="24">
        <v>1017.4452158490479</v>
      </c>
      <c r="P667" s="24">
        <v>1117.6585796412048</v>
      </c>
      <c r="Q667" s="21"/>
      <c r="R667" s="21"/>
    </row>
    <row r="668" spans="1:18" x14ac:dyDescent="0.35">
      <c r="A668" s="39" t="s">
        <v>83</v>
      </c>
      <c r="B668" s="35" t="s">
        <v>34</v>
      </c>
      <c r="C668" s="36" t="s">
        <v>38</v>
      </c>
      <c r="D668" s="24">
        <v>172.09900397209361</v>
      </c>
      <c r="E668" s="24">
        <v>184.38580662074867</v>
      </c>
      <c r="F668" s="24">
        <v>197.83419451682309</v>
      </c>
      <c r="G668" s="24">
        <v>212.64319444521092</v>
      </c>
      <c r="H668" s="24">
        <v>228.80197209361094</v>
      </c>
      <c r="I668" s="24">
        <v>246.808763127693</v>
      </c>
      <c r="J668" s="24">
        <v>266.36620509452422</v>
      </c>
      <c r="K668" s="24">
        <v>288.16347396854059</v>
      </c>
      <c r="L668" s="24">
        <v>312.21053684039163</v>
      </c>
      <c r="M668" s="24">
        <v>338.78458830577006</v>
      </c>
      <c r="N668" s="24">
        <v>368.39995766793163</v>
      </c>
      <c r="O668" s="24">
        <v>401.4861973288036</v>
      </c>
      <c r="P668" s="24">
        <v>438.29036882885742</v>
      </c>
      <c r="Q668" s="21"/>
      <c r="R668" s="21"/>
    </row>
    <row r="669" spans="1:18" x14ac:dyDescent="0.35">
      <c r="A669" s="39" t="s">
        <v>83</v>
      </c>
      <c r="B669" s="35" t="s">
        <v>22</v>
      </c>
      <c r="C669" s="36" t="s">
        <v>39</v>
      </c>
      <c r="D669" s="24">
        <v>456.4315248954033</v>
      </c>
      <c r="E669" s="24">
        <v>501.09479894500191</v>
      </c>
      <c r="F669" s="24">
        <v>552.52013076178969</v>
      </c>
      <c r="G669" s="24">
        <v>607.85903023278479</v>
      </c>
      <c r="H669" s="24">
        <v>668.48348306495473</v>
      </c>
      <c r="I669" s="24">
        <v>732.61214630443283</v>
      </c>
      <c r="J669" s="24">
        <v>802.81008765432171</v>
      </c>
      <c r="K669" s="24">
        <v>877.08508546623989</v>
      </c>
      <c r="L669" s="24">
        <v>957.91749321568022</v>
      </c>
      <c r="M669" s="24">
        <v>1047.1378365539722</v>
      </c>
      <c r="N669" s="24">
        <v>1142.6544725696936</v>
      </c>
      <c r="O669" s="24">
        <v>1243.421979074305</v>
      </c>
      <c r="P669" s="24">
        <v>1351.8436348792261</v>
      </c>
      <c r="Q669" s="21"/>
      <c r="R669" s="21"/>
    </row>
    <row r="670" spans="1:18" x14ac:dyDescent="0.35">
      <c r="A670" s="39" t="s">
        <v>83</v>
      </c>
      <c r="B670" s="35" t="s">
        <v>22</v>
      </c>
      <c r="C670" s="36" t="s">
        <v>40</v>
      </c>
      <c r="D670" s="24">
        <v>439.21784233962433</v>
      </c>
      <c r="E670" s="24">
        <v>470.58763523186144</v>
      </c>
      <c r="F670" s="24">
        <v>504.92372094069952</v>
      </c>
      <c r="G670" s="24">
        <v>542.73430480850084</v>
      </c>
      <c r="H670" s="24">
        <v>583.9920121901016</v>
      </c>
      <c r="I670" s="24">
        <v>629.96881132726492</v>
      </c>
      <c r="J670" s="24">
        <v>679.90607350357379</v>
      </c>
      <c r="K670" s="24">
        <v>735.5632540748386</v>
      </c>
      <c r="L670" s="24">
        <v>796.96625025914568</v>
      </c>
      <c r="M670" s="24">
        <v>864.82310253237972</v>
      </c>
      <c r="N670" s="24">
        <v>940.44726475840207</v>
      </c>
      <c r="O670" s="24">
        <v>1024.9359102076985</v>
      </c>
      <c r="P670" s="24">
        <v>1118.9204538830836</v>
      </c>
      <c r="Q670" s="21"/>
      <c r="R670" s="21"/>
    </row>
    <row r="671" spans="1:18" x14ac:dyDescent="0.35">
      <c r="A671" s="39" t="s">
        <v>83</v>
      </c>
      <c r="B671" s="35" t="s">
        <v>22</v>
      </c>
      <c r="C671" s="36" t="s">
        <v>41</v>
      </c>
      <c r="D671" s="24">
        <v>304.71511265228946</v>
      </c>
      <c r="E671" s="24">
        <v>326.81646067587104</v>
      </c>
      <c r="F671" s="24">
        <v>350.61031269472562</v>
      </c>
      <c r="G671" s="24">
        <v>376.34055807187389</v>
      </c>
      <c r="H671" s="24">
        <v>404.30216228545493</v>
      </c>
      <c r="I671" s="24">
        <v>434.62566684377509</v>
      </c>
      <c r="J671" s="24">
        <v>467.34388886125822</v>
      </c>
      <c r="K671" s="24">
        <v>502.94400631568476</v>
      </c>
      <c r="L671" s="24">
        <v>542.03788256049268</v>
      </c>
      <c r="M671" s="24">
        <v>584.51951728846291</v>
      </c>
      <c r="N671" s="24">
        <v>631.10612984571446</v>
      </c>
      <c r="O671" s="24">
        <v>682.05596683713043</v>
      </c>
      <c r="P671" s="24">
        <v>737.84306271547075</v>
      </c>
      <c r="Q671" s="21"/>
      <c r="R671" s="21"/>
    </row>
    <row r="672" spans="1:18" x14ac:dyDescent="0.35">
      <c r="A672" s="39" t="s">
        <v>83</v>
      </c>
      <c r="B672" s="35" t="s">
        <v>22</v>
      </c>
      <c r="C672" s="36" t="s">
        <v>42</v>
      </c>
      <c r="D672" s="24">
        <v>480.9472059807967</v>
      </c>
      <c r="E672" s="24">
        <v>521.51099170993723</v>
      </c>
      <c r="F672" s="24">
        <v>566.30032779387966</v>
      </c>
      <c r="G672" s="24">
        <v>616.02334310346237</v>
      </c>
      <c r="H672" s="24">
        <v>670.81107179428966</v>
      </c>
      <c r="I672" s="24">
        <v>732.28955080409617</v>
      </c>
      <c r="J672" s="24">
        <v>799.79853815163926</v>
      </c>
      <c r="K672" s="24">
        <v>875.6031304256835</v>
      </c>
      <c r="L672" s="24">
        <v>960.00866839856485</v>
      </c>
      <c r="M672" s="24">
        <v>1054.1504338096518</v>
      </c>
      <c r="N672" s="24">
        <v>1159.9493634087351</v>
      </c>
      <c r="O672" s="24">
        <v>1279.1437852574181</v>
      </c>
      <c r="P672" s="24">
        <v>1412.964581646831</v>
      </c>
      <c r="Q672" s="21"/>
      <c r="R672" s="21"/>
    </row>
    <row r="673" spans="1:18" x14ac:dyDescent="0.35">
      <c r="A673" s="39" t="s">
        <v>84</v>
      </c>
      <c r="B673" s="35" t="s">
        <v>24</v>
      </c>
      <c r="C673" s="36" t="s">
        <v>25</v>
      </c>
      <c r="D673" s="24">
        <v>46.589498963021526</v>
      </c>
      <c r="E673" s="24">
        <v>49.25762522941487</v>
      </c>
      <c r="F673" s="24">
        <v>52.182333731729059</v>
      </c>
      <c r="G673" s="24">
        <v>55.285309125491473</v>
      </c>
      <c r="H673" s="24">
        <v>58.599184209913822</v>
      </c>
      <c r="I673" s="24">
        <v>62.165186964654055</v>
      </c>
      <c r="J673" s="24">
        <v>65.996945728732683</v>
      </c>
      <c r="K673" s="24">
        <v>70.247477497596876</v>
      </c>
      <c r="L673" s="24">
        <v>74.829825176961691</v>
      </c>
      <c r="M673" s="24">
        <v>79.806196732963073</v>
      </c>
      <c r="N673" s="24">
        <v>85.253554142971097</v>
      </c>
      <c r="O673" s="24">
        <v>91.228411804390632</v>
      </c>
      <c r="P673" s="24">
        <v>97.795360552941247</v>
      </c>
      <c r="Q673" s="21"/>
      <c r="R673" s="21"/>
    </row>
    <row r="674" spans="1:18" x14ac:dyDescent="0.35">
      <c r="A674" s="39" t="s">
        <v>84</v>
      </c>
      <c r="B674" s="35" t="s">
        <v>24</v>
      </c>
      <c r="C674" s="36" t="s">
        <v>26</v>
      </c>
      <c r="D674" s="24">
        <v>496.20078266911224</v>
      </c>
      <c r="E674" s="24">
        <v>528.41527196442416</v>
      </c>
      <c r="F674" s="24">
        <v>563.83452698461758</v>
      </c>
      <c r="G674" s="24">
        <v>601.67771928388299</v>
      </c>
      <c r="H674" s="24">
        <v>642.34799533450985</v>
      </c>
      <c r="I674" s="24">
        <v>686.35370791120283</v>
      </c>
      <c r="J674" s="24">
        <v>733.9123849111694</v>
      </c>
      <c r="K674" s="24">
        <v>786.79695886015634</v>
      </c>
      <c r="L674" s="24">
        <v>844.14261070774285</v>
      </c>
      <c r="M674" s="24">
        <v>906.74082269402345</v>
      </c>
      <c r="N674" s="24">
        <v>975.5722225939893</v>
      </c>
      <c r="O674" s="24">
        <v>1051.4101221522928</v>
      </c>
      <c r="P674" s="24">
        <v>1135.1413167343462</v>
      </c>
      <c r="Q674" s="21"/>
      <c r="R674" s="21"/>
    </row>
    <row r="675" spans="1:18" x14ac:dyDescent="0.35">
      <c r="A675" s="39" t="s">
        <v>84</v>
      </c>
      <c r="B675" s="35" t="s">
        <v>27</v>
      </c>
      <c r="C675" s="36" t="s">
        <v>28</v>
      </c>
      <c r="D675" s="24">
        <v>177.92022063979857</v>
      </c>
      <c r="E675" s="24">
        <v>187.68851655885487</v>
      </c>
      <c r="F675" s="24">
        <v>198.4158712813408</v>
      </c>
      <c r="G675" s="24">
        <v>209.5171452165514</v>
      </c>
      <c r="H675" s="24">
        <v>221.1488351462657</v>
      </c>
      <c r="I675" s="24">
        <v>233.4939211073272</v>
      </c>
      <c r="J675" s="24">
        <v>246.56143942730648</v>
      </c>
      <c r="K675" s="24">
        <v>261.70962538439107</v>
      </c>
      <c r="L675" s="24">
        <v>277.60787753800491</v>
      </c>
      <c r="M675" s="24">
        <v>295.03630837482297</v>
      </c>
      <c r="N675" s="24">
        <v>314.1832617148799</v>
      </c>
      <c r="O675" s="24">
        <v>335.35630713959654</v>
      </c>
      <c r="P675" s="24">
        <v>358.70138212331324</v>
      </c>
      <c r="Q675" s="21"/>
      <c r="R675" s="21"/>
    </row>
    <row r="676" spans="1:18" x14ac:dyDescent="0.35">
      <c r="A676" s="39" t="s">
        <v>84</v>
      </c>
      <c r="B676" s="35" t="s">
        <v>27</v>
      </c>
      <c r="C676" s="36" t="s">
        <v>29</v>
      </c>
      <c r="D676" s="24">
        <v>111.87472502281344</v>
      </c>
      <c r="E676" s="24">
        <v>119.93276108001334</v>
      </c>
      <c r="F676" s="24">
        <v>128.86334081686113</v>
      </c>
      <c r="G676" s="24">
        <v>138.55694366147935</v>
      </c>
      <c r="H676" s="24">
        <v>149.0914650890989</v>
      </c>
      <c r="I676" s="24">
        <v>160.61155549317203</v>
      </c>
      <c r="J676" s="24">
        <v>173.14344905524311</v>
      </c>
      <c r="K676" s="24">
        <v>186.84845791297585</v>
      </c>
      <c r="L676" s="24">
        <v>201.92925384190235</v>
      </c>
      <c r="M676" s="24">
        <v>218.3892304346964</v>
      </c>
      <c r="N676" s="24">
        <v>236.46033309710597</v>
      </c>
      <c r="O676" s="24">
        <v>256.32731611376306</v>
      </c>
      <c r="P676" s="24">
        <v>278.31329372268686</v>
      </c>
      <c r="Q676" s="21"/>
      <c r="R676" s="21"/>
    </row>
    <row r="677" spans="1:18" x14ac:dyDescent="0.35">
      <c r="A677" s="39" t="s">
        <v>84</v>
      </c>
      <c r="B677" s="35" t="s">
        <v>27</v>
      </c>
      <c r="C677" s="36" t="s">
        <v>30</v>
      </c>
      <c r="D677" s="24">
        <v>97.180553085493159</v>
      </c>
      <c r="E677" s="24">
        <v>105.02061312926581</v>
      </c>
      <c r="F677" s="24">
        <v>113.52192127087267</v>
      </c>
      <c r="G677" s="24">
        <v>122.77748026595759</v>
      </c>
      <c r="H677" s="24">
        <v>132.89958524162273</v>
      </c>
      <c r="I677" s="24">
        <v>143.94966663399177</v>
      </c>
      <c r="J677" s="24">
        <v>155.95839323095097</v>
      </c>
      <c r="K677" s="24">
        <v>169.10871624912343</v>
      </c>
      <c r="L677" s="24">
        <v>183.63077288564691</v>
      </c>
      <c r="M677" s="24">
        <v>199.51812766788677</v>
      </c>
      <c r="N677" s="24">
        <v>217.04473907027602</v>
      </c>
      <c r="O677" s="24">
        <v>236.33459525673263</v>
      </c>
      <c r="P677" s="24">
        <v>257.5897155324281</v>
      </c>
      <c r="Q677" s="21"/>
      <c r="R677" s="21"/>
    </row>
    <row r="678" spans="1:18" x14ac:dyDescent="0.35">
      <c r="A678" s="39" t="s">
        <v>84</v>
      </c>
      <c r="B678" s="35" t="s">
        <v>27</v>
      </c>
      <c r="C678" s="36" t="s">
        <v>31</v>
      </c>
      <c r="D678" s="24">
        <v>79.344755026722552</v>
      </c>
      <c r="E678" s="24">
        <v>84.483187293332264</v>
      </c>
      <c r="F678" s="24">
        <v>90.170313254504862</v>
      </c>
      <c r="G678" s="24">
        <v>96.267227181465572</v>
      </c>
      <c r="H678" s="24">
        <v>102.82895123916694</v>
      </c>
      <c r="I678" s="24">
        <v>109.94589828762503</v>
      </c>
      <c r="J678" s="24">
        <v>117.74502625744815</v>
      </c>
      <c r="K678" s="24">
        <v>126.36219497220969</v>
      </c>
      <c r="L678" s="24">
        <v>135.72770177468408</v>
      </c>
      <c r="M678" s="24">
        <v>145.91630030200272</v>
      </c>
      <c r="N678" s="24">
        <v>157.15540563049561</v>
      </c>
      <c r="O678" s="24">
        <v>169.58037836699643</v>
      </c>
      <c r="P678" s="24">
        <v>183.3472161169164</v>
      </c>
      <c r="Q678" s="21"/>
      <c r="R678" s="21"/>
    </row>
    <row r="679" spans="1:18" x14ac:dyDescent="0.35">
      <c r="A679" s="39" t="s">
        <v>84</v>
      </c>
      <c r="B679" s="35" t="s">
        <v>27</v>
      </c>
      <c r="C679" s="36" t="s">
        <v>32</v>
      </c>
      <c r="D679" s="24">
        <v>44.124834805202319</v>
      </c>
      <c r="E679" s="24">
        <v>46.282779659149867</v>
      </c>
      <c r="F679" s="24">
        <v>48.659000293365985</v>
      </c>
      <c r="G679" s="24">
        <v>51.194233094915795</v>
      </c>
      <c r="H679" s="24">
        <v>53.902838106966179</v>
      </c>
      <c r="I679" s="24">
        <v>56.821501327220751</v>
      </c>
      <c r="J679" s="24">
        <v>59.941242424375844</v>
      </c>
      <c r="K679" s="24">
        <v>63.299882402765</v>
      </c>
      <c r="L679" s="24">
        <v>66.945291536684678</v>
      </c>
      <c r="M679" s="24">
        <v>70.854341916920561</v>
      </c>
      <c r="N679" s="24">
        <v>75.079057444355328</v>
      </c>
      <c r="O679" s="24">
        <v>79.651100435568026</v>
      </c>
      <c r="P679" s="24">
        <v>84.641336771650856</v>
      </c>
      <c r="Q679" s="21"/>
      <c r="R679" s="21"/>
    </row>
    <row r="680" spans="1:18" x14ac:dyDescent="0.35">
      <c r="A680" s="39" t="s">
        <v>84</v>
      </c>
      <c r="B680" s="35" t="s">
        <v>27</v>
      </c>
      <c r="C680" s="36" t="s">
        <v>33</v>
      </c>
      <c r="D680" s="24">
        <v>32.345193052103703</v>
      </c>
      <c r="E680" s="24">
        <v>34.265039473222885</v>
      </c>
      <c r="F680" s="24">
        <v>36.386413799401247</v>
      </c>
      <c r="G680" s="24">
        <v>38.649998989004786</v>
      </c>
      <c r="H680" s="24">
        <v>41.075504721303219</v>
      </c>
      <c r="I680" s="24">
        <v>43.69635202652011</v>
      </c>
      <c r="J680" s="24">
        <v>46.559780244577603</v>
      </c>
      <c r="K680" s="24">
        <v>49.715559436288132</v>
      </c>
      <c r="L680" s="24">
        <v>53.131538307781682</v>
      </c>
      <c r="M680" s="24">
        <v>56.832710730657084</v>
      </c>
      <c r="N680" s="24">
        <v>60.902979779847634</v>
      </c>
      <c r="O680" s="24">
        <v>65.388836644026739</v>
      </c>
      <c r="P680" s="24">
        <v>70.343733020292021</v>
      </c>
      <c r="Q680" s="21"/>
      <c r="R680" s="21"/>
    </row>
    <row r="681" spans="1:18" x14ac:dyDescent="0.35">
      <c r="A681" s="39" t="s">
        <v>84</v>
      </c>
      <c r="B681" s="35" t="s">
        <v>34</v>
      </c>
      <c r="C681" s="36" t="s">
        <v>35</v>
      </c>
      <c r="D681" s="24">
        <v>184.18277638240841</v>
      </c>
      <c r="E681" s="24">
        <v>193.5671823345196</v>
      </c>
      <c r="F681" s="24">
        <v>204.33957418587266</v>
      </c>
      <c r="G681" s="24">
        <v>215.47014142935365</v>
      </c>
      <c r="H681" s="24">
        <v>227.0367914544388</v>
      </c>
      <c r="I681" s="24">
        <v>239.35458178149906</v>
      </c>
      <c r="J681" s="24">
        <v>252.53537647197265</v>
      </c>
      <c r="K681" s="24">
        <v>267.86518662261835</v>
      </c>
      <c r="L681" s="24">
        <v>283.92368855318421</v>
      </c>
      <c r="M681" s="24">
        <v>301.55108230835276</v>
      </c>
      <c r="N681" s="24">
        <v>320.95910612675323</v>
      </c>
      <c r="O681" s="24">
        <v>342.70597317695069</v>
      </c>
      <c r="P681" s="24">
        <v>367.04500016371389</v>
      </c>
      <c r="Q681" s="21"/>
      <c r="R681" s="21"/>
    </row>
    <row r="682" spans="1:18" x14ac:dyDescent="0.35">
      <c r="A682" s="39" t="s">
        <v>84</v>
      </c>
      <c r="B682" s="35" t="s">
        <v>34</v>
      </c>
      <c r="C682" s="36" t="s">
        <v>36</v>
      </c>
      <c r="D682" s="24">
        <v>194.59710510360642</v>
      </c>
      <c r="E682" s="24">
        <v>209.45139976905853</v>
      </c>
      <c r="F682" s="24">
        <v>225.49691398654076</v>
      </c>
      <c r="G682" s="24">
        <v>242.90288970827467</v>
      </c>
      <c r="H682" s="24">
        <v>261.87386627779665</v>
      </c>
      <c r="I682" s="24">
        <v>282.51070122871022</v>
      </c>
      <c r="J682" s="24">
        <v>304.85206685959486</v>
      </c>
      <c r="K682" s="24">
        <v>329.23347106205694</v>
      </c>
      <c r="L682" s="24">
        <v>356.07669161149386</v>
      </c>
      <c r="M682" s="24">
        <v>385.33776469723557</v>
      </c>
      <c r="N682" s="24">
        <v>417.5146614273234</v>
      </c>
      <c r="O682" s="24">
        <v>452.80860087288562</v>
      </c>
      <c r="P682" s="24">
        <v>491.5667301114442</v>
      </c>
      <c r="Q682" s="14"/>
      <c r="R682" s="14"/>
    </row>
    <row r="683" spans="1:18" x14ac:dyDescent="0.35">
      <c r="A683" s="39" t="s">
        <v>84</v>
      </c>
      <c r="B683" s="35" t="s">
        <v>34</v>
      </c>
      <c r="C683" s="36" t="s">
        <v>37</v>
      </c>
      <c r="D683" s="24">
        <v>117.67988668636373</v>
      </c>
      <c r="E683" s="24">
        <v>125.45697685457245</v>
      </c>
      <c r="F683" s="24">
        <v>133.89101260570109</v>
      </c>
      <c r="G683" s="24">
        <v>142.98103116749181</v>
      </c>
      <c r="H683" s="24">
        <v>152.87657985863879</v>
      </c>
      <c r="I683" s="24">
        <v>163.67441364498569</v>
      </c>
      <c r="J683" s="24">
        <v>175.38026191475728</v>
      </c>
      <c r="K683" s="24">
        <v>188.30277060322598</v>
      </c>
      <c r="L683" s="24">
        <v>202.43181239830486</v>
      </c>
      <c r="M683" s="24">
        <v>217.80789720460808</v>
      </c>
      <c r="N683" s="24">
        <v>234.76627812893156</v>
      </c>
      <c r="O683" s="24">
        <v>253.2751030321391</v>
      </c>
      <c r="P683" s="24">
        <v>273.62485957747964</v>
      </c>
      <c r="Q683" s="14"/>
      <c r="R683" s="14"/>
    </row>
    <row r="684" spans="1:18" x14ac:dyDescent="0.35">
      <c r="A684" s="39" t="s">
        <v>84</v>
      </c>
      <c r="B684" s="35" t="s">
        <v>34</v>
      </c>
      <c r="C684" s="36" t="s">
        <v>38</v>
      </c>
      <c r="D684" s="24">
        <v>46.330513459755217</v>
      </c>
      <c r="E684" s="24">
        <v>49.197338235688491</v>
      </c>
      <c r="F684" s="24">
        <v>52.289359938232103</v>
      </c>
      <c r="G684" s="24">
        <v>55.608966104254357</v>
      </c>
      <c r="H684" s="24">
        <v>59.159941953549357</v>
      </c>
      <c r="I684" s="24">
        <v>62.979198220661907</v>
      </c>
      <c r="J684" s="24">
        <v>67.141625393577357</v>
      </c>
      <c r="K684" s="24">
        <v>71.643008069851916</v>
      </c>
      <c r="L684" s="24">
        <v>76.540243321721604</v>
      </c>
      <c r="M684" s="24">
        <v>81.850275216790166</v>
      </c>
      <c r="N684" s="24">
        <v>87.585731053952415</v>
      </c>
      <c r="O684" s="24">
        <v>93.848856874707991</v>
      </c>
      <c r="P684" s="24">
        <v>100.70008743464977</v>
      </c>
      <c r="Q684" s="14"/>
      <c r="R684" s="14"/>
    </row>
    <row r="685" spans="1:18" x14ac:dyDescent="0.35">
      <c r="A685" s="39" t="s">
        <v>84</v>
      </c>
      <c r="B685" s="35" t="s">
        <v>22</v>
      </c>
      <c r="C685" s="36" t="s">
        <v>39</v>
      </c>
      <c r="D685" s="24">
        <v>139.22074014776069</v>
      </c>
      <c r="E685" s="24">
        <v>148.49672723732306</v>
      </c>
      <c r="F685" s="24">
        <v>158.54459829130121</v>
      </c>
      <c r="G685" s="24">
        <v>169.01199311462699</v>
      </c>
      <c r="H685" s="24">
        <v>180.07333042496248</v>
      </c>
      <c r="I685" s="24">
        <v>191.97082832258877</v>
      </c>
      <c r="J685" s="24">
        <v>204.68366221899157</v>
      </c>
      <c r="K685" s="24">
        <v>219.69365821047757</v>
      </c>
      <c r="L685" s="24">
        <v>235.65912422009728</v>
      </c>
      <c r="M685" s="24">
        <v>253.07119410485348</v>
      </c>
      <c r="N685" s="24">
        <v>272.64511697093235</v>
      </c>
      <c r="O685" s="24">
        <v>294.74681072937915</v>
      </c>
      <c r="P685" s="24">
        <v>319.16947677077337</v>
      </c>
      <c r="Q685" s="14"/>
      <c r="R685" s="14"/>
    </row>
    <row r="686" spans="1:18" x14ac:dyDescent="0.35">
      <c r="A686" s="39" t="s">
        <v>84</v>
      </c>
      <c r="B686" s="35" t="s">
        <v>22</v>
      </c>
      <c r="C686" s="36" t="s">
        <v>40</v>
      </c>
      <c r="D686" s="24">
        <v>134.87072282868482</v>
      </c>
      <c r="E686" s="24">
        <v>142.67592686554497</v>
      </c>
      <c r="F686" s="24">
        <v>151.50406360141196</v>
      </c>
      <c r="G686" s="24">
        <v>160.98701185634621</v>
      </c>
      <c r="H686" s="24">
        <v>171.24139596270268</v>
      </c>
      <c r="I686" s="24">
        <v>182.29135651094461</v>
      </c>
      <c r="J686" s="24">
        <v>194.24390122003919</v>
      </c>
      <c r="K686" s="24">
        <v>207.33095729348327</v>
      </c>
      <c r="L686" s="24">
        <v>221.45481487641612</v>
      </c>
      <c r="M686" s="24">
        <v>236.88214314382864</v>
      </c>
      <c r="N686" s="24">
        <v>253.57226544185571</v>
      </c>
      <c r="O686" s="24">
        <v>271.74792861802661</v>
      </c>
      <c r="P686" s="24">
        <v>291.80186622044988</v>
      </c>
      <c r="Q686" s="14"/>
      <c r="R686" s="14"/>
    </row>
    <row r="687" spans="1:18" x14ac:dyDescent="0.35">
      <c r="A687" s="39" t="s">
        <v>84</v>
      </c>
      <c r="B687" s="35" t="s">
        <v>22</v>
      </c>
      <c r="C687" s="36" t="s">
        <v>41</v>
      </c>
      <c r="D687" s="24">
        <v>105.93548461331127</v>
      </c>
      <c r="E687" s="24">
        <v>111.89369830078506</v>
      </c>
      <c r="F687" s="24">
        <v>118.23136601353168</v>
      </c>
      <c r="G687" s="24">
        <v>124.96670720540358</v>
      </c>
      <c r="H687" s="24">
        <v>132.12854334412387</v>
      </c>
      <c r="I687" s="24">
        <v>139.7864776683769</v>
      </c>
      <c r="J687" s="24">
        <v>148.04415068555954</v>
      </c>
      <c r="K687" s="24">
        <v>156.87498309558936</v>
      </c>
      <c r="L687" s="24">
        <v>166.46671056736872</v>
      </c>
      <c r="M687" s="24">
        <v>176.90602533031591</v>
      </c>
      <c r="N687" s="24">
        <v>188.2321594567189</v>
      </c>
      <c r="O687" s="24">
        <v>200.41067884969269</v>
      </c>
      <c r="P687" s="24">
        <v>213.72787543515773</v>
      </c>
      <c r="Q687" s="14"/>
      <c r="R687" s="14"/>
    </row>
    <row r="688" spans="1:18" x14ac:dyDescent="0.35">
      <c r="A688" s="39" t="s">
        <v>84</v>
      </c>
      <c r="B688" s="35" t="s">
        <v>22</v>
      </c>
      <c r="C688" s="36" t="s">
        <v>42</v>
      </c>
      <c r="D688" s="24">
        <v>162.76333404237698</v>
      </c>
      <c r="E688" s="24">
        <v>174.60654479018598</v>
      </c>
      <c r="F688" s="24">
        <v>187.73683281010176</v>
      </c>
      <c r="G688" s="24">
        <v>201.99731623299775</v>
      </c>
      <c r="H688" s="24">
        <v>217.50390981263465</v>
      </c>
      <c r="I688" s="24">
        <v>234.4702323739466</v>
      </c>
      <c r="J688" s="24">
        <v>252.93761651531184</v>
      </c>
      <c r="K688" s="24">
        <v>273.14483775820298</v>
      </c>
      <c r="L688" s="24">
        <v>295.39178622082238</v>
      </c>
      <c r="M688" s="24">
        <v>319.68765684798842</v>
      </c>
      <c r="N688" s="24">
        <v>346.37623486745349</v>
      </c>
      <c r="O688" s="24">
        <v>375.73311575958502</v>
      </c>
      <c r="P688" s="24">
        <v>408.23745886090654</v>
      </c>
      <c r="Q688" s="14"/>
      <c r="R688" s="14"/>
    </row>
    <row r="689" spans="1:18" x14ac:dyDescent="0.35">
      <c r="A689" s="39" t="s">
        <v>85</v>
      </c>
      <c r="B689" s="35" t="s">
        <v>24</v>
      </c>
      <c r="C689" s="36" t="s">
        <v>25</v>
      </c>
      <c r="D689" s="24">
        <v>11.810582614209645</v>
      </c>
      <c r="E689" s="24">
        <v>12.047503544819895</v>
      </c>
      <c r="F689" s="24">
        <v>12.318186295324281</v>
      </c>
      <c r="G689" s="24">
        <v>12.60203096530814</v>
      </c>
      <c r="H689" s="24">
        <v>12.901248905880326</v>
      </c>
      <c r="I689" s="24">
        <v>13.214088920121817</v>
      </c>
      <c r="J689" s="24">
        <v>13.538729693534689</v>
      </c>
      <c r="K689" s="24">
        <v>13.87822691072855</v>
      </c>
      <c r="L689" s="24">
        <v>14.240772090648528</v>
      </c>
      <c r="M689" s="24">
        <v>14.632285645167288</v>
      </c>
      <c r="N689" s="24">
        <v>15.047070219110651</v>
      </c>
      <c r="O689" s="24">
        <v>15.482403179346848</v>
      </c>
      <c r="P689" s="24">
        <v>15.944240022814009</v>
      </c>
      <c r="Q689" s="21"/>
      <c r="R689" s="21"/>
    </row>
    <row r="690" spans="1:18" x14ac:dyDescent="0.35">
      <c r="A690" s="39" t="s">
        <v>85</v>
      </c>
      <c r="B690" s="35" t="s">
        <v>24</v>
      </c>
      <c r="C690" s="36" t="s">
        <v>26</v>
      </c>
      <c r="D690" s="24">
        <v>112.64175634116116</v>
      </c>
      <c r="E690" s="24">
        <v>115.25495268646551</v>
      </c>
      <c r="F690" s="24">
        <v>118.39021955217989</v>
      </c>
      <c r="G690" s="24">
        <v>121.69561220678999</v>
      </c>
      <c r="H690" s="24">
        <v>125.22775436906961</v>
      </c>
      <c r="I690" s="24">
        <v>128.9665534709352</v>
      </c>
      <c r="J690" s="24">
        <v>132.95107725890043</v>
      </c>
      <c r="K690" s="24">
        <v>137.29881445206223</v>
      </c>
      <c r="L690" s="24">
        <v>141.89142070346963</v>
      </c>
      <c r="M690" s="24">
        <v>146.85634108383368</v>
      </c>
      <c r="N690" s="24">
        <v>152.11158489640894</v>
      </c>
      <c r="O690" s="24">
        <v>157.74060645057676</v>
      </c>
      <c r="P690" s="24">
        <v>163.91197675482226</v>
      </c>
      <c r="Q690" s="21"/>
      <c r="R690" s="21"/>
    </row>
    <row r="691" spans="1:18" x14ac:dyDescent="0.35">
      <c r="A691" s="39" t="s">
        <v>85</v>
      </c>
      <c r="B691" s="35" t="s">
        <v>27</v>
      </c>
      <c r="C691" s="36" t="s">
        <v>28</v>
      </c>
      <c r="D691" s="24">
        <v>47.346802308035933</v>
      </c>
      <c r="E691" s="24">
        <v>47.778350192802691</v>
      </c>
      <c r="F691" s="24">
        <v>48.551051430374031</v>
      </c>
      <c r="G691" s="24">
        <v>49.355045247099071</v>
      </c>
      <c r="H691" s="24">
        <v>50.251331391426788</v>
      </c>
      <c r="I691" s="24">
        <v>51.192309184249012</v>
      </c>
      <c r="J691" s="24">
        <v>52.192429706308602</v>
      </c>
      <c r="K691" s="24">
        <v>53.360857733759929</v>
      </c>
      <c r="L691" s="24">
        <v>54.540605135267725</v>
      </c>
      <c r="M691" s="24">
        <v>55.844968227940228</v>
      </c>
      <c r="N691" s="24">
        <v>57.200746689358837</v>
      </c>
      <c r="O691" s="24">
        <v>58.644103618250568</v>
      </c>
      <c r="P691" s="24">
        <v>60.311479210044126</v>
      </c>
      <c r="Q691" s="21"/>
      <c r="R691" s="21"/>
    </row>
    <row r="692" spans="1:18" x14ac:dyDescent="0.35">
      <c r="A692" s="39" t="s">
        <v>85</v>
      </c>
      <c r="B692" s="35" t="s">
        <v>27</v>
      </c>
      <c r="C692" s="36" t="s">
        <v>29</v>
      </c>
      <c r="D692" s="24">
        <v>25.795047572778248</v>
      </c>
      <c r="E692" s="24">
        <v>26.704691058446642</v>
      </c>
      <c r="F692" s="24">
        <v>27.710714658265001</v>
      </c>
      <c r="G692" s="24">
        <v>28.770564878410696</v>
      </c>
      <c r="H692" s="24">
        <v>29.891116308699171</v>
      </c>
      <c r="I692" s="24">
        <v>31.070411428129628</v>
      </c>
      <c r="J692" s="24">
        <v>32.30614351650059</v>
      </c>
      <c r="K692" s="24">
        <v>33.607441969244682</v>
      </c>
      <c r="L692" s="24">
        <v>34.996354231052742</v>
      </c>
      <c r="M692" s="24">
        <v>36.490581419078104</v>
      </c>
      <c r="N692" s="24">
        <v>38.079798455709742</v>
      </c>
      <c r="O692" s="24">
        <v>39.76047413257151</v>
      </c>
      <c r="P692" s="24">
        <v>41.551047508329098</v>
      </c>
      <c r="Q692" s="21"/>
      <c r="R692" s="21"/>
    </row>
    <row r="693" spans="1:18" x14ac:dyDescent="0.35">
      <c r="A693" s="39" t="s">
        <v>85</v>
      </c>
      <c r="B693" s="35" t="s">
        <v>27</v>
      </c>
      <c r="C693" s="36" t="s">
        <v>30</v>
      </c>
      <c r="D693" s="24">
        <v>21.579492095148812</v>
      </c>
      <c r="E693" s="24">
        <v>22.440661594529086</v>
      </c>
      <c r="F693" s="24">
        <v>23.358002971583829</v>
      </c>
      <c r="G693" s="24">
        <v>24.327698187732562</v>
      </c>
      <c r="H693" s="24">
        <v>25.346672100953317</v>
      </c>
      <c r="I693" s="24">
        <v>26.426118763437255</v>
      </c>
      <c r="J693" s="24">
        <v>27.59207244289955</v>
      </c>
      <c r="K693" s="24">
        <v>28.835709646437241</v>
      </c>
      <c r="L693" s="24">
        <v>30.173261142733594</v>
      </c>
      <c r="M693" s="24">
        <v>31.603620110374468</v>
      </c>
      <c r="N693" s="24">
        <v>33.123807811400312</v>
      </c>
      <c r="O693" s="24">
        <v>34.764684518049201</v>
      </c>
      <c r="P693" s="24">
        <v>36.538795155953046</v>
      </c>
      <c r="Q693" s="21"/>
      <c r="R693" s="21"/>
    </row>
    <row r="694" spans="1:18" x14ac:dyDescent="0.35">
      <c r="A694" s="39" t="s">
        <v>85</v>
      </c>
      <c r="B694" s="35" t="s">
        <v>27</v>
      </c>
      <c r="C694" s="36" t="s">
        <v>31</v>
      </c>
      <c r="D694" s="24">
        <v>14.019132713647808</v>
      </c>
      <c r="E694" s="24">
        <v>14.425906553347497</v>
      </c>
      <c r="F694" s="24">
        <v>14.858500666427707</v>
      </c>
      <c r="G694" s="24">
        <v>15.31351621416157</v>
      </c>
      <c r="H694" s="24">
        <v>15.788145074326781</v>
      </c>
      <c r="I694" s="24">
        <v>16.288567487373736</v>
      </c>
      <c r="J694" s="24">
        <v>16.829837143068438</v>
      </c>
      <c r="K694" s="24">
        <v>17.405098454296468</v>
      </c>
      <c r="L694" s="24">
        <v>18.022875363044804</v>
      </c>
      <c r="M694" s="24">
        <v>18.680955876058199</v>
      </c>
      <c r="N694" s="24">
        <v>19.376082997725877</v>
      </c>
      <c r="O694" s="24">
        <v>20.124899953650814</v>
      </c>
      <c r="P694" s="24">
        <v>20.932728572674105</v>
      </c>
      <c r="Q694" s="21"/>
      <c r="R694" s="21"/>
    </row>
    <row r="695" spans="1:18" x14ac:dyDescent="0.35">
      <c r="A695" s="39" t="s">
        <v>85</v>
      </c>
      <c r="B695" s="35" t="s">
        <v>27</v>
      </c>
      <c r="C695" s="36" t="s">
        <v>32</v>
      </c>
      <c r="D695" s="24">
        <v>9.0854466229551729</v>
      </c>
      <c r="E695" s="24">
        <v>9.2139366660581814</v>
      </c>
      <c r="F695" s="24">
        <v>9.3664300970101912</v>
      </c>
      <c r="G695" s="24">
        <v>9.5268309654380268</v>
      </c>
      <c r="H695" s="24">
        <v>9.6966560299014866</v>
      </c>
      <c r="I695" s="24">
        <v>9.8744070246830784</v>
      </c>
      <c r="J695" s="24">
        <v>10.058565938045154</v>
      </c>
      <c r="K695" s="24">
        <v>10.251271468333035</v>
      </c>
      <c r="L695" s="24">
        <v>10.458405121590641</v>
      </c>
      <c r="M695" s="24">
        <v>10.684042982232652</v>
      </c>
      <c r="N695" s="24">
        <v>10.923681417338555</v>
      </c>
      <c r="O695" s="24">
        <v>11.175076380076465</v>
      </c>
      <c r="P695" s="24">
        <v>11.442296354738344</v>
      </c>
      <c r="Q695" s="21"/>
      <c r="R695" s="21"/>
    </row>
    <row r="696" spans="1:18" x14ac:dyDescent="0.35">
      <c r="A696" s="39" t="s">
        <v>85</v>
      </c>
      <c r="B696" s="35" t="s">
        <v>27</v>
      </c>
      <c r="C696" s="36" t="s">
        <v>33</v>
      </c>
      <c r="D696" s="24">
        <v>6.6264176428048458</v>
      </c>
      <c r="E696" s="24">
        <v>6.738910166101312</v>
      </c>
      <c r="F696" s="24">
        <v>6.8637060238434113</v>
      </c>
      <c r="G696" s="24">
        <v>7.0039876792562081</v>
      </c>
      <c r="H696" s="24">
        <v>7.1550823696424057</v>
      </c>
      <c r="I696" s="24">
        <v>7.3288285031843028</v>
      </c>
      <c r="J696" s="24">
        <v>7.510758205612782</v>
      </c>
      <c r="K696" s="24">
        <v>7.7166620907194456</v>
      </c>
      <c r="L696" s="24">
        <v>7.9406918004286595</v>
      </c>
      <c r="M696" s="24">
        <v>8.1844581133173051</v>
      </c>
      <c r="N696" s="24">
        <v>8.454537743986279</v>
      </c>
      <c r="O696" s="24">
        <v>8.7537710273250546</v>
      </c>
      <c r="P696" s="24">
        <v>9.0798699758975427</v>
      </c>
      <c r="Q696" s="21"/>
      <c r="R696" s="21"/>
    </row>
    <row r="697" spans="1:18" x14ac:dyDescent="0.35">
      <c r="A697" s="39" t="s">
        <v>85</v>
      </c>
      <c r="B697" s="35" t="s">
        <v>34</v>
      </c>
      <c r="C697" s="36" t="s">
        <v>35</v>
      </c>
      <c r="D697" s="24">
        <v>39.879698236460499</v>
      </c>
      <c r="E697" s="24">
        <v>40.331966715653138</v>
      </c>
      <c r="F697" s="24">
        <v>41.137910462294812</v>
      </c>
      <c r="G697" s="24">
        <v>41.987729456004473</v>
      </c>
      <c r="H697" s="24">
        <v>42.875242616544455</v>
      </c>
      <c r="I697" s="24">
        <v>43.759291624824158</v>
      </c>
      <c r="J697" s="24">
        <v>44.70438454886586</v>
      </c>
      <c r="K697" s="24">
        <v>45.695105585882033</v>
      </c>
      <c r="L697" s="24">
        <v>46.683030543440708</v>
      </c>
      <c r="M697" s="24">
        <v>47.811339101979726</v>
      </c>
      <c r="N697" s="24">
        <v>48.887107058042545</v>
      </c>
      <c r="O697" s="24">
        <v>50.049635089953952</v>
      </c>
      <c r="P697" s="24">
        <v>51.380585002624997</v>
      </c>
      <c r="Q697" s="21"/>
      <c r="R697" s="21"/>
    </row>
    <row r="698" spans="1:18" x14ac:dyDescent="0.35">
      <c r="A698" s="39" t="s">
        <v>85</v>
      </c>
      <c r="B698" s="35" t="s">
        <v>34</v>
      </c>
      <c r="C698" s="36" t="s">
        <v>36</v>
      </c>
      <c r="D698" s="24">
        <v>44.10383744461992</v>
      </c>
      <c r="E698" s="24">
        <v>45.533891586277306</v>
      </c>
      <c r="F698" s="24">
        <v>47.062209455171406</v>
      </c>
      <c r="G698" s="24">
        <v>48.673104751365535</v>
      </c>
      <c r="H698" s="24">
        <v>50.403273295029237</v>
      </c>
      <c r="I698" s="24">
        <v>52.26662873533936</v>
      </c>
      <c r="J698" s="24">
        <v>54.245286161288185</v>
      </c>
      <c r="K698" s="24">
        <v>56.416219609953508</v>
      </c>
      <c r="L698" s="24">
        <v>58.750244458400253</v>
      </c>
      <c r="M698" s="24">
        <v>61.235071016648213</v>
      </c>
      <c r="N698" s="24">
        <v>63.941491691080593</v>
      </c>
      <c r="O698" s="24">
        <v>66.830192567800097</v>
      </c>
      <c r="P698" s="24">
        <v>69.950115919879565</v>
      </c>
      <c r="Q698" s="14"/>
      <c r="R698" s="14"/>
    </row>
    <row r="699" spans="1:18" x14ac:dyDescent="0.35">
      <c r="A699" s="39" t="s">
        <v>85</v>
      </c>
      <c r="B699" s="35" t="s">
        <v>34</v>
      </c>
      <c r="C699" s="36" t="s">
        <v>37</v>
      </c>
      <c r="D699" s="24">
        <v>29.165621346524762</v>
      </c>
      <c r="E699" s="24">
        <v>29.931428240343742</v>
      </c>
      <c r="F699" s="24">
        <v>30.751455686954774</v>
      </c>
      <c r="G699" s="24">
        <v>31.614388570243872</v>
      </c>
      <c r="H699" s="24">
        <v>32.54319317157821</v>
      </c>
      <c r="I699" s="24">
        <v>33.545569226546505</v>
      </c>
      <c r="J699" s="24">
        <v>34.608610230141387</v>
      </c>
      <c r="K699" s="24">
        <v>35.780220745464007</v>
      </c>
      <c r="L699" s="24">
        <v>37.039827241213708</v>
      </c>
      <c r="M699" s="24">
        <v>38.377972913787382</v>
      </c>
      <c r="N699" s="24">
        <v>39.837475706597147</v>
      </c>
      <c r="O699" s="24">
        <v>41.391524449183571</v>
      </c>
      <c r="P699" s="24">
        <v>43.068576821456922</v>
      </c>
      <c r="Q699" s="14"/>
      <c r="R699" s="14"/>
    </row>
    <row r="700" spans="1:18" x14ac:dyDescent="0.35">
      <c r="A700" s="39" t="s">
        <v>85</v>
      </c>
      <c r="B700" s="35" t="s">
        <v>34</v>
      </c>
      <c r="C700" s="36" t="s">
        <v>38</v>
      </c>
      <c r="D700" s="24">
        <v>11.303181927765623</v>
      </c>
      <c r="E700" s="24">
        <v>11.505169689011215</v>
      </c>
      <c r="F700" s="24">
        <v>11.756830243083174</v>
      </c>
      <c r="G700" s="24">
        <v>12.022420394484254</v>
      </c>
      <c r="H700" s="24">
        <v>12.307294191798043</v>
      </c>
      <c r="I700" s="24">
        <v>12.609152804346998</v>
      </c>
      <c r="J700" s="24">
        <v>12.931526012139685</v>
      </c>
      <c r="K700" s="24">
        <v>13.285495421491245</v>
      </c>
      <c r="L700" s="24">
        <v>13.659090551063503</v>
      </c>
      <c r="M700" s="24">
        <v>14.064243696585653</v>
      </c>
      <c r="N700" s="24">
        <v>14.492580659799296</v>
      </c>
      <c r="O700" s="24">
        <v>14.951657522986</v>
      </c>
      <c r="P700" s="24">
        <v>15.456939033674795</v>
      </c>
      <c r="Q700" s="14"/>
      <c r="R700" s="14"/>
    </row>
    <row r="701" spans="1:18" x14ac:dyDescent="0.35">
      <c r="A701" s="39" t="s">
        <v>85</v>
      </c>
      <c r="B701" s="35" t="s">
        <v>22</v>
      </c>
      <c r="C701" s="36" t="s">
        <v>39</v>
      </c>
      <c r="D701" s="24">
        <v>32.692228279020327</v>
      </c>
      <c r="E701" s="24">
        <v>33.129193369838433</v>
      </c>
      <c r="F701" s="24">
        <v>33.986836943275733</v>
      </c>
      <c r="G701" s="24">
        <v>34.89262170781717</v>
      </c>
      <c r="H701" s="24">
        <v>35.899727951159491</v>
      </c>
      <c r="I701" s="24">
        <v>36.967426530870938</v>
      </c>
      <c r="J701" s="24">
        <v>38.092726595864718</v>
      </c>
      <c r="K701" s="24">
        <v>39.392193799858745</v>
      </c>
      <c r="L701" s="24">
        <v>40.68801925508879</v>
      </c>
      <c r="M701" s="24">
        <v>42.159001927256696</v>
      </c>
      <c r="N701" s="24">
        <v>43.688945514694737</v>
      </c>
      <c r="O701" s="24">
        <v>45.306213833313649</v>
      </c>
      <c r="P701" s="24">
        <v>47.157612027971624</v>
      </c>
      <c r="Q701" s="14"/>
      <c r="R701" s="14"/>
    </row>
    <row r="702" spans="1:18" x14ac:dyDescent="0.35">
      <c r="A702" s="39" t="s">
        <v>85</v>
      </c>
      <c r="B702" s="35" t="s">
        <v>22</v>
      </c>
      <c r="C702" s="36" t="s">
        <v>40</v>
      </c>
      <c r="D702" s="24">
        <v>32.569574425040962</v>
      </c>
      <c r="E702" s="24">
        <v>33.289835926888827</v>
      </c>
      <c r="F702" s="24">
        <v>34.058373016681955</v>
      </c>
      <c r="G702" s="24">
        <v>34.866311787838384</v>
      </c>
      <c r="H702" s="24">
        <v>35.70634734657456</v>
      </c>
      <c r="I702" s="24">
        <v>36.591686811367865</v>
      </c>
      <c r="J702" s="24">
        <v>37.555108016203697</v>
      </c>
      <c r="K702" s="24">
        <v>38.579610169877824</v>
      </c>
      <c r="L702" s="24">
        <v>39.682715015813208</v>
      </c>
      <c r="M702" s="24">
        <v>40.857821587722007</v>
      </c>
      <c r="N702" s="24">
        <v>42.096197576687409</v>
      </c>
      <c r="O702" s="24">
        <v>43.432557643646518</v>
      </c>
      <c r="P702" s="24">
        <v>44.87624203892566</v>
      </c>
      <c r="Q702" s="14"/>
      <c r="R702" s="14"/>
    </row>
    <row r="703" spans="1:18" x14ac:dyDescent="0.35">
      <c r="A703" s="39" t="s">
        <v>85</v>
      </c>
      <c r="B703" s="35" t="s">
        <v>22</v>
      </c>
      <c r="C703" s="36" t="s">
        <v>41</v>
      </c>
      <c r="D703" s="24">
        <v>21.871776404817886</v>
      </c>
      <c r="E703" s="24">
        <v>22.202638267474626</v>
      </c>
      <c r="F703" s="24">
        <v>22.560079224449463</v>
      </c>
      <c r="G703" s="24">
        <v>22.937621470723762</v>
      </c>
      <c r="H703" s="24">
        <v>23.329988653139047</v>
      </c>
      <c r="I703" s="24">
        <v>23.745444627003209</v>
      </c>
      <c r="J703" s="24">
        <v>24.204723231363818</v>
      </c>
      <c r="K703" s="24">
        <v>24.695903884788038</v>
      </c>
      <c r="L703" s="24">
        <v>25.229477209178196</v>
      </c>
      <c r="M703" s="24">
        <v>25.800302888648474</v>
      </c>
      <c r="N703" s="24">
        <v>26.402022471848923</v>
      </c>
      <c r="O703" s="24">
        <v>27.055688469061469</v>
      </c>
      <c r="P703" s="24">
        <v>27.765967230758019</v>
      </c>
      <c r="Q703" s="14"/>
      <c r="R703" s="14"/>
    </row>
    <row r="704" spans="1:18" x14ac:dyDescent="0.35">
      <c r="A704" s="39" t="s">
        <v>85</v>
      </c>
      <c r="B704" s="35" t="s">
        <v>22</v>
      </c>
      <c r="C704" s="36" t="s">
        <v>42</v>
      </c>
      <c r="D704" s="24">
        <v>37.318759846491638</v>
      </c>
      <c r="E704" s="24">
        <v>38.680788667083512</v>
      </c>
      <c r="F704" s="24">
        <v>40.103116663097019</v>
      </c>
      <c r="G704" s="24">
        <v>41.601088205718824</v>
      </c>
      <c r="H704" s="24">
        <v>43.192939324076846</v>
      </c>
      <c r="I704" s="24">
        <v>44.876084421814987</v>
      </c>
      <c r="J704" s="24">
        <v>46.637249109002873</v>
      </c>
      <c r="K704" s="24">
        <v>48.509333508266188</v>
      </c>
      <c r="L704" s="24">
        <v>50.531981314037978</v>
      </c>
      <c r="M704" s="24">
        <v>52.671500325373792</v>
      </c>
      <c r="N704" s="24">
        <v>54.971489552288531</v>
      </c>
      <c r="O704" s="24">
        <v>57.428549683901984</v>
      </c>
      <c r="P704" s="24">
        <v>60.056395479980964</v>
      </c>
      <c r="Q704" s="14"/>
      <c r="R704" s="14"/>
    </row>
    <row r="705" spans="1:18" x14ac:dyDescent="0.35">
      <c r="A705" s="37" t="s">
        <v>46</v>
      </c>
      <c r="B705" s="35" t="s">
        <v>24</v>
      </c>
      <c r="C705" s="36" t="s">
        <v>25</v>
      </c>
      <c r="D705" s="24">
        <v>54.642658219145289</v>
      </c>
      <c r="E705" s="24">
        <v>58.260037439532724</v>
      </c>
      <c r="F705" s="24">
        <v>62.158822194760184</v>
      </c>
      <c r="G705" s="24">
        <v>66.354994544492513</v>
      </c>
      <c r="H705" s="24">
        <v>70.892525471982083</v>
      </c>
      <c r="I705" s="24">
        <v>75.787861252674119</v>
      </c>
      <c r="J705" s="24">
        <v>81.043394927339335</v>
      </c>
      <c r="K705" s="24">
        <v>86.730326132152783</v>
      </c>
      <c r="L705" s="24">
        <v>92.943121544682626</v>
      </c>
      <c r="M705" s="24">
        <v>99.67486461373656</v>
      </c>
      <c r="N705" s="24">
        <v>107.01793935681565</v>
      </c>
      <c r="O705" s="24">
        <v>115.00382842627953</v>
      </c>
      <c r="P705" s="24">
        <v>123.70513690125</v>
      </c>
      <c r="Q705" s="14"/>
      <c r="R705" s="14"/>
    </row>
    <row r="706" spans="1:18" x14ac:dyDescent="0.35">
      <c r="A706" s="37" t="s">
        <v>46</v>
      </c>
      <c r="B706" s="35" t="s">
        <v>24</v>
      </c>
      <c r="C706" s="36" t="s">
        <v>26</v>
      </c>
      <c r="D706" s="24">
        <v>510.9404584117068</v>
      </c>
      <c r="E706" s="24">
        <v>547.71516872828363</v>
      </c>
      <c r="F706" s="24">
        <v>588.48465233284537</v>
      </c>
      <c r="G706" s="24">
        <v>632.60345528905509</v>
      </c>
      <c r="H706" s="24">
        <v>680.46523890269157</v>
      </c>
      <c r="I706" s="24">
        <v>732.38574171801531</v>
      </c>
      <c r="J706" s="24">
        <v>788.73411397031521</v>
      </c>
      <c r="K706" s="24">
        <v>850.1196495810899</v>
      </c>
      <c r="L706" s="24">
        <v>917.16059547923146</v>
      </c>
      <c r="M706" s="24">
        <v>990.67313394428993</v>
      </c>
      <c r="N706" s="24">
        <v>1071.1618537639486</v>
      </c>
      <c r="O706" s="24">
        <v>1159.1452477136486</v>
      </c>
      <c r="P706" s="24">
        <v>1255.6933880861568</v>
      </c>
      <c r="Q706" s="14"/>
      <c r="R706" s="14"/>
    </row>
    <row r="707" spans="1:18" x14ac:dyDescent="0.35">
      <c r="A707" s="37" t="s">
        <v>46</v>
      </c>
      <c r="B707" s="35" t="s">
        <v>27</v>
      </c>
      <c r="C707" s="36" t="s">
        <v>28</v>
      </c>
      <c r="D707" s="24">
        <v>199.31236179687312</v>
      </c>
      <c r="E707" s="24">
        <v>212.44896327224515</v>
      </c>
      <c r="F707" s="24">
        <v>227.2434548753842</v>
      </c>
      <c r="G707" s="24">
        <v>243.07525335153028</v>
      </c>
      <c r="H707" s="24">
        <v>260.08225008788929</v>
      </c>
      <c r="I707" s="24">
        <v>278.14799495194097</v>
      </c>
      <c r="J707" s="24">
        <v>297.42395574993122</v>
      </c>
      <c r="K707" s="24">
        <v>317.78198272083932</v>
      </c>
      <c r="L707" s="24">
        <v>339.65529690998682</v>
      </c>
      <c r="M707" s="24">
        <v>363.471888123599</v>
      </c>
      <c r="N707" s="24">
        <v>389.03007362222382</v>
      </c>
      <c r="O707" s="24">
        <v>416.27498875624548</v>
      </c>
      <c r="P707" s="24">
        <v>445.45350601282297</v>
      </c>
      <c r="Q707" s="14"/>
      <c r="R707" s="14"/>
    </row>
    <row r="708" spans="1:18" x14ac:dyDescent="0.35">
      <c r="A708" s="37" t="s">
        <v>46</v>
      </c>
      <c r="B708" s="35" t="s">
        <v>27</v>
      </c>
      <c r="C708" s="36" t="s">
        <v>29</v>
      </c>
      <c r="D708" s="24">
        <v>118.32558686004595</v>
      </c>
      <c r="E708" s="24">
        <v>127.75936918280809</v>
      </c>
      <c r="F708" s="24">
        <v>138.07621747102479</v>
      </c>
      <c r="G708" s="24">
        <v>149.31715332906967</v>
      </c>
      <c r="H708" s="24">
        <v>161.56058325946225</v>
      </c>
      <c r="I708" s="24">
        <v>174.94765886308326</v>
      </c>
      <c r="J708" s="24">
        <v>189.69115406692021</v>
      </c>
      <c r="K708" s="24">
        <v>205.90707969019411</v>
      </c>
      <c r="L708" s="24">
        <v>223.78325224447232</v>
      </c>
      <c r="M708" s="24">
        <v>243.43741581316172</v>
      </c>
      <c r="N708" s="24">
        <v>265.04874047425591</v>
      </c>
      <c r="O708" s="24">
        <v>288.93705298168248</v>
      </c>
      <c r="P708" s="24">
        <v>315.41325536061066</v>
      </c>
      <c r="Q708" s="14"/>
      <c r="R708" s="14"/>
    </row>
    <row r="709" spans="1:18" x14ac:dyDescent="0.35">
      <c r="A709" s="37" t="s">
        <v>46</v>
      </c>
      <c r="B709" s="35" t="s">
        <v>27</v>
      </c>
      <c r="C709" s="36" t="s">
        <v>30</v>
      </c>
      <c r="D709" s="24">
        <v>95.418598186405106</v>
      </c>
      <c r="E709" s="24">
        <v>103.38040933517286</v>
      </c>
      <c r="F709" s="24">
        <v>112.10382865700009</v>
      </c>
      <c r="G709" s="24">
        <v>121.63613737626584</v>
      </c>
      <c r="H709" s="24">
        <v>132.12833330002047</v>
      </c>
      <c r="I709" s="24">
        <v>143.69224309563293</v>
      </c>
      <c r="J709" s="24">
        <v>156.37656576366868</v>
      </c>
      <c r="K709" s="24">
        <v>170.47485693361904</v>
      </c>
      <c r="L709" s="24">
        <v>186.08407349651014</v>
      </c>
      <c r="M709" s="24">
        <v>203.28435942364561</v>
      </c>
      <c r="N709" s="24">
        <v>222.43708200605332</v>
      </c>
      <c r="O709" s="24">
        <v>243.61737504699386</v>
      </c>
      <c r="P709" s="24">
        <v>267.16032454371208</v>
      </c>
      <c r="Q709" s="14"/>
      <c r="R709" s="14"/>
    </row>
    <row r="710" spans="1:18" x14ac:dyDescent="0.35">
      <c r="A710" s="37" t="s">
        <v>46</v>
      </c>
      <c r="B710" s="35" t="s">
        <v>27</v>
      </c>
      <c r="C710" s="36" t="s">
        <v>31</v>
      </c>
      <c r="D710" s="24">
        <v>68.166256360199682</v>
      </c>
      <c r="E710" s="24">
        <v>73.064817260841707</v>
      </c>
      <c r="F710" s="24">
        <v>78.476381657652141</v>
      </c>
      <c r="G710" s="24">
        <v>84.310031883914064</v>
      </c>
      <c r="H710" s="24">
        <v>90.625388828177392</v>
      </c>
      <c r="I710" s="24">
        <v>97.504739332906382</v>
      </c>
      <c r="J710" s="24">
        <v>104.98281806568801</v>
      </c>
      <c r="K710" s="24">
        <v>113.28243768798586</v>
      </c>
      <c r="L710" s="24">
        <v>122.35380303261063</v>
      </c>
      <c r="M710" s="24">
        <v>132.29399831052356</v>
      </c>
      <c r="N710" s="24">
        <v>143.25826983728066</v>
      </c>
      <c r="O710" s="24">
        <v>155.3750275757809</v>
      </c>
      <c r="P710" s="24">
        <v>168.80846210082427</v>
      </c>
      <c r="Q710" s="14"/>
      <c r="R710" s="14"/>
    </row>
    <row r="711" spans="1:18" x14ac:dyDescent="0.35">
      <c r="A711" s="37" t="s">
        <v>46</v>
      </c>
      <c r="B711" s="35" t="s">
        <v>27</v>
      </c>
      <c r="C711" s="36" t="s">
        <v>32</v>
      </c>
      <c r="D711" s="24">
        <v>52.052792321535811</v>
      </c>
      <c r="E711" s="24">
        <v>54.76215584074955</v>
      </c>
      <c r="F711" s="24">
        <v>57.705661459482961</v>
      </c>
      <c r="G711" s="24">
        <v>60.903990961266359</v>
      </c>
      <c r="H711" s="24">
        <v>64.343890439527712</v>
      </c>
      <c r="I711" s="24">
        <v>68.126684965061898</v>
      </c>
      <c r="J711" s="24">
        <v>72.166147778613279</v>
      </c>
      <c r="K711" s="24">
        <v>76.605116055843652</v>
      </c>
      <c r="L711" s="24">
        <v>81.433623268793639</v>
      </c>
      <c r="M711" s="24">
        <v>86.698410581077283</v>
      </c>
      <c r="N711" s="24">
        <v>92.481390704894324</v>
      </c>
      <c r="O711" s="24">
        <v>98.842932486405047</v>
      </c>
      <c r="P711" s="24">
        <v>105.81070628113861</v>
      </c>
      <c r="Q711" s="14"/>
      <c r="R711" s="14"/>
    </row>
    <row r="712" spans="1:18" x14ac:dyDescent="0.35">
      <c r="A712" s="37" t="s">
        <v>46</v>
      </c>
      <c r="B712" s="35" t="s">
        <v>27</v>
      </c>
      <c r="C712" s="36" t="s">
        <v>33</v>
      </c>
      <c r="D712" s="24">
        <v>32.307521105792382</v>
      </c>
      <c r="E712" s="24">
        <v>34.559491275999051</v>
      </c>
      <c r="F712" s="24">
        <v>37.03793040706131</v>
      </c>
      <c r="G712" s="24">
        <v>39.715882931501525</v>
      </c>
      <c r="H712" s="24">
        <v>42.617318459596532</v>
      </c>
      <c r="I712" s="24">
        <v>45.754281762064018</v>
      </c>
      <c r="J712" s="24">
        <v>49.136867472833224</v>
      </c>
      <c r="K712" s="24">
        <v>52.798502624760815</v>
      </c>
      <c r="L712" s="24">
        <v>56.793668071540488</v>
      </c>
      <c r="M712" s="24">
        <v>61.161926306019303</v>
      </c>
      <c r="N712" s="24">
        <v>65.924236476056066</v>
      </c>
      <c r="O712" s="24">
        <v>71.101699292820285</v>
      </c>
      <c r="P712" s="24">
        <v>76.752270688298339</v>
      </c>
      <c r="Q712" s="14"/>
      <c r="R712" s="14"/>
    </row>
    <row r="713" spans="1:18" x14ac:dyDescent="0.35">
      <c r="A713" s="37" t="s">
        <v>46</v>
      </c>
      <c r="B713" s="35" t="s">
        <v>34</v>
      </c>
      <c r="C713" s="36" t="s">
        <v>35</v>
      </c>
      <c r="D713" s="24">
        <v>180.25217921737033</v>
      </c>
      <c r="E713" s="24">
        <v>192.37821579048384</v>
      </c>
      <c r="F713" s="24">
        <v>206.12521842112795</v>
      </c>
      <c r="G713" s="24">
        <v>220.73888103327204</v>
      </c>
      <c r="H713" s="24">
        <v>236.4449669113892</v>
      </c>
      <c r="I713" s="24">
        <v>252.90062985743464</v>
      </c>
      <c r="J713" s="24">
        <v>270.66853337361715</v>
      </c>
      <c r="K713" s="24">
        <v>289.19590808177747</v>
      </c>
      <c r="L713" s="24">
        <v>309.0390514032535</v>
      </c>
      <c r="M713" s="24">
        <v>330.58388927462153</v>
      </c>
      <c r="N713" s="24">
        <v>353.38458296106535</v>
      </c>
      <c r="O713" s="24">
        <v>377.23245477073715</v>
      </c>
      <c r="P713" s="24">
        <v>402.54785526075239</v>
      </c>
      <c r="Q713" s="21"/>
      <c r="R713" s="21"/>
    </row>
    <row r="714" spans="1:18" x14ac:dyDescent="0.35">
      <c r="A714" s="37" t="s">
        <v>46</v>
      </c>
      <c r="B714" s="35" t="s">
        <v>34</v>
      </c>
      <c r="C714" s="36" t="s">
        <v>36</v>
      </c>
      <c r="D714" s="24">
        <v>206.13300179868043</v>
      </c>
      <c r="E714" s="24">
        <v>221.51372450623523</v>
      </c>
      <c r="F714" s="24">
        <v>238.4114925801444</v>
      </c>
      <c r="G714" s="24">
        <v>256.9606698259426</v>
      </c>
      <c r="H714" s="24">
        <v>277.2085261327548</v>
      </c>
      <c r="I714" s="24">
        <v>299.69605981044253</v>
      </c>
      <c r="J714" s="24">
        <v>324.18791807459058</v>
      </c>
      <c r="K714" s="24">
        <v>351.53567950693287</v>
      </c>
      <c r="L714" s="24">
        <v>381.7017736918782</v>
      </c>
      <c r="M714" s="24">
        <v>415.06353304313143</v>
      </c>
      <c r="N714" s="24">
        <v>452.25189027263662</v>
      </c>
      <c r="O714" s="24">
        <v>493.80551216702804</v>
      </c>
      <c r="P714" s="24">
        <v>540.10522302852735</v>
      </c>
      <c r="Q714" s="21"/>
      <c r="R714" s="21"/>
    </row>
    <row r="715" spans="1:18" x14ac:dyDescent="0.35">
      <c r="A715" s="37" t="s">
        <v>46</v>
      </c>
      <c r="B715" s="35" t="s">
        <v>34</v>
      </c>
      <c r="C715" s="36" t="s">
        <v>37</v>
      </c>
      <c r="D715" s="24">
        <v>122.34950950970357</v>
      </c>
      <c r="E715" s="24">
        <v>131.48271512009018</v>
      </c>
      <c r="F715" s="24">
        <v>141.40089635480351</v>
      </c>
      <c r="G715" s="24">
        <v>152.1571687003588</v>
      </c>
      <c r="H715" s="24">
        <v>163.86878791867778</v>
      </c>
      <c r="I715" s="24">
        <v>176.6187895674199</v>
      </c>
      <c r="J715" s="24">
        <v>190.43056123737901</v>
      </c>
      <c r="K715" s="24">
        <v>205.50478639769415</v>
      </c>
      <c r="L715" s="24">
        <v>222.09388411013524</v>
      </c>
      <c r="M715" s="24">
        <v>240.17490164492096</v>
      </c>
      <c r="N715" s="24">
        <v>260.04398271754712</v>
      </c>
      <c r="O715" s="24">
        <v>281.84060857558615</v>
      </c>
      <c r="P715" s="24">
        <v>305.80759496924537</v>
      </c>
      <c r="Q715" s="21"/>
      <c r="R715" s="21"/>
    </row>
    <row r="716" spans="1:18" x14ac:dyDescent="0.35">
      <c r="A716" s="37" t="s">
        <v>46</v>
      </c>
      <c r="B716" s="35" t="s">
        <v>34</v>
      </c>
      <c r="C716" s="36" t="s">
        <v>38</v>
      </c>
      <c r="D716" s="24">
        <v>56.84842610509773</v>
      </c>
      <c r="E716" s="24">
        <v>60.600550751007205</v>
      </c>
      <c r="F716" s="24">
        <v>64.705867171529675</v>
      </c>
      <c r="G716" s="24">
        <v>69.101730273974255</v>
      </c>
      <c r="H716" s="24">
        <v>73.835483411851868</v>
      </c>
      <c r="I716" s="24">
        <v>78.958123735392377</v>
      </c>
      <c r="J716" s="24">
        <v>84.490496212067868</v>
      </c>
      <c r="K716" s="24">
        <v>90.613601726838297</v>
      </c>
      <c r="L716" s="24">
        <v>97.269007818647182</v>
      </c>
      <c r="M716" s="24">
        <v>104.52567459535257</v>
      </c>
      <c r="N716" s="24">
        <v>112.49933716951516</v>
      </c>
      <c r="O716" s="24">
        <v>121.27050062657683</v>
      </c>
      <c r="P716" s="24">
        <v>130.93785172888195</v>
      </c>
      <c r="Q716" s="21"/>
      <c r="R716" s="21"/>
    </row>
    <row r="717" spans="1:18" x14ac:dyDescent="0.35">
      <c r="A717" s="37" t="s">
        <v>46</v>
      </c>
      <c r="B717" s="35" t="s">
        <v>22</v>
      </c>
      <c r="C717" s="36" t="s">
        <v>39</v>
      </c>
      <c r="D717" s="24">
        <v>145.67430453466969</v>
      </c>
      <c r="E717" s="24">
        <v>157.50240809178189</v>
      </c>
      <c r="F717" s="24">
        <v>170.51016042746707</v>
      </c>
      <c r="G717" s="24">
        <v>184.604296218759</v>
      </c>
      <c r="H717" s="24">
        <v>199.9014937915274</v>
      </c>
      <c r="I717" s="24">
        <v>216.38622104507451</v>
      </c>
      <c r="J717" s="24">
        <v>233.90640406080593</v>
      </c>
      <c r="K717" s="24">
        <v>252.51532698654947</v>
      </c>
      <c r="L717" s="24">
        <v>272.84340208723563</v>
      </c>
      <c r="M717" s="24">
        <v>295.15096499259596</v>
      </c>
      <c r="N717" s="24">
        <v>319.5331052750405</v>
      </c>
      <c r="O717" s="24">
        <v>345.70767321399887</v>
      </c>
      <c r="P717" s="24">
        <v>373.68880421901633</v>
      </c>
      <c r="Q717" s="21"/>
      <c r="R717" s="21"/>
    </row>
    <row r="718" spans="1:18" x14ac:dyDescent="0.35">
      <c r="A718" s="37" t="s">
        <v>46</v>
      </c>
      <c r="B718" s="35" t="s">
        <v>22</v>
      </c>
      <c r="C718" s="36" t="s">
        <v>40</v>
      </c>
      <c r="D718" s="24">
        <v>145.18592550023496</v>
      </c>
      <c r="E718" s="24">
        <v>154.94021232772172</v>
      </c>
      <c r="F718" s="24">
        <v>165.55275111358162</v>
      </c>
      <c r="G718" s="24">
        <v>177.00384530153576</v>
      </c>
      <c r="H718" s="24">
        <v>189.33132434793936</v>
      </c>
      <c r="I718" s="24">
        <v>202.67404918612573</v>
      </c>
      <c r="J718" s="24">
        <v>217.23580518644738</v>
      </c>
      <c r="K718" s="24">
        <v>233.06081695420744</v>
      </c>
      <c r="L718" s="24">
        <v>250.35900019091844</v>
      </c>
      <c r="M718" s="24">
        <v>269.18710541417636</v>
      </c>
      <c r="N718" s="24">
        <v>289.65168155005432</v>
      </c>
      <c r="O718" s="24">
        <v>312.08037099554173</v>
      </c>
      <c r="P718" s="24">
        <v>336.73169715053473</v>
      </c>
      <c r="Q718" s="21"/>
      <c r="R718" s="21"/>
    </row>
    <row r="719" spans="1:18" x14ac:dyDescent="0.35">
      <c r="A719" s="37" t="s">
        <v>46</v>
      </c>
      <c r="B719" s="35" t="s">
        <v>22</v>
      </c>
      <c r="C719" s="36" t="s">
        <v>41</v>
      </c>
      <c r="D719" s="24">
        <v>115.40360973045803</v>
      </c>
      <c r="E719" s="24">
        <v>121.99248714482472</v>
      </c>
      <c r="F719" s="24">
        <v>129.307328704545</v>
      </c>
      <c r="G719" s="24">
        <v>137.11151256047845</v>
      </c>
      <c r="H719" s="24">
        <v>145.47819640248935</v>
      </c>
      <c r="I719" s="24">
        <v>154.50241782106687</v>
      </c>
      <c r="J719" s="24">
        <v>164.33215969673014</v>
      </c>
      <c r="K719" s="24">
        <v>175.14322341955847</v>
      </c>
      <c r="L719" s="24">
        <v>186.82352401426854</v>
      </c>
      <c r="M719" s="24">
        <v>199.48396462474534</v>
      </c>
      <c r="N719" s="24">
        <v>213.34793133454258</v>
      </c>
      <c r="O719" s="24">
        <v>228.57752098142862</v>
      </c>
      <c r="P719" s="24">
        <v>245.38133509714157</v>
      </c>
      <c r="Q719" s="21"/>
      <c r="R719" s="21"/>
    </row>
    <row r="720" spans="1:18" x14ac:dyDescent="0.35">
      <c r="A720" s="37" t="s">
        <v>46</v>
      </c>
      <c r="B720" s="35" t="s">
        <v>22</v>
      </c>
      <c r="C720" s="36" t="s">
        <v>42</v>
      </c>
      <c r="D720" s="24">
        <v>159.31927686548937</v>
      </c>
      <c r="E720" s="24">
        <v>171.54009860348808</v>
      </c>
      <c r="F720" s="24">
        <v>185.2732342820118</v>
      </c>
      <c r="G720" s="24">
        <v>200.23879575277454</v>
      </c>
      <c r="H720" s="24">
        <v>216.64674983271757</v>
      </c>
      <c r="I720" s="24">
        <v>234.61091491842225</v>
      </c>
      <c r="J720" s="24">
        <v>254.30313995367109</v>
      </c>
      <c r="K720" s="24">
        <v>276.13060835292737</v>
      </c>
      <c r="L720" s="24">
        <v>300.07779073149152</v>
      </c>
      <c r="M720" s="24">
        <v>326.52596352650869</v>
      </c>
      <c r="N720" s="24">
        <v>355.64707496112669</v>
      </c>
      <c r="O720" s="24">
        <v>387.78351094895885</v>
      </c>
      <c r="P720" s="24">
        <v>423.59668852071422</v>
      </c>
      <c r="Q720" s="21"/>
      <c r="R720" s="21"/>
    </row>
    <row r="721" spans="1:18" x14ac:dyDescent="0.35">
      <c r="A721" s="37" t="s">
        <v>46</v>
      </c>
      <c r="B721" s="37" t="s">
        <v>48</v>
      </c>
      <c r="C721" s="39" t="s">
        <v>86</v>
      </c>
      <c r="D721" s="24">
        <v>441.27509368293477</v>
      </c>
      <c r="E721" s="24">
        <v>473.85861361339835</v>
      </c>
      <c r="F721" s="24">
        <v>509.89175153983905</v>
      </c>
      <c r="G721" s="24">
        <v>548.96149575313189</v>
      </c>
      <c r="H721" s="24">
        <v>591.42418274060776</v>
      </c>
      <c r="I721" s="24">
        <v>637.4848207941867</v>
      </c>
      <c r="J721" s="24">
        <v>687.33697134346426</v>
      </c>
      <c r="K721" s="24">
        <v>741.46591936470986</v>
      </c>
      <c r="L721" s="24">
        <v>800.67312704142785</v>
      </c>
      <c r="M721" s="24">
        <v>865.65363204185155</v>
      </c>
      <c r="N721" s="24">
        <v>936.6900327724295</v>
      </c>
      <c r="O721" s="24">
        <v>1014.1456722659627</v>
      </c>
      <c r="P721" s="24">
        <v>1098.9364613149698</v>
      </c>
      <c r="Q721" s="21"/>
      <c r="R721" s="21"/>
    </row>
    <row r="722" spans="1:18" x14ac:dyDescent="0.35">
      <c r="A722" s="37" t="s">
        <v>46</v>
      </c>
      <c r="B722" s="37" t="s">
        <v>48</v>
      </c>
      <c r="C722" s="39" t="s">
        <v>87</v>
      </c>
      <c r="D722" s="24">
        <v>124.30802294791729</v>
      </c>
      <c r="E722" s="24">
        <v>132.11659255441805</v>
      </c>
      <c r="F722" s="24">
        <v>140.75172298776647</v>
      </c>
      <c r="G722" s="24">
        <v>149.99695408041583</v>
      </c>
      <c r="H722" s="24">
        <v>159.93358163406592</v>
      </c>
      <c r="I722" s="24">
        <v>170.68878217650271</v>
      </c>
      <c r="J722" s="24">
        <v>182.44053755419031</v>
      </c>
      <c r="K722" s="24">
        <v>195.38405634853291</v>
      </c>
      <c r="L722" s="24">
        <v>209.43058998248625</v>
      </c>
      <c r="M722" s="24">
        <v>224.69436651617488</v>
      </c>
      <c r="N722" s="24">
        <v>241.48976034833467</v>
      </c>
      <c r="O722" s="24">
        <v>260.00340387396534</v>
      </c>
      <c r="P722" s="24">
        <v>280.46206367243707</v>
      </c>
      <c r="Q722" s="21"/>
      <c r="R722" s="21"/>
    </row>
    <row r="723" spans="1:18" x14ac:dyDescent="0.35">
      <c r="A723" s="39" t="s">
        <v>86</v>
      </c>
      <c r="B723" s="35" t="s">
        <v>24</v>
      </c>
      <c r="C723" s="36" t="s">
        <v>25</v>
      </c>
      <c r="D723" s="24">
        <v>43.43850702116999</v>
      </c>
      <c r="E723" s="24">
        <v>46.390384312718773</v>
      </c>
      <c r="F723" s="24">
        <v>49.555556861572185</v>
      </c>
      <c r="G723" s="24">
        <v>52.965531500461744</v>
      </c>
      <c r="H723" s="24">
        <v>56.658436706550219</v>
      </c>
      <c r="I723" s="24">
        <v>60.648675726543743</v>
      </c>
      <c r="J723" s="24">
        <v>64.936731862680361</v>
      </c>
      <c r="K723" s="24">
        <v>69.586172538802501</v>
      </c>
      <c r="L723" s="24">
        <v>74.676693620144661</v>
      </c>
      <c r="M723" s="24">
        <v>80.187687950052961</v>
      </c>
      <c r="N723" s="24">
        <v>86.211773879715707</v>
      </c>
      <c r="O723" s="24">
        <v>92.777243604886166</v>
      </c>
      <c r="P723" s="24">
        <v>99.941193979538468</v>
      </c>
      <c r="Q723" s="21"/>
      <c r="R723" s="21"/>
    </row>
    <row r="724" spans="1:18" x14ac:dyDescent="0.35">
      <c r="A724" s="39" t="s">
        <v>86</v>
      </c>
      <c r="B724" s="35" t="s">
        <v>24</v>
      </c>
      <c r="C724" s="36" t="s">
        <v>26</v>
      </c>
      <c r="D724" s="24">
        <v>397.83658666176478</v>
      </c>
      <c r="E724" s="24">
        <v>427.46822930067958</v>
      </c>
      <c r="F724" s="24">
        <v>460.33619467826685</v>
      </c>
      <c r="G724" s="24">
        <v>495.99596425267009</v>
      </c>
      <c r="H724" s="24">
        <v>534.76574603405754</v>
      </c>
      <c r="I724" s="24">
        <v>576.83614506764297</v>
      </c>
      <c r="J724" s="24">
        <v>622.40023948078385</v>
      </c>
      <c r="K724" s="24">
        <v>671.87974682590732</v>
      </c>
      <c r="L724" s="24">
        <v>725.9964334212832</v>
      </c>
      <c r="M724" s="24">
        <v>785.46594409179863</v>
      </c>
      <c r="N724" s="24">
        <v>850.47825889271382</v>
      </c>
      <c r="O724" s="24">
        <v>921.36842866107656</v>
      </c>
      <c r="P724" s="24">
        <v>998.99526733543132</v>
      </c>
      <c r="Q724" s="21"/>
      <c r="R724" s="21"/>
    </row>
    <row r="725" spans="1:18" x14ac:dyDescent="0.35">
      <c r="A725" s="39" t="s">
        <v>86</v>
      </c>
      <c r="B725" s="35" t="s">
        <v>27</v>
      </c>
      <c r="C725" s="36" t="s">
        <v>28</v>
      </c>
      <c r="D725" s="24">
        <v>155.79589683469965</v>
      </c>
      <c r="E725" s="24">
        <v>166.75746082785861</v>
      </c>
      <c r="F725" s="24">
        <v>179.05856272873052</v>
      </c>
      <c r="G725" s="24">
        <v>192.28888396375606</v>
      </c>
      <c r="H725" s="24">
        <v>206.58446703129425</v>
      </c>
      <c r="I725" s="24">
        <v>221.76196816973356</v>
      </c>
      <c r="J725" s="24">
        <v>237.80780397155479</v>
      </c>
      <c r="K725" s="24">
        <v>254.54721084183069</v>
      </c>
      <c r="L725" s="24">
        <v>272.60546521559957</v>
      </c>
      <c r="M725" s="24">
        <v>292.31099630667632</v>
      </c>
      <c r="N725" s="24">
        <v>313.33127132556717</v>
      </c>
      <c r="O725" s="24">
        <v>335.47876274100588</v>
      </c>
      <c r="P725" s="24">
        <v>358.95156670858546</v>
      </c>
      <c r="Q725" s="21"/>
      <c r="R725" s="21"/>
    </row>
    <row r="726" spans="1:18" x14ac:dyDescent="0.35">
      <c r="A726" s="39" t="s">
        <v>86</v>
      </c>
      <c r="B726" s="35" t="s">
        <v>27</v>
      </c>
      <c r="C726" s="36" t="s">
        <v>29</v>
      </c>
      <c r="D726" s="24">
        <v>93.073046970115698</v>
      </c>
      <c r="E726" s="24">
        <v>100.70483467371211</v>
      </c>
      <c r="F726" s="24">
        <v>109.06026605582706</v>
      </c>
      <c r="G726" s="24">
        <v>118.17829922161182</v>
      </c>
      <c r="H726" s="24">
        <v>128.10247798161566</v>
      </c>
      <c r="I726" s="24">
        <v>138.94997724541705</v>
      </c>
      <c r="J726" s="24">
        <v>150.9291662356635</v>
      </c>
      <c r="K726" s="24">
        <v>164.08464223539116</v>
      </c>
      <c r="L726" s="24">
        <v>178.60223228603365</v>
      </c>
      <c r="M726" s="24">
        <v>194.58638770399838</v>
      </c>
      <c r="N726" s="24">
        <v>212.13665468238946</v>
      </c>
      <c r="O726" s="24">
        <v>231.57445295281977</v>
      </c>
      <c r="P726" s="24">
        <v>253.13935129917013</v>
      </c>
      <c r="Q726" s="21"/>
      <c r="R726" s="21"/>
    </row>
    <row r="727" spans="1:18" x14ac:dyDescent="0.35">
      <c r="A727" s="39" t="s">
        <v>86</v>
      </c>
      <c r="B727" s="35" t="s">
        <v>27</v>
      </c>
      <c r="C727" s="36" t="s">
        <v>30</v>
      </c>
      <c r="D727" s="24">
        <v>73.165407937819097</v>
      </c>
      <c r="E727" s="24">
        <v>79.337683483162763</v>
      </c>
      <c r="F727" s="24">
        <v>86.121076279621164</v>
      </c>
      <c r="G727" s="24">
        <v>93.541692146900701</v>
      </c>
      <c r="H727" s="24">
        <v>101.72495943138453</v>
      </c>
      <c r="I727" s="24">
        <v>110.76879634217596</v>
      </c>
      <c r="J727" s="24">
        <v>120.7150426829145</v>
      </c>
      <c r="K727" s="24">
        <v>131.81558083869265</v>
      </c>
      <c r="L727" s="24">
        <v>144.11494758300569</v>
      </c>
      <c r="M727" s="24">
        <v>157.69498620655074</v>
      </c>
      <c r="N727" s="24">
        <v>172.85469296120303</v>
      </c>
      <c r="O727" s="24">
        <v>189.64115015494863</v>
      </c>
      <c r="P727" s="24">
        <v>208.34359814417377</v>
      </c>
      <c r="Q727" s="21"/>
      <c r="R727" s="21"/>
    </row>
    <row r="728" spans="1:18" x14ac:dyDescent="0.35">
      <c r="A728" s="39" t="s">
        <v>86</v>
      </c>
      <c r="B728" s="35" t="s">
        <v>27</v>
      </c>
      <c r="C728" s="36" t="s">
        <v>31</v>
      </c>
      <c r="D728" s="24">
        <v>50.531123022800244</v>
      </c>
      <c r="E728" s="24">
        <v>54.268290585373734</v>
      </c>
      <c r="F728" s="24">
        <v>58.396189423305813</v>
      </c>
      <c r="G728" s="24">
        <v>62.843234564458996</v>
      </c>
      <c r="H728" s="24">
        <v>67.658926505525528</v>
      </c>
      <c r="I728" s="24">
        <v>72.905405413787449</v>
      </c>
      <c r="J728" s="24">
        <v>78.61588472996003</v>
      </c>
      <c r="K728" s="24">
        <v>84.991151962417604</v>
      </c>
      <c r="L728" s="24">
        <v>91.95366072006415</v>
      </c>
      <c r="M728" s="24">
        <v>99.603416259623273</v>
      </c>
      <c r="N728" s="24">
        <v>108.06435078900242</v>
      </c>
      <c r="O728" s="24">
        <v>117.44134191901001</v>
      </c>
      <c r="P728" s="24">
        <v>127.8551588597122</v>
      </c>
      <c r="Q728" s="21"/>
      <c r="R728" s="21"/>
    </row>
    <row r="729" spans="1:18" x14ac:dyDescent="0.35">
      <c r="A729" s="39" t="s">
        <v>86</v>
      </c>
      <c r="B729" s="35" t="s">
        <v>27</v>
      </c>
      <c r="C729" s="36" t="s">
        <v>32</v>
      </c>
      <c r="D729" s="24">
        <v>42.547109784107612</v>
      </c>
      <c r="E729" s="24">
        <v>44.769882298240454</v>
      </c>
      <c r="F729" s="24">
        <v>47.177828181735869</v>
      </c>
      <c r="G729" s="24">
        <v>49.805842171698842</v>
      </c>
      <c r="H729" s="24">
        <v>52.63675226391409</v>
      </c>
      <c r="I729" s="24">
        <v>55.771225988342003</v>
      </c>
      <c r="J729" s="24">
        <v>59.12252423971541</v>
      </c>
      <c r="K729" s="24">
        <v>62.82836999440633</v>
      </c>
      <c r="L729" s="24">
        <v>66.868120766859818</v>
      </c>
      <c r="M729" s="24">
        <v>71.279051077976547</v>
      </c>
      <c r="N729" s="24">
        <v>76.144939375609269</v>
      </c>
      <c r="O729" s="24">
        <v>81.525300136813698</v>
      </c>
      <c r="P729" s="24">
        <v>87.437404532488785</v>
      </c>
      <c r="Q729" s="14"/>
      <c r="R729" s="14"/>
    </row>
    <row r="730" spans="1:18" x14ac:dyDescent="0.35">
      <c r="A730" s="39" t="s">
        <v>86</v>
      </c>
      <c r="B730" s="35" t="s">
        <v>27</v>
      </c>
      <c r="C730" s="36" t="s">
        <v>33</v>
      </c>
      <c r="D730" s="24">
        <v>26.162509133392454</v>
      </c>
      <c r="E730" s="24">
        <v>28.020461745050689</v>
      </c>
      <c r="F730" s="24">
        <v>30.077828870618589</v>
      </c>
      <c r="G730" s="24">
        <v>32.303543684705467</v>
      </c>
      <c r="H730" s="24">
        <v>34.716599526873679</v>
      </c>
      <c r="I730" s="24">
        <v>37.327447634730682</v>
      </c>
      <c r="J730" s="24">
        <v>40.146549483656052</v>
      </c>
      <c r="K730" s="24">
        <v>43.198963491971469</v>
      </c>
      <c r="L730" s="24">
        <v>46.528700469864944</v>
      </c>
      <c r="M730" s="24">
        <v>50.178794487026323</v>
      </c>
      <c r="N730" s="24">
        <v>54.15812363865809</v>
      </c>
      <c r="O730" s="24">
        <v>58.484664361364757</v>
      </c>
      <c r="P730" s="24">
        <v>63.209381770839535</v>
      </c>
      <c r="Q730" s="14"/>
      <c r="R730" s="14"/>
    </row>
    <row r="731" spans="1:18" x14ac:dyDescent="0.35">
      <c r="A731" s="39" t="s">
        <v>86</v>
      </c>
      <c r="B731" s="35" t="s">
        <v>34</v>
      </c>
      <c r="C731" s="36" t="s">
        <v>35</v>
      </c>
      <c r="D731" s="24">
        <v>140.61725686051432</v>
      </c>
      <c r="E731" s="24">
        <v>150.76201445038674</v>
      </c>
      <c r="F731" s="24">
        <v>162.28157124515849</v>
      </c>
      <c r="G731" s="24">
        <v>174.54921367207214</v>
      </c>
      <c r="H731" s="24">
        <v>187.77717802014297</v>
      </c>
      <c r="I731" s="24">
        <v>201.58375443968134</v>
      </c>
      <c r="J731" s="24">
        <v>216.38269868469507</v>
      </c>
      <c r="K731" s="24">
        <v>231.6522094321507</v>
      </c>
      <c r="L731" s="24">
        <v>248.02873836194976</v>
      </c>
      <c r="M731" s="24">
        <v>265.85839147020602</v>
      </c>
      <c r="N731" s="24">
        <v>284.5588492044875</v>
      </c>
      <c r="O731" s="24">
        <v>303.86627357830844</v>
      </c>
      <c r="P731" s="24">
        <v>324.15771554636035</v>
      </c>
      <c r="Q731" s="14"/>
      <c r="R731" s="14"/>
    </row>
    <row r="732" spans="1:18" x14ac:dyDescent="0.35">
      <c r="A732" s="39" t="s">
        <v>86</v>
      </c>
      <c r="B732" s="35" t="s">
        <v>34</v>
      </c>
      <c r="C732" s="36" t="s">
        <v>36</v>
      </c>
      <c r="D732" s="24">
        <v>160.85842184425147</v>
      </c>
      <c r="E732" s="24">
        <v>172.97241896387726</v>
      </c>
      <c r="F732" s="24">
        <v>186.26548278896334</v>
      </c>
      <c r="G732" s="24">
        <v>200.93766153299697</v>
      </c>
      <c r="H732" s="24">
        <v>216.99353264752898</v>
      </c>
      <c r="I732" s="24">
        <v>234.92044658194354</v>
      </c>
      <c r="J732" s="24">
        <v>254.45547151103054</v>
      </c>
      <c r="K732" s="24">
        <v>276.27416260569754</v>
      </c>
      <c r="L732" s="24">
        <v>300.41058300036269</v>
      </c>
      <c r="M732" s="24">
        <v>327.15627038801176</v>
      </c>
      <c r="N732" s="24">
        <v>357.03583084880654</v>
      </c>
      <c r="O732" s="24">
        <v>390.4991167096552</v>
      </c>
      <c r="P732" s="24">
        <v>427.82476684267027</v>
      </c>
      <c r="Q732" s="14"/>
      <c r="R732" s="14"/>
    </row>
    <row r="733" spans="1:18" x14ac:dyDescent="0.35">
      <c r="A733" s="39" t="s">
        <v>86</v>
      </c>
      <c r="B733" s="35" t="s">
        <v>34</v>
      </c>
      <c r="C733" s="36" t="s">
        <v>37</v>
      </c>
      <c r="D733" s="24">
        <v>94.391631877430925</v>
      </c>
      <c r="E733" s="24">
        <v>101.68219191484695</v>
      </c>
      <c r="F733" s="24">
        <v>109.56369135413321</v>
      </c>
      <c r="G733" s="24">
        <v>118.11986944874188</v>
      </c>
      <c r="H733" s="24">
        <v>127.45191138060098</v>
      </c>
      <c r="I733" s="24">
        <v>137.61088080357507</v>
      </c>
      <c r="J733" s="24">
        <v>148.6177222036242</v>
      </c>
      <c r="K733" s="24">
        <v>160.63816019611693</v>
      </c>
      <c r="L733" s="24">
        <v>173.88056741241502</v>
      </c>
      <c r="M733" s="24">
        <v>188.32658116018055</v>
      </c>
      <c r="N733" s="24">
        <v>204.22263795395114</v>
      </c>
      <c r="O733" s="24">
        <v>221.67084503394642</v>
      </c>
      <c r="P733" s="24">
        <v>240.84508936904217</v>
      </c>
      <c r="Q733" s="14"/>
      <c r="R733" s="14"/>
    </row>
    <row r="734" spans="1:18" x14ac:dyDescent="0.35">
      <c r="A734" s="39" t="s">
        <v>86</v>
      </c>
      <c r="B734" s="35" t="s">
        <v>34</v>
      </c>
      <c r="C734" s="36" t="s">
        <v>38</v>
      </c>
      <c r="D734" s="24">
        <v>45.407783100738065</v>
      </c>
      <c r="E734" s="24">
        <v>48.441988284287412</v>
      </c>
      <c r="F734" s="24">
        <v>51.781006151584016</v>
      </c>
      <c r="G734" s="24">
        <v>55.354751099320879</v>
      </c>
      <c r="H734" s="24">
        <v>59.201560692334837</v>
      </c>
      <c r="I734" s="24">
        <v>63.369738968986809</v>
      </c>
      <c r="J734" s="24">
        <v>67.881078944114449</v>
      </c>
      <c r="K734" s="24">
        <v>72.901387130744681</v>
      </c>
      <c r="L734" s="24">
        <v>78.353238266700401</v>
      </c>
      <c r="M734" s="24">
        <v>84.31238902345325</v>
      </c>
      <c r="N734" s="24">
        <v>90.872714765184384</v>
      </c>
      <c r="O734" s="24">
        <v>98.109436944052732</v>
      </c>
      <c r="P734" s="24">
        <v>106.10888955689711</v>
      </c>
      <c r="Q734" s="14"/>
      <c r="R734" s="14"/>
    </row>
    <row r="735" spans="1:18" x14ac:dyDescent="0.35">
      <c r="A735" s="39" t="s">
        <v>86</v>
      </c>
      <c r="B735" s="35" t="s">
        <v>22</v>
      </c>
      <c r="C735" s="36" t="s">
        <v>39</v>
      </c>
      <c r="D735" s="24">
        <v>114.46339417215233</v>
      </c>
      <c r="E735" s="24">
        <v>124.27035178519361</v>
      </c>
      <c r="F735" s="24">
        <v>135.02672182953324</v>
      </c>
      <c r="G735" s="24">
        <v>146.75201358737985</v>
      </c>
      <c r="H735" s="24">
        <v>159.56624450341599</v>
      </c>
      <c r="I735" s="24">
        <v>173.39643373769053</v>
      </c>
      <c r="J735" s="24">
        <v>187.9341665566177</v>
      </c>
      <c r="K735" s="24">
        <v>203.21423109306386</v>
      </c>
      <c r="L735" s="24">
        <v>219.98311665390429</v>
      </c>
      <c r="M735" s="24">
        <v>238.43851197264644</v>
      </c>
      <c r="N735" s="24">
        <v>258.51651694464545</v>
      </c>
      <c r="O735" s="24">
        <v>279.81460027525213</v>
      </c>
      <c r="P735" s="24">
        <v>302.35373024488638</v>
      </c>
      <c r="Q735" s="14"/>
      <c r="R735" s="14"/>
    </row>
    <row r="736" spans="1:18" x14ac:dyDescent="0.35">
      <c r="A736" s="39" t="s">
        <v>86</v>
      </c>
      <c r="B736" s="35" t="s">
        <v>22</v>
      </c>
      <c r="C736" s="36" t="s">
        <v>40</v>
      </c>
      <c r="D736" s="24">
        <v>112.99308451469825</v>
      </c>
      <c r="E736" s="24">
        <v>120.83045926589422</v>
      </c>
      <c r="F736" s="24">
        <v>129.32885591418085</v>
      </c>
      <c r="G736" s="24">
        <v>138.5072175356014</v>
      </c>
      <c r="H736" s="24">
        <v>148.38832744961849</v>
      </c>
      <c r="I736" s="24">
        <v>159.07852070713793</v>
      </c>
      <c r="J736" s="24">
        <v>170.78287509598724</v>
      </c>
      <c r="K736" s="24">
        <v>183.510803796094</v>
      </c>
      <c r="L736" s="24">
        <v>197.42825259475035</v>
      </c>
      <c r="M736" s="24">
        <v>212.60249879336263</v>
      </c>
      <c r="N736" s="24">
        <v>229.0911813710027</v>
      </c>
      <c r="O736" s="24">
        <v>247.18763892021209</v>
      </c>
      <c r="P736" s="24">
        <v>267.08295000881873</v>
      </c>
      <c r="Q736" s="21"/>
      <c r="R736" s="21"/>
    </row>
    <row r="737" spans="1:18" x14ac:dyDescent="0.35">
      <c r="A737" s="39" t="s">
        <v>86</v>
      </c>
      <c r="B737" s="35" t="s">
        <v>22</v>
      </c>
      <c r="C737" s="36" t="s">
        <v>41</v>
      </c>
      <c r="D737" s="24">
        <v>91.280852153601046</v>
      </c>
      <c r="E737" s="24">
        <v>96.64947190843715</v>
      </c>
      <c r="F737" s="24">
        <v>102.58086278575723</v>
      </c>
      <c r="G737" s="24">
        <v>108.90692275100584</v>
      </c>
      <c r="H737" s="24">
        <v>115.68257014406288</v>
      </c>
      <c r="I737" s="24">
        <v>123.00122601126554</v>
      </c>
      <c r="J737" s="24">
        <v>130.99501723948183</v>
      </c>
      <c r="K737" s="24">
        <v>139.80292098104019</v>
      </c>
      <c r="L737" s="24">
        <v>149.33326367631412</v>
      </c>
      <c r="M737" s="24">
        <v>159.65516928481514</v>
      </c>
      <c r="N737" s="24">
        <v>171.00310797360621</v>
      </c>
      <c r="O737" s="24">
        <v>183.50602887707703</v>
      </c>
      <c r="P737" s="24">
        <v>197.31215217547086</v>
      </c>
      <c r="Q737" s="21"/>
      <c r="R737" s="21"/>
    </row>
    <row r="738" spans="1:18" x14ac:dyDescent="0.35">
      <c r="A738" s="39" t="s">
        <v>86</v>
      </c>
      <c r="B738" s="35" t="s">
        <v>22</v>
      </c>
      <c r="C738" s="36" t="s">
        <v>42</v>
      </c>
      <c r="D738" s="24">
        <v>122.5377628424831</v>
      </c>
      <c r="E738" s="24">
        <v>132.1083306538734</v>
      </c>
      <c r="F738" s="24">
        <v>142.95531101036772</v>
      </c>
      <c r="G738" s="24">
        <v>154.79534187914481</v>
      </c>
      <c r="H738" s="24">
        <v>167.78704064351044</v>
      </c>
      <c r="I738" s="24">
        <v>182.00864033809268</v>
      </c>
      <c r="J738" s="24">
        <v>197.62491245137747</v>
      </c>
      <c r="K738" s="24">
        <v>214.93796349451179</v>
      </c>
      <c r="L738" s="24">
        <v>233.92849411645912</v>
      </c>
      <c r="M738" s="24">
        <v>254.95745199102731</v>
      </c>
      <c r="N738" s="24">
        <v>278.07922648317509</v>
      </c>
      <c r="O738" s="24">
        <v>303.63740419342145</v>
      </c>
      <c r="P738" s="24">
        <v>332.18762888579386</v>
      </c>
      <c r="Q738" s="21"/>
      <c r="R738" s="21"/>
    </row>
    <row r="739" spans="1:18" x14ac:dyDescent="0.35">
      <c r="A739" s="39" t="s">
        <v>87</v>
      </c>
      <c r="B739" s="35" t="s">
        <v>24</v>
      </c>
      <c r="C739" s="36" t="s">
        <v>25</v>
      </c>
      <c r="D739" s="24">
        <v>11.204151197975301</v>
      </c>
      <c r="E739" s="24">
        <v>11.869653126813954</v>
      </c>
      <c r="F739" s="24">
        <v>12.603265333187998</v>
      </c>
      <c r="G739" s="24">
        <v>13.389463044030773</v>
      </c>
      <c r="H739" s="24">
        <v>14.234088765431864</v>
      </c>
      <c r="I739" s="24">
        <v>15.139185526130374</v>
      </c>
      <c r="J739" s="24">
        <v>16.106663064658967</v>
      </c>
      <c r="K739" s="24">
        <v>17.144153593350282</v>
      </c>
      <c r="L739" s="24">
        <v>18.266427924537968</v>
      </c>
      <c r="M739" s="24">
        <v>19.487176663683595</v>
      </c>
      <c r="N739" s="24">
        <v>20.806165477099931</v>
      </c>
      <c r="O739" s="24">
        <v>22.226584821393359</v>
      </c>
      <c r="P739" s="24">
        <v>23.763942921711529</v>
      </c>
      <c r="Q739" s="21"/>
      <c r="R739" s="21"/>
    </row>
    <row r="740" spans="1:18" x14ac:dyDescent="0.35">
      <c r="A740" s="39" t="s">
        <v>87</v>
      </c>
      <c r="B740" s="35" t="s">
        <v>24</v>
      </c>
      <c r="C740" s="36" t="s">
        <v>26</v>
      </c>
      <c r="D740" s="24">
        <v>113.10387174994199</v>
      </c>
      <c r="E740" s="24">
        <v>120.24693942760409</v>
      </c>
      <c r="F740" s="24">
        <v>128.14845765457846</v>
      </c>
      <c r="G740" s="24">
        <v>136.60749103638506</v>
      </c>
      <c r="H740" s="24">
        <v>145.69949286863405</v>
      </c>
      <c r="I740" s="24">
        <v>155.54959665037234</v>
      </c>
      <c r="J740" s="24">
        <v>166.33387448953135</v>
      </c>
      <c r="K740" s="24">
        <v>178.23990275518261</v>
      </c>
      <c r="L740" s="24">
        <v>191.16416205794829</v>
      </c>
      <c r="M740" s="24">
        <v>205.2071898524913</v>
      </c>
      <c r="N740" s="24">
        <v>220.68359487123473</v>
      </c>
      <c r="O740" s="24">
        <v>237.77681905257197</v>
      </c>
      <c r="P740" s="24">
        <v>256.69812075072554</v>
      </c>
      <c r="Q740" s="21"/>
      <c r="R740" s="21"/>
    </row>
    <row r="741" spans="1:18" x14ac:dyDescent="0.35">
      <c r="A741" s="39" t="s">
        <v>87</v>
      </c>
      <c r="B741" s="35" t="s">
        <v>27</v>
      </c>
      <c r="C741" s="36" t="s">
        <v>28</v>
      </c>
      <c r="D741" s="24">
        <v>43.516464962173472</v>
      </c>
      <c r="E741" s="24">
        <v>45.691502444386543</v>
      </c>
      <c r="F741" s="24">
        <v>48.184892146653667</v>
      </c>
      <c r="G741" s="24">
        <v>50.786369387774215</v>
      </c>
      <c r="H741" s="24">
        <v>53.497783056595054</v>
      </c>
      <c r="I741" s="24">
        <v>56.386026782207381</v>
      </c>
      <c r="J741" s="24">
        <v>59.61615177837642</v>
      </c>
      <c r="K741" s="24">
        <v>63.234771879008662</v>
      </c>
      <c r="L741" s="24">
        <v>67.049831694387251</v>
      </c>
      <c r="M741" s="24">
        <v>71.160891816922657</v>
      </c>
      <c r="N741" s="24">
        <v>75.698802296656652</v>
      </c>
      <c r="O741" s="24">
        <v>80.796226015239597</v>
      </c>
      <c r="P741" s="24">
        <v>86.50193930423751</v>
      </c>
      <c r="Q741" s="21"/>
      <c r="R741" s="21"/>
    </row>
    <row r="742" spans="1:18" x14ac:dyDescent="0.35">
      <c r="A742" s="39" t="s">
        <v>87</v>
      </c>
      <c r="B742" s="35" t="s">
        <v>27</v>
      </c>
      <c r="C742" s="36" t="s">
        <v>29</v>
      </c>
      <c r="D742" s="24">
        <v>25.252539889930254</v>
      </c>
      <c r="E742" s="24">
        <v>27.05453450909598</v>
      </c>
      <c r="F742" s="24">
        <v>29.01595141519773</v>
      </c>
      <c r="G742" s="24">
        <v>31.138854107457835</v>
      </c>
      <c r="H742" s="24">
        <v>33.458105277846592</v>
      </c>
      <c r="I742" s="24">
        <v>35.997681617666224</v>
      </c>
      <c r="J742" s="24">
        <v>38.761987831256704</v>
      </c>
      <c r="K742" s="24">
        <v>41.822437454802937</v>
      </c>
      <c r="L742" s="24">
        <v>45.181019958438675</v>
      </c>
      <c r="M742" s="24">
        <v>48.85102810916333</v>
      </c>
      <c r="N742" s="24">
        <v>52.912085791866467</v>
      </c>
      <c r="O742" s="24">
        <v>57.362600028862715</v>
      </c>
      <c r="P742" s="24">
        <v>62.273904061440533</v>
      </c>
      <c r="Q742" s="21"/>
      <c r="R742" s="21"/>
    </row>
    <row r="743" spans="1:18" x14ac:dyDescent="0.35">
      <c r="A743" s="39" t="s">
        <v>87</v>
      </c>
      <c r="B743" s="35" t="s">
        <v>27</v>
      </c>
      <c r="C743" s="36" t="s">
        <v>30</v>
      </c>
      <c r="D743" s="24">
        <v>22.253190248586005</v>
      </c>
      <c r="E743" s="24">
        <v>24.042725852010097</v>
      </c>
      <c r="F743" s="24">
        <v>25.982752377378937</v>
      </c>
      <c r="G743" s="24">
        <v>28.094445229365135</v>
      </c>
      <c r="H743" s="24">
        <v>30.403373868635928</v>
      </c>
      <c r="I743" s="24">
        <v>32.923446753456965</v>
      </c>
      <c r="J743" s="24">
        <v>35.661523080754179</v>
      </c>
      <c r="K743" s="24">
        <v>38.659276094926369</v>
      </c>
      <c r="L743" s="24">
        <v>41.96912591350447</v>
      </c>
      <c r="M743" s="24">
        <v>45.589373217094874</v>
      </c>
      <c r="N743" s="24">
        <v>49.582389044850288</v>
      </c>
      <c r="O743" s="24">
        <v>53.976224892045217</v>
      </c>
      <c r="P743" s="24">
        <v>58.816726399538325</v>
      </c>
      <c r="Q743" s="21"/>
      <c r="R743" s="21"/>
    </row>
    <row r="744" spans="1:18" x14ac:dyDescent="0.35">
      <c r="A744" s="39" t="s">
        <v>87</v>
      </c>
      <c r="B744" s="35" t="s">
        <v>27</v>
      </c>
      <c r="C744" s="36" t="s">
        <v>31</v>
      </c>
      <c r="D744" s="24">
        <v>17.635133337399441</v>
      </c>
      <c r="E744" s="24">
        <v>18.79652667546797</v>
      </c>
      <c r="F744" s="24">
        <v>20.080192234346331</v>
      </c>
      <c r="G744" s="24">
        <v>21.466797319455065</v>
      </c>
      <c r="H744" s="24">
        <v>22.966462322651868</v>
      </c>
      <c r="I744" s="24">
        <v>24.599333919118926</v>
      </c>
      <c r="J744" s="24">
        <v>26.366933335727982</v>
      </c>
      <c r="K744" s="24">
        <v>28.291285725568255</v>
      </c>
      <c r="L744" s="24">
        <v>30.400142312546482</v>
      </c>
      <c r="M744" s="24">
        <v>32.690582050900296</v>
      </c>
      <c r="N744" s="24">
        <v>35.193919048278254</v>
      </c>
      <c r="O744" s="24">
        <v>37.933685656770898</v>
      </c>
      <c r="P744" s="24">
        <v>40.953303241112074</v>
      </c>
      <c r="Q744" s="21"/>
      <c r="R744" s="21"/>
    </row>
    <row r="745" spans="1:18" x14ac:dyDescent="0.35">
      <c r="A745" s="39" t="s">
        <v>87</v>
      </c>
      <c r="B745" s="35" t="s">
        <v>27</v>
      </c>
      <c r="C745" s="36" t="s">
        <v>32</v>
      </c>
      <c r="D745" s="24">
        <v>9.5056825374281999</v>
      </c>
      <c r="E745" s="24">
        <v>9.9922735425090963</v>
      </c>
      <c r="F745" s="24">
        <v>10.527833277747094</v>
      </c>
      <c r="G745" s="24">
        <v>11.098148789567515</v>
      </c>
      <c r="H745" s="24">
        <v>11.707138175613625</v>
      </c>
      <c r="I745" s="24">
        <v>12.355458976719889</v>
      </c>
      <c r="J745" s="24">
        <v>13.043623538897863</v>
      </c>
      <c r="K745" s="24">
        <v>13.77674606143732</v>
      </c>
      <c r="L745" s="24">
        <v>14.565502501933818</v>
      </c>
      <c r="M745" s="24">
        <v>15.419359503100734</v>
      </c>
      <c r="N745" s="24">
        <v>16.336451329285051</v>
      </c>
      <c r="O745" s="24">
        <v>17.317632349591353</v>
      </c>
      <c r="P745" s="24">
        <v>18.373301748649823</v>
      </c>
      <c r="Q745" s="14"/>
      <c r="R745" s="14"/>
    </row>
    <row r="746" spans="1:18" x14ac:dyDescent="0.35">
      <c r="A746" s="39" t="s">
        <v>87</v>
      </c>
      <c r="B746" s="35" t="s">
        <v>27</v>
      </c>
      <c r="C746" s="36" t="s">
        <v>33</v>
      </c>
      <c r="D746" s="24">
        <v>6.1450119723999261</v>
      </c>
      <c r="E746" s="24">
        <v>6.5390295309483601</v>
      </c>
      <c r="F746" s="24">
        <v>6.9601015364427212</v>
      </c>
      <c r="G746" s="24">
        <v>7.4123392467960585</v>
      </c>
      <c r="H746" s="24">
        <v>7.9007189327228557</v>
      </c>
      <c r="I746" s="24">
        <v>8.4268341273333363</v>
      </c>
      <c r="J746" s="24">
        <v>8.9903179891771714</v>
      </c>
      <c r="K746" s="24">
        <v>9.5995391327893493</v>
      </c>
      <c r="L746" s="24">
        <v>10.264967601675542</v>
      </c>
      <c r="M746" s="24">
        <v>10.98313181899298</v>
      </c>
      <c r="N746" s="24">
        <v>11.76611283739798</v>
      </c>
      <c r="O746" s="24">
        <v>12.617034931455535</v>
      </c>
      <c r="P746" s="24">
        <v>13.5428889174588</v>
      </c>
      <c r="Q746" s="14"/>
      <c r="R746" s="14"/>
    </row>
    <row r="747" spans="1:18" x14ac:dyDescent="0.35">
      <c r="A747" s="39" t="s">
        <v>87</v>
      </c>
      <c r="B747" s="35" t="s">
        <v>34</v>
      </c>
      <c r="C747" s="36" t="s">
        <v>35</v>
      </c>
      <c r="D747" s="24">
        <v>39.634922356856023</v>
      </c>
      <c r="E747" s="24">
        <v>41.616201340097092</v>
      </c>
      <c r="F747" s="24">
        <v>43.84364717596948</v>
      </c>
      <c r="G747" s="24">
        <v>46.189667361199909</v>
      </c>
      <c r="H747" s="24">
        <v>48.667788891246246</v>
      </c>
      <c r="I747" s="24">
        <v>51.316875417753295</v>
      </c>
      <c r="J747" s="24">
        <v>54.28583468892208</v>
      </c>
      <c r="K747" s="24">
        <v>57.543698649626748</v>
      </c>
      <c r="L747" s="24">
        <v>61.010313041303732</v>
      </c>
      <c r="M747" s="24">
        <v>64.725497804415511</v>
      </c>
      <c r="N747" s="24">
        <v>68.825733756577876</v>
      </c>
      <c r="O747" s="24">
        <v>73.366181192428712</v>
      </c>
      <c r="P747" s="24">
        <v>78.390139714392006</v>
      </c>
      <c r="Q747" s="14"/>
      <c r="R747" s="14"/>
    </row>
    <row r="748" spans="1:18" x14ac:dyDescent="0.35">
      <c r="A748" s="39" t="s">
        <v>87</v>
      </c>
      <c r="B748" s="35" t="s">
        <v>34</v>
      </c>
      <c r="C748" s="36" t="s">
        <v>36</v>
      </c>
      <c r="D748" s="24">
        <v>45.274579954428951</v>
      </c>
      <c r="E748" s="24">
        <v>48.541305542357961</v>
      </c>
      <c r="F748" s="24">
        <v>52.146009791181044</v>
      </c>
      <c r="G748" s="24">
        <v>56.023008292945619</v>
      </c>
      <c r="H748" s="24">
        <v>60.214993485225818</v>
      </c>
      <c r="I748" s="24">
        <v>64.775613228499012</v>
      </c>
      <c r="J748" s="24">
        <v>69.732446563560018</v>
      </c>
      <c r="K748" s="24">
        <v>75.261516901235325</v>
      </c>
      <c r="L748" s="24">
        <v>81.291190691515538</v>
      </c>
      <c r="M748" s="24">
        <v>87.907262655119652</v>
      </c>
      <c r="N748" s="24">
        <v>95.21605942383006</v>
      </c>
      <c r="O748" s="24">
        <v>103.30639545737282</v>
      </c>
      <c r="P748" s="24">
        <v>112.28045618585705</v>
      </c>
      <c r="Q748" s="14"/>
      <c r="R748" s="14"/>
    </row>
    <row r="749" spans="1:18" x14ac:dyDescent="0.35">
      <c r="A749" s="39" t="s">
        <v>87</v>
      </c>
      <c r="B749" s="35" t="s">
        <v>34</v>
      </c>
      <c r="C749" s="36" t="s">
        <v>37</v>
      </c>
      <c r="D749" s="24">
        <v>27.957877632272641</v>
      </c>
      <c r="E749" s="24">
        <v>29.800523205243209</v>
      </c>
      <c r="F749" s="24">
        <v>31.837205000670298</v>
      </c>
      <c r="G749" s="24">
        <v>34.037299251616929</v>
      </c>
      <c r="H749" s="24">
        <v>36.416876538076814</v>
      </c>
      <c r="I749" s="24">
        <v>39.007908763844831</v>
      </c>
      <c r="J749" s="24">
        <v>41.812839033754813</v>
      </c>
      <c r="K749" s="24">
        <v>44.866626201577212</v>
      </c>
      <c r="L749" s="24">
        <v>48.213316697720224</v>
      </c>
      <c r="M749" s="24">
        <v>51.848320484740398</v>
      </c>
      <c r="N749" s="24">
        <v>55.821344763595967</v>
      </c>
      <c r="O749" s="24">
        <v>60.169763541639718</v>
      </c>
      <c r="P749" s="24">
        <v>64.962505600203187</v>
      </c>
      <c r="Q749" s="14"/>
      <c r="R749" s="14"/>
    </row>
    <row r="750" spans="1:18" x14ac:dyDescent="0.35">
      <c r="A750" s="39" t="s">
        <v>87</v>
      </c>
      <c r="B750" s="35" t="s">
        <v>34</v>
      </c>
      <c r="C750" s="36" t="s">
        <v>38</v>
      </c>
      <c r="D750" s="24">
        <v>11.440643004359668</v>
      </c>
      <c r="E750" s="24">
        <v>12.158562466719793</v>
      </c>
      <c r="F750" s="24">
        <v>12.924861019945658</v>
      </c>
      <c r="G750" s="24">
        <v>13.746979174653374</v>
      </c>
      <c r="H750" s="24">
        <v>14.633922719517029</v>
      </c>
      <c r="I750" s="24">
        <v>15.588384766405566</v>
      </c>
      <c r="J750" s="24">
        <v>16.609417267953415</v>
      </c>
      <c r="K750" s="24">
        <v>17.71221459609362</v>
      </c>
      <c r="L750" s="24">
        <v>18.915769551946777</v>
      </c>
      <c r="M750" s="24">
        <v>20.213285571899316</v>
      </c>
      <c r="N750" s="24">
        <v>21.626622404330774</v>
      </c>
      <c r="O750" s="24">
        <v>23.161063682524098</v>
      </c>
      <c r="P750" s="24">
        <v>24.828962171984845</v>
      </c>
      <c r="Q750" s="14"/>
      <c r="R750" s="14"/>
    </row>
    <row r="751" spans="1:18" x14ac:dyDescent="0.35">
      <c r="A751" s="39" t="s">
        <v>87</v>
      </c>
      <c r="B751" s="35" t="s">
        <v>22</v>
      </c>
      <c r="C751" s="36" t="s">
        <v>39</v>
      </c>
      <c r="D751" s="24">
        <v>31.210910362517353</v>
      </c>
      <c r="E751" s="24">
        <v>33.232056306588277</v>
      </c>
      <c r="F751" s="24">
        <v>35.483438597933826</v>
      </c>
      <c r="G751" s="24">
        <v>37.852282631379154</v>
      </c>
      <c r="H751" s="24">
        <v>40.335249288111413</v>
      </c>
      <c r="I751" s="24">
        <v>42.989787307383978</v>
      </c>
      <c r="J751" s="24">
        <v>45.972237504188229</v>
      </c>
      <c r="K751" s="24">
        <v>49.301095893485609</v>
      </c>
      <c r="L751" s="24">
        <v>52.860285433331342</v>
      </c>
      <c r="M751" s="24">
        <v>56.71245301994955</v>
      </c>
      <c r="N751" s="24">
        <v>61.016588330395081</v>
      </c>
      <c r="O751" s="24">
        <v>65.893072938746741</v>
      </c>
      <c r="P751" s="24">
        <v>71.335073974129983</v>
      </c>
      <c r="Q751" s="14"/>
      <c r="R751" s="14"/>
    </row>
    <row r="752" spans="1:18" x14ac:dyDescent="0.35">
      <c r="A752" s="39" t="s">
        <v>87</v>
      </c>
      <c r="B752" s="35" t="s">
        <v>22</v>
      </c>
      <c r="C752" s="36" t="s">
        <v>40</v>
      </c>
      <c r="D752" s="24">
        <v>32.192840985536698</v>
      </c>
      <c r="E752" s="24">
        <v>34.109753061827519</v>
      </c>
      <c r="F752" s="24">
        <v>36.223895199400786</v>
      </c>
      <c r="G752" s="24">
        <v>38.49662776593437</v>
      </c>
      <c r="H752" s="24">
        <v>40.942996898320878</v>
      </c>
      <c r="I752" s="24">
        <v>43.595528478987816</v>
      </c>
      <c r="J752" s="24">
        <v>46.452930090460136</v>
      </c>
      <c r="K752" s="24">
        <v>49.550013158113451</v>
      </c>
      <c r="L752" s="24">
        <v>52.930747596168075</v>
      </c>
      <c r="M752" s="24">
        <v>56.584606620813737</v>
      </c>
      <c r="N752" s="24">
        <v>60.560500179051601</v>
      </c>
      <c r="O752" s="24">
        <v>64.892732075329633</v>
      </c>
      <c r="P752" s="24">
        <v>69.648747141716015</v>
      </c>
      <c r="Q752" s="14"/>
      <c r="R752" s="14"/>
    </row>
    <row r="753" spans="1:18" x14ac:dyDescent="0.35">
      <c r="A753" s="39" t="s">
        <v>87</v>
      </c>
      <c r="B753" s="35" t="s">
        <v>22</v>
      </c>
      <c r="C753" s="36" t="s">
        <v>41</v>
      </c>
      <c r="D753" s="24">
        <v>24.122757576856984</v>
      </c>
      <c r="E753" s="24">
        <v>25.343015236387572</v>
      </c>
      <c r="F753" s="24">
        <v>26.726465918787778</v>
      </c>
      <c r="G753" s="24">
        <v>28.204589809472598</v>
      </c>
      <c r="H753" s="24">
        <v>29.795626258426481</v>
      </c>
      <c r="I753" s="24">
        <v>31.50119180980133</v>
      </c>
      <c r="J753" s="24">
        <v>33.337142457248326</v>
      </c>
      <c r="K753" s="24">
        <v>35.340302438518286</v>
      </c>
      <c r="L753" s="24">
        <v>37.490260337954425</v>
      </c>
      <c r="M753" s="24">
        <v>39.828795339930203</v>
      </c>
      <c r="N753" s="24">
        <v>42.344823360936388</v>
      </c>
      <c r="O753" s="24">
        <v>45.071492104351577</v>
      </c>
      <c r="P753" s="24">
        <v>48.069182921670723</v>
      </c>
      <c r="Q753" s="14"/>
      <c r="R753" s="14"/>
    </row>
    <row r="754" spans="1:18" x14ac:dyDescent="0.35">
      <c r="A754" s="39" t="s">
        <v>87</v>
      </c>
      <c r="B754" s="35" t="s">
        <v>22</v>
      </c>
      <c r="C754" s="36" t="s">
        <v>42</v>
      </c>
      <c r="D754" s="24">
        <v>36.78151402300626</v>
      </c>
      <c r="E754" s="24">
        <v>39.431767949614674</v>
      </c>
      <c r="F754" s="24">
        <v>42.317923271644084</v>
      </c>
      <c r="G754" s="24">
        <v>45.443453873629707</v>
      </c>
      <c r="H754" s="24">
        <v>48.859709189207138</v>
      </c>
      <c r="I754" s="24">
        <v>52.602274580329585</v>
      </c>
      <c r="J754" s="24">
        <v>56.678227502293616</v>
      </c>
      <c r="K754" s="24">
        <v>61.192644858415562</v>
      </c>
      <c r="L754" s="24">
        <v>66.149296615032398</v>
      </c>
      <c r="M754" s="24">
        <v>71.568511535481377</v>
      </c>
      <c r="N754" s="24">
        <v>77.5678484779516</v>
      </c>
      <c r="O754" s="24">
        <v>84.146106755537403</v>
      </c>
      <c r="P754" s="24">
        <v>91.409059634920339</v>
      </c>
      <c r="Q754" s="14"/>
      <c r="R754" s="14"/>
    </row>
    <row r="755" spans="1:18" x14ac:dyDescent="0.35">
      <c r="A755" s="37" t="s">
        <v>47</v>
      </c>
      <c r="B755" s="35" t="s">
        <v>24</v>
      </c>
      <c r="C755" s="36" t="s">
        <v>25</v>
      </c>
      <c r="D755" s="24">
        <v>418.83369422375546</v>
      </c>
      <c r="E755" s="24">
        <v>440.11262867020503</v>
      </c>
      <c r="F755" s="24">
        <v>463.17420226168377</v>
      </c>
      <c r="G755" s="24">
        <v>488.10796970534312</v>
      </c>
      <c r="H755" s="24">
        <v>514.86154670204041</v>
      </c>
      <c r="I755" s="24">
        <v>544.13805439482701</v>
      </c>
      <c r="J755" s="24">
        <v>575.46687758546091</v>
      </c>
      <c r="K755" s="24">
        <v>609.81514196793</v>
      </c>
      <c r="L755" s="24">
        <v>647.15032639074934</v>
      </c>
      <c r="M755" s="24">
        <v>687.82263075286266</v>
      </c>
      <c r="N755" s="24">
        <v>732.43121881430181</v>
      </c>
      <c r="O755" s="24">
        <v>781.38128053998344</v>
      </c>
      <c r="P755" s="24">
        <v>835.01237418281903</v>
      </c>
      <c r="Q755" s="14"/>
      <c r="R755" s="14"/>
    </row>
    <row r="756" spans="1:18" x14ac:dyDescent="0.35">
      <c r="A756" s="37" t="s">
        <v>47</v>
      </c>
      <c r="B756" s="35" t="s">
        <v>24</v>
      </c>
      <c r="C756" s="36" t="s">
        <v>26</v>
      </c>
      <c r="D756" s="24">
        <v>3836.7868044356551</v>
      </c>
      <c r="E756" s="24">
        <v>4071.3993621041959</v>
      </c>
      <c r="F756" s="24">
        <v>4330.3621316243534</v>
      </c>
      <c r="G756" s="24">
        <v>4608.7919677968857</v>
      </c>
      <c r="H756" s="24">
        <v>4908.8772886255765</v>
      </c>
      <c r="I756" s="24">
        <v>5232.7006099920918</v>
      </c>
      <c r="J756" s="24">
        <v>5581.6327336361646</v>
      </c>
      <c r="K756" s="24">
        <v>5959.5525508930004</v>
      </c>
      <c r="L756" s="24">
        <v>6370.3118438144238</v>
      </c>
      <c r="M756" s="24">
        <v>6817.472120688396</v>
      </c>
      <c r="N756" s="24">
        <v>7304.1210519017395</v>
      </c>
      <c r="O756" s="24">
        <v>7833.0725275099967</v>
      </c>
      <c r="P756" s="24">
        <v>8410.7080329909732</v>
      </c>
      <c r="Q756" s="14"/>
      <c r="R756" s="14"/>
    </row>
    <row r="757" spans="1:18" x14ac:dyDescent="0.35">
      <c r="A757" s="37" t="s">
        <v>47</v>
      </c>
      <c r="B757" s="35" t="s">
        <v>27</v>
      </c>
      <c r="C757" s="36" t="s">
        <v>28</v>
      </c>
      <c r="D757" s="24">
        <v>1479.3600119731786</v>
      </c>
      <c r="E757" s="24">
        <v>1555.0579215041187</v>
      </c>
      <c r="F757" s="24">
        <v>1640.2630765020951</v>
      </c>
      <c r="G757" s="24">
        <v>1731.5744907487433</v>
      </c>
      <c r="H757" s="24">
        <v>1829.191029585817</v>
      </c>
      <c r="I757" s="24">
        <v>1933.9208328384818</v>
      </c>
      <c r="J757" s="24">
        <v>2044.3347692571456</v>
      </c>
      <c r="K757" s="24">
        <v>2162.3532005718557</v>
      </c>
      <c r="L757" s="24">
        <v>2288.8740255406201</v>
      </c>
      <c r="M757" s="24">
        <v>2424.695357021074</v>
      </c>
      <c r="N757" s="24">
        <v>2570.5300662682175</v>
      </c>
      <c r="O757" s="24">
        <v>2727.6814948983265</v>
      </c>
      <c r="P757" s="24">
        <v>2894.9110915909077</v>
      </c>
      <c r="Q757" s="14"/>
      <c r="R757" s="14"/>
    </row>
    <row r="758" spans="1:18" x14ac:dyDescent="0.35">
      <c r="A758" s="37" t="s">
        <v>47</v>
      </c>
      <c r="B758" s="35" t="s">
        <v>27</v>
      </c>
      <c r="C758" s="36" t="s">
        <v>29</v>
      </c>
      <c r="D758" s="24">
        <v>878.30653594456328</v>
      </c>
      <c r="E758" s="24">
        <v>939.27964248132889</v>
      </c>
      <c r="F758" s="24">
        <v>1005.3990047124134</v>
      </c>
      <c r="G758" s="24">
        <v>1076.7071536519381</v>
      </c>
      <c r="H758" s="24">
        <v>1153.8084979112364</v>
      </c>
      <c r="I758" s="24">
        <v>1237.4503992586581</v>
      </c>
      <c r="J758" s="24">
        <v>1328.5494580101306</v>
      </c>
      <c r="K758" s="24">
        <v>1427.7649934301974</v>
      </c>
      <c r="L758" s="24">
        <v>1536.4886547016511</v>
      </c>
      <c r="M758" s="24">
        <v>1655.7274963441794</v>
      </c>
      <c r="N758" s="24">
        <v>1786.585647677239</v>
      </c>
      <c r="O758" s="24">
        <v>1929.3941408818262</v>
      </c>
      <c r="P758" s="24">
        <v>2086.9966345547518</v>
      </c>
      <c r="Q758" s="14"/>
      <c r="R758" s="14"/>
    </row>
    <row r="759" spans="1:18" x14ac:dyDescent="0.35">
      <c r="A759" s="37" t="s">
        <v>47</v>
      </c>
      <c r="B759" s="35" t="s">
        <v>27</v>
      </c>
      <c r="C759" s="36" t="s">
        <v>30</v>
      </c>
      <c r="D759" s="24">
        <v>735.80350826108213</v>
      </c>
      <c r="E759" s="24">
        <v>791.13443439576997</v>
      </c>
      <c r="F759" s="24">
        <v>851.38144741132385</v>
      </c>
      <c r="G759" s="24">
        <v>916.58708391646803</v>
      </c>
      <c r="H759" s="24">
        <v>987.24553429008586</v>
      </c>
      <c r="I759" s="24">
        <v>1064.1264405240308</v>
      </c>
      <c r="J759" s="24">
        <v>1148.1883037523496</v>
      </c>
      <c r="K759" s="24">
        <v>1239.9372662713424</v>
      </c>
      <c r="L759" s="24">
        <v>1340.841238054204</v>
      </c>
      <c r="M759" s="24">
        <v>1452.0363110916389</v>
      </c>
      <c r="N759" s="24">
        <v>1574.4886139032099</v>
      </c>
      <c r="O759" s="24">
        <v>1708.6805198010302</v>
      </c>
      <c r="P759" s="24">
        <v>1857.3900655687419</v>
      </c>
      <c r="Q759" s="14"/>
      <c r="R759" s="14"/>
    </row>
    <row r="760" spans="1:18" x14ac:dyDescent="0.35">
      <c r="A760" s="37" t="s">
        <v>47</v>
      </c>
      <c r="B760" s="35" t="s">
        <v>27</v>
      </c>
      <c r="C760" s="36" t="s">
        <v>31</v>
      </c>
      <c r="D760" s="24">
        <v>557.22107654129979</v>
      </c>
      <c r="E760" s="24">
        <v>590.8781742412807</v>
      </c>
      <c r="F760" s="24">
        <v>628.34973300691775</v>
      </c>
      <c r="G760" s="24">
        <v>668.67051854203464</v>
      </c>
      <c r="H760" s="24">
        <v>712.33212006743111</v>
      </c>
      <c r="I760" s="24">
        <v>759.59872502174881</v>
      </c>
      <c r="J760" s="24">
        <v>810.81740327755676</v>
      </c>
      <c r="K760" s="24">
        <v>866.97688198345759</v>
      </c>
      <c r="L760" s="24">
        <v>927.95627603361777</v>
      </c>
      <c r="M760" s="24">
        <v>994.47382785993284</v>
      </c>
      <c r="N760" s="24">
        <v>1066.9530052489981</v>
      </c>
      <c r="O760" s="24">
        <v>1146.0858384558783</v>
      </c>
      <c r="P760" s="24">
        <v>1233.3439440363454</v>
      </c>
      <c r="Q760" s="21"/>
      <c r="R760" s="21"/>
    </row>
    <row r="761" spans="1:18" x14ac:dyDescent="0.35">
      <c r="A761" s="37" t="s">
        <v>47</v>
      </c>
      <c r="B761" s="35" t="s">
        <v>27</v>
      </c>
      <c r="C761" s="36" t="s">
        <v>32</v>
      </c>
      <c r="D761" s="24">
        <v>367.52274948417687</v>
      </c>
      <c r="E761" s="24">
        <v>384.70738738968367</v>
      </c>
      <c r="F761" s="24">
        <v>403.11791704159737</v>
      </c>
      <c r="G761" s="24">
        <v>422.68650978127232</v>
      </c>
      <c r="H761" s="24">
        <v>443.62204837534375</v>
      </c>
      <c r="I761" s="24">
        <v>465.98316663903876</v>
      </c>
      <c r="J761" s="24">
        <v>489.77014998495679</v>
      </c>
      <c r="K761" s="24">
        <v>515.34976633631163</v>
      </c>
      <c r="L761" s="24">
        <v>543.02459364758488</v>
      </c>
      <c r="M761" s="24">
        <v>572.70218327553812</v>
      </c>
      <c r="N761" s="24">
        <v>604.7683307570677</v>
      </c>
      <c r="O761" s="24">
        <v>639.29590802823657</v>
      </c>
      <c r="P761" s="24">
        <v>676.64567089858974</v>
      </c>
      <c r="Q761" s="21"/>
      <c r="R761" s="21"/>
    </row>
    <row r="762" spans="1:18" x14ac:dyDescent="0.35">
      <c r="A762" s="37" t="s">
        <v>47</v>
      </c>
      <c r="B762" s="35" t="s">
        <v>27</v>
      </c>
      <c r="C762" s="36" t="s">
        <v>33</v>
      </c>
      <c r="D762" s="24">
        <v>237.40661645511031</v>
      </c>
      <c r="E762" s="24">
        <v>250.45443076221932</v>
      </c>
      <c r="F762" s="24">
        <v>265.02515521168982</v>
      </c>
      <c r="G762" s="24">
        <v>280.67418086177207</v>
      </c>
      <c r="H762" s="24">
        <v>297.53960509770258</v>
      </c>
      <c r="I762" s="24">
        <v>315.75910010496096</v>
      </c>
      <c r="J762" s="24">
        <v>335.43952693948688</v>
      </c>
      <c r="K762" s="24">
        <v>356.98558426776657</v>
      </c>
      <c r="L762" s="24">
        <v>380.27738222749679</v>
      </c>
      <c r="M762" s="24">
        <v>405.65957584889543</v>
      </c>
      <c r="N762" s="24">
        <v>433.22660686130814</v>
      </c>
      <c r="O762" s="24">
        <v>463.31590598468125</v>
      </c>
      <c r="P762" s="24">
        <v>496.43300052445505</v>
      </c>
      <c r="Q762" s="21"/>
      <c r="R762" s="21"/>
    </row>
    <row r="763" spans="1:18" x14ac:dyDescent="0.35">
      <c r="A763" s="37" t="s">
        <v>47</v>
      </c>
      <c r="B763" s="35" t="s">
        <v>34</v>
      </c>
      <c r="C763" s="36" t="s">
        <v>35</v>
      </c>
      <c r="D763" s="24">
        <v>1486.6774227701965</v>
      </c>
      <c r="E763" s="24">
        <v>1568.0444634742539</v>
      </c>
      <c r="F763" s="24">
        <v>1656.8174090196073</v>
      </c>
      <c r="G763" s="24">
        <v>1751.1994286702552</v>
      </c>
      <c r="H763" s="24">
        <v>1851.5805407646676</v>
      </c>
      <c r="I763" s="24">
        <v>1958.2560060796991</v>
      </c>
      <c r="J763" s="24">
        <v>2071.4496375062781</v>
      </c>
      <c r="K763" s="24">
        <v>2190.6552447932045</v>
      </c>
      <c r="L763" s="24">
        <v>2319.2667262382906</v>
      </c>
      <c r="M763" s="24">
        <v>2457.3587085588447</v>
      </c>
      <c r="N763" s="24">
        <v>2606.0132230237327</v>
      </c>
      <c r="O763" s="24">
        <v>2764.4308564479434</v>
      </c>
      <c r="P763" s="24">
        <v>2932.7305519561287</v>
      </c>
      <c r="Q763" s="21"/>
      <c r="R763" s="21"/>
    </row>
    <row r="764" spans="1:18" x14ac:dyDescent="0.35">
      <c r="A764" s="37" t="s">
        <v>47</v>
      </c>
      <c r="B764" s="35" t="s">
        <v>34</v>
      </c>
      <c r="C764" s="36" t="s">
        <v>36</v>
      </c>
      <c r="D764" s="24">
        <v>1475.8646942557737</v>
      </c>
      <c r="E764" s="24">
        <v>1575.4110007074573</v>
      </c>
      <c r="F764" s="24">
        <v>1686.5984493587273</v>
      </c>
      <c r="G764" s="24">
        <v>1806.9165232889993</v>
      </c>
      <c r="H764" s="24">
        <v>1937.7102356213011</v>
      </c>
      <c r="I764" s="24">
        <v>2079.7409072526848</v>
      </c>
      <c r="J764" s="24">
        <v>2234.2415111435553</v>
      </c>
      <c r="K764" s="24">
        <v>2403.6973569734232</v>
      </c>
      <c r="L764" s="24">
        <v>2588.5258647782316</v>
      </c>
      <c r="M764" s="24">
        <v>2791.265515945925</v>
      </c>
      <c r="N764" s="24">
        <v>3012.6531443648482</v>
      </c>
      <c r="O764" s="24">
        <v>3255.2184462587838</v>
      </c>
      <c r="P764" s="24">
        <v>3523.4456019741738</v>
      </c>
      <c r="Q764" s="21"/>
      <c r="R764" s="21"/>
    </row>
    <row r="765" spans="1:18" x14ac:dyDescent="0.35">
      <c r="A765" s="37" t="s">
        <v>47</v>
      </c>
      <c r="B765" s="35" t="s">
        <v>34</v>
      </c>
      <c r="C765" s="36" t="s">
        <v>37</v>
      </c>
      <c r="D765" s="24">
        <v>914.6912963668816</v>
      </c>
      <c r="E765" s="24">
        <v>969.3008263128288</v>
      </c>
      <c r="F765" s="24">
        <v>1028.7270128010568</v>
      </c>
      <c r="G765" s="24">
        <v>1093.1613335059467</v>
      </c>
      <c r="H765" s="24">
        <v>1162.7487351140796</v>
      </c>
      <c r="I765" s="24">
        <v>1239.0684508561826</v>
      </c>
      <c r="J765" s="24">
        <v>1321.3286665713767</v>
      </c>
      <c r="K765" s="24">
        <v>1411.8051279241461</v>
      </c>
      <c r="L765" s="24">
        <v>1510.6819802034779</v>
      </c>
      <c r="M765" s="24">
        <v>1618.781257996123</v>
      </c>
      <c r="N765" s="24">
        <v>1737.8340072976946</v>
      </c>
      <c r="O765" s="24">
        <v>1868.8733828000877</v>
      </c>
      <c r="P765" s="24">
        <v>2013.215665561683</v>
      </c>
      <c r="Q765" s="21"/>
      <c r="R765" s="21"/>
    </row>
    <row r="766" spans="1:18" x14ac:dyDescent="0.35">
      <c r="A766" s="37" t="s">
        <v>47</v>
      </c>
      <c r="B766" s="35" t="s">
        <v>34</v>
      </c>
      <c r="C766" s="36" t="s">
        <v>38</v>
      </c>
      <c r="D766" s="24">
        <v>378.38708526655921</v>
      </c>
      <c r="E766" s="24">
        <v>398.75570027986089</v>
      </c>
      <c r="F766" s="24">
        <v>421.39346270664595</v>
      </c>
      <c r="G766" s="24">
        <v>445.62265203702765</v>
      </c>
      <c r="H766" s="24">
        <v>471.69932382756951</v>
      </c>
      <c r="I766" s="24">
        <v>499.77330019835438</v>
      </c>
      <c r="J766" s="24">
        <v>530.0797960004162</v>
      </c>
      <c r="K766" s="24">
        <v>563.20996317015727</v>
      </c>
      <c r="L766" s="24">
        <v>598.98759898517437</v>
      </c>
      <c r="M766" s="24">
        <v>637.88926894036479</v>
      </c>
      <c r="N766" s="24">
        <v>680.05189602976577</v>
      </c>
      <c r="O766" s="24">
        <v>725.93112254316202</v>
      </c>
      <c r="P766" s="24">
        <v>776.3285876818079</v>
      </c>
      <c r="Q766" s="21"/>
      <c r="R766" s="21"/>
    </row>
    <row r="767" spans="1:18" x14ac:dyDescent="0.35">
      <c r="A767" s="37" t="s">
        <v>47</v>
      </c>
      <c r="B767" s="35" t="s">
        <v>22</v>
      </c>
      <c r="C767" s="36" t="s">
        <v>39</v>
      </c>
      <c r="D767" s="24">
        <v>1089.8791378681519</v>
      </c>
      <c r="E767" s="24">
        <v>1159.748765960491</v>
      </c>
      <c r="F767" s="24">
        <v>1239.3459106382397</v>
      </c>
      <c r="G767" s="24">
        <v>1325.4051034047855</v>
      </c>
      <c r="H767" s="24">
        <v>1418.4855427791008</v>
      </c>
      <c r="I767" s="24">
        <v>1518.5743246636798</v>
      </c>
      <c r="J767" s="24">
        <v>1625.0937542861809</v>
      </c>
      <c r="K767" s="24">
        <v>1737.633530457653</v>
      </c>
      <c r="L767" s="24">
        <v>1859.5809785727668</v>
      </c>
      <c r="M767" s="24">
        <v>1992.5908138764205</v>
      </c>
      <c r="N767" s="24">
        <v>2136.1853552532098</v>
      </c>
      <c r="O767" s="24">
        <v>2289.9402394039416</v>
      </c>
      <c r="P767" s="24">
        <v>2455.3456917505264</v>
      </c>
      <c r="Q767" s="21"/>
      <c r="R767" s="21"/>
    </row>
    <row r="768" spans="1:18" x14ac:dyDescent="0.35">
      <c r="A768" s="37" t="s">
        <v>47</v>
      </c>
      <c r="B768" s="35" t="s">
        <v>22</v>
      </c>
      <c r="C768" s="36" t="s">
        <v>40</v>
      </c>
      <c r="D768" s="24">
        <v>1129.9995608055685</v>
      </c>
      <c r="E768" s="24">
        <v>1193.9158675210117</v>
      </c>
      <c r="F768" s="24">
        <v>1262.8617304088016</v>
      </c>
      <c r="G768" s="24">
        <v>1336.7612666877562</v>
      </c>
      <c r="H768" s="24">
        <v>1415.806750306682</v>
      </c>
      <c r="I768" s="24">
        <v>1500.9567644739177</v>
      </c>
      <c r="J768" s="24">
        <v>1593.1906216099467</v>
      </c>
      <c r="K768" s="24">
        <v>1693.053547251782</v>
      </c>
      <c r="L768" s="24">
        <v>1801.5963987657199</v>
      </c>
      <c r="M768" s="24">
        <v>1919.3380379911866</v>
      </c>
      <c r="N768" s="24">
        <v>2046.9513480487576</v>
      </c>
      <c r="O768" s="24">
        <v>2185.9270921344137</v>
      </c>
      <c r="P768" s="24">
        <v>2337.8945937260028</v>
      </c>
      <c r="Q768" s="21"/>
      <c r="R768" s="21"/>
    </row>
    <row r="769" spans="1:18" x14ac:dyDescent="0.35">
      <c r="A769" s="37" t="s">
        <v>47</v>
      </c>
      <c r="B769" s="35" t="s">
        <v>22</v>
      </c>
      <c r="C769" s="36" t="s">
        <v>41</v>
      </c>
      <c r="D769" s="24">
        <v>801.73858566655201</v>
      </c>
      <c r="E769" s="24">
        <v>840.21682847961904</v>
      </c>
      <c r="F769" s="24">
        <v>881.66644647690077</v>
      </c>
      <c r="G769" s="24">
        <v>925.83755700089898</v>
      </c>
      <c r="H769" s="24">
        <v>973.30707759922302</v>
      </c>
      <c r="I769" s="24">
        <v>1024.4738858671933</v>
      </c>
      <c r="J769" s="24">
        <v>1079.2696911555752</v>
      </c>
      <c r="K769" s="24">
        <v>1139.0186944686236</v>
      </c>
      <c r="L769" s="24">
        <v>1203.6943742199257</v>
      </c>
      <c r="M769" s="24">
        <v>1273.2791151943138</v>
      </c>
      <c r="N769" s="24">
        <v>1349.0860358232871</v>
      </c>
      <c r="O769" s="24">
        <v>1431.0428285855191</v>
      </c>
      <c r="P769" s="24">
        <v>1520.1971055517245</v>
      </c>
      <c r="Q769" s="21"/>
      <c r="R769" s="21"/>
    </row>
    <row r="770" spans="1:18" x14ac:dyDescent="0.35">
      <c r="A770" s="37" t="s">
        <v>47</v>
      </c>
      <c r="B770" s="35" t="s">
        <v>22</v>
      </c>
      <c r="C770" s="36" t="s">
        <v>42</v>
      </c>
      <c r="D770" s="24">
        <v>1234.0032143191384</v>
      </c>
      <c r="E770" s="24">
        <v>1317.6305288132792</v>
      </c>
      <c r="F770" s="24">
        <v>1409.6622463620954</v>
      </c>
      <c r="G770" s="24">
        <v>1508.896010408788</v>
      </c>
      <c r="H770" s="24">
        <v>1616.1394646426108</v>
      </c>
      <c r="I770" s="24">
        <v>1732.8336893821293</v>
      </c>
      <c r="J770" s="24">
        <v>1859.545544169923</v>
      </c>
      <c r="K770" s="24">
        <v>1999.6619206828732</v>
      </c>
      <c r="L770" s="24">
        <v>2152.5904186467628</v>
      </c>
      <c r="M770" s="24">
        <v>2320.0867843793376</v>
      </c>
      <c r="N770" s="24">
        <v>2504.3295315907862</v>
      </c>
      <c r="O770" s="24">
        <v>2707.5436479261048</v>
      </c>
      <c r="P770" s="24">
        <v>2932.283016145539</v>
      </c>
      <c r="Q770" s="21"/>
      <c r="R770" s="21"/>
    </row>
    <row r="771" spans="1:18" x14ac:dyDescent="0.35">
      <c r="A771" s="37" t="s">
        <v>47</v>
      </c>
      <c r="B771" s="37" t="s">
        <v>48</v>
      </c>
      <c r="C771" s="39" t="s">
        <v>88</v>
      </c>
      <c r="D771" s="24">
        <v>44.783338672463962</v>
      </c>
      <c r="E771" s="24">
        <v>46.270544693243437</v>
      </c>
      <c r="F771" s="24">
        <v>47.830080742551637</v>
      </c>
      <c r="G771" s="24">
        <v>49.470171812981732</v>
      </c>
      <c r="H771" s="24">
        <v>51.210752843428246</v>
      </c>
      <c r="I771" s="24">
        <v>53.047800668160264</v>
      </c>
      <c r="J771" s="24">
        <v>54.965889161377021</v>
      </c>
      <c r="K771" s="24">
        <v>57.000743243744679</v>
      </c>
      <c r="L771" s="24">
        <v>59.196998536161495</v>
      </c>
      <c r="M771" s="24">
        <v>61.520450543435977</v>
      </c>
      <c r="N771" s="24">
        <v>64.014200515701603</v>
      </c>
      <c r="O771" s="24">
        <v>66.672580778164942</v>
      </c>
      <c r="P771" s="24">
        <v>69.511466715102998</v>
      </c>
      <c r="Q771" s="21"/>
      <c r="R771" s="21"/>
    </row>
    <row r="772" spans="1:18" x14ac:dyDescent="0.35">
      <c r="A772" s="37" t="s">
        <v>47</v>
      </c>
      <c r="B772" s="37" t="s">
        <v>48</v>
      </c>
      <c r="C772" s="39" t="s">
        <v>89</v>
      </c>
      <c r="D772" s="24">
        <v>2330.4434414931748</v>
      </c>
      <c r="E772" s="24">
        <v>2487.00873764484</v>
      </c>
      <c r="F772" s="24">
        <v>2659.9016148238147</v>
      </c>
      <c r="G772" s="24">
        <v>2846.7708571761659</v>
      </c>
      <c r="H772" s="24">
        <v>3048.9401932152796</v>
      </c>
      <c r="I772" s="24">
        <v>3267.7396996930174</v>
      </c>
      <c r="J772" s="24">
        <v>3503.3929065401653</v>
      </c>
      <c r="K772" s="24">
        <v>3758.5855637755699</v>
      </c>
      <c r="L772" s="24">
        <v>4036.5417742827631</v>
      </c>
      <c r="M772" s="24">
        <v>4340.7228296851017</v>
      </c>
      <c r="N772" s="24">
        <v>4672.1731081438566</v>
      </c>
      <c r="O772" s="24">
        <v>5032.4996388210211</v>
      </c>
      <c r="P772" s="24">
        <v>5425.613549906323</v>
      </c>
      <c r="Q772" s="21"/>
      <c r="R772" s="21"/>
    </row>
    <row r="773" spans="1:18" x14ac:dyDescent="0.35">
      <c r="A773" s="37" t="s">
        <v>47</v>
      </c>
      <c r="B773" s="37" t="s">
        <v>48</v>
      </c>
      <c r="C773" s="39" t="s">
        <v>90</v>
      </c>
      <c r="D773" s="24">
        <v>364.72069346868017</v>
      </c>
      <c r="E773" s="24">
        <v>385.2777541831237</v>
      </c>
      <c r="F773" s="24">
        <v>407.89938256795057</v>
      </c>
      <c r="G773" s="24">
        <v>431.97310636792668</v>
      </c>
      <c r="H773" s="24">
        <v>457.69610353813999</v>
      </c>
      <c r="I773" s="24">
        <v>485.41517481941969</v>
      </c>
      <c r="J773" s="24">
        <v>515.62372541262766</v>
      </c>
      <c r="K773" s="24">
        <v>548.79337449423383</v>
      </c>
      <c r="L773" s="24">
        <v>584.63906245095154</v>
      </c>
      <c r="M773" s="24">
        <v>623.41719097923374</v>
      </c>
      <c r="N773" s="24">
        <v>665.95352504200787</v>
      </c>
      <c r="O773" s="24">
        <v>712.66968193846958</v>
      </c>
      <c r="P773" s="24">
        <v>764.15437453345999</v>
      </c>
      <c r="Q773" s="21"/>
      <c r="R773" s="21"/>
    </row>
    <row r="774" spans="1:18" x14ac:dyDescent="0.35">
      <c r="A774" s="37" t="s">
        <v>47</v>
      </c>
      <c r="B774" s="37" t="s">
        <v>48</v>
      </c>
      <c r="C774" s="39" t="s">
        <v>91</v>
      </c>
      <c r="D774" s="24">
        <v>85.66205536496777</v>
      </c>
      <c r="E774" s="24">
        <v>88.70803134664159</v>
      </c>
      <c r="F774" s="24">
        <v>92.194527075455881</v>
      </c>
      <c r="G774" s="24">
        <v>95.883779620718116</v>
      </c>
      <c r="H774" s="24">
        <v>99.820959644026132</v>
      </c>
      <c r="I774" s="24">
        <v>104.00212880319418</v>
      </c>
      <c r="J774" s="24">
        <v>108.4712952176412</v>
      </c>
      <c r="K774" s="24">
        <v>113.32109261843542</v>
      </c>
      <c r="L774" s="24">
        <v>118.47826784455297</v>
      </c>
      <c r="M774" s="24">
        <v>124.04813561411903</v>
      </c>
      <c r="N774" s="24">
        <v>129.97789765319845</v>
      </c>
      <c r="O774" s="24">
        <v>136.35264314061482</v>
      </c>
      <c r="P774" s="24">
        <v>143.32252774911353</v>
      </c>
      <c r="Q774" s="21"/>
      <c r="R774" s="21"/>
    </row>
    <row r="775" spans="1:18" x14ac:dyDescent="0.35">
      <c r="A775" s="37" t="s">
        <v>47</v>
      </c>
      <c r="B775" s="37" t="s">
        <v>48</v>
      </c>
      <c r="C775" s="39" t="s">
        <v>92</v>
      </c>
      <c r="D775" s="24">
        <v>121.91567019069625</v>
      </c>
      <c r="E775" s="24">
        <v>127.35029432687018</v>
      </c>
      <c r="F775" s="24">
        <v>133.08751578515646</v>
      </c>
      <c r="G775" s="24">
        <v>139.15863106485133</v>
      </c>
      <c r="H775" s="24">
        <v>145.63057839849907</v>
      </c>
      <c r="I775" s="24">
        <v>152.51126971321654</v>
      </c>
      <c r="J775" s="24">
        <v>159.7780709917069</v>
      </c>
      <c r="K775" s="24">
        <v>167.55231751008978</v>
      </c>
      <c r="L775" s="24">
        <v>175.957869087978</v>
      </c>
      <c r="M775" s="24">
        <v>184.9034519767763</v>
      </c>
      <c r="N775" s="24">
        <v>194.55899595184215</v>
      </c>
      <c r="O775" s="24">
        <v>204.93496785865395</v>
      </c>
      <c r="P775" s="24">
        <v>216.09895928754972</v>
      </c>
      <c r="Q775" s="21"/>
      <c r="R775" s="21"/>
    </row>
    <row r="776" spans="1:18" x14ac:dyDescent="0.35">
      <c r="A776" s="37" t="s">
        <v>47</v>
      </c>
      <c r="B776" s="37" t="s">
        <v>48</v>
      </c>
      <c r="C776" s="39" t="s">
        <v>93</v>
      </c>
      <c r="D776" s="24">
        <v>72.731552776541164</v>
      </c>
      <c r="E776" s="24">
        <v>74.922480540062139</v>
      </c>
      <c r="F776" s="24">
        <v>77.286549704503216</v>
      </c>
      <c r="G776" s="24">
        <v>79.864424744029108</v>
      </c>
      <c r="H776" s="24">
        <v>82.617347360686963</v>
      </c>
      <c r="I776" s="24">
        <v>85.674504961098037</v>
      </c>
      <c r="J776" s="24">
        <v>88.889277973973407</v>
      </c>
      <c r="K776" s="24">
        <v>92.44194854315154</v>
      </c>
      <c r="L776" s="24">
        <v>96.285908975630207</v>
      </c>
      <c r="M776" s="24">
        <v>100.441956451324</v>
      </c>
      <c r="N776" s="24">
        <v>105.00050307520684</v>
      </c>
      <c r="O776" s="24">
        <v>110.00567631896138</v>
      </c>
      <c r="P776" s="24">
        <v>115.44732428974973</v>
      </c>
      <c r="Q776" s="14"/>
      <c r="R776" s="14"/>
    </row>
    <row r="777" spans="1:18" x14ac:dyDescent="0.35">
      <c r="A777" s="37" t="s">
        <v>47</v>
      </c>
      <c r="B777" s="37" t="s">
        <v>48</v>
      </c>
      <c r="C777" s="39" t="s">
        <v>94</v>
      </c>
      <c r="D777" s="24">
        <v>206.58501101383717</v>
      </c>
      <c r="E777" s="24">
        <v>216.29688764274482</v>
      </c>
      <c r="F777" s="24">
        <v>226.97250633408061</v>
      </c>
      <c r="G777" s="24">
        <v>238.33788995371887</v>
      </c>
      <c r="H777" s="24">
        <v>250.45258812489126</v>
      </c>
      <c r="I777" s="24">
        <v>263.36277757714174</v>
      </c>
      <c r="J777" s="24">
        <v>277.0303467705898</v>
      </c>
      <c r="K777" s="24">
        <v>291.60139311339697</v>
      </c>
      <c r="L777" s="24">
        <v>307.26059826998886</v>
      </c>
      <c r="M777" s="24">
        <v>324.19102266455599</v>
      </c>
      <c r="N777" s="24">
        <v>342.37338057389053</v>
      </c>
      <c r="O777" s="24">
        <v>361.82961202205615</v>
      </c>
      <c r="P777" s="24">
        <v>382.74678469021057</v>
      </c>
      <c r="Q777" s="14"/>
      <c r="R777" s="14"/>
    </row>
    <row r="778" spans="1:18" x14ac:dyDescent="0.35">
      <c r="A778" s="37" t="s">
        <v>47</v>
      </c>
      <c r="B778" s="37" t="s">
        <v>48</v>
      </c>
      <c r="C778" s="39" t="s">
        <v>95</v>
      </c>
      <c r="D778" s="24">
        <v>277.62740563568002</v>
      </c>
      <c r="E778" s="24">
        <v>292.13285153985754</v>
      </c>
      <c r="F778" s="24">
        <v>308.13291999469783</v>
      </c>
      <c r="G778" s="24">
        <v>325.09711144822535</v>
      </c>
      <c r="H778" s="24">
        <v>343.17205665195763</v>
      </c>
      <c r="I778" s="24">
        <v>362.60964833081363</v>
      </c>
      <c r="J778" s="24">
        <v>383.74763274398646</v>
      </c>
      <c r="K778" s="24">
        <v>406.99829887718084</v>
      </c>
      <c r="L778" s="24">
        <v>432.03497581826167</v>
      </c>
      <c r="M778" s="24">
        <v>459.03480964407447</v>
      </c>
      <c r="N778" s="24">
        <v>488.6151351823882</v>
      </c>
      <c r="O778" s="24">
        <v>521.0909968564165</v>
      </c>
      <c r="P778" s="24">
        <v>556.82341902455391</v>
      </c>
      <c r="Q778" s="14"/>
      <c r="R778" s="14"/>
    </row>
    <row r="779" spans="1:18" x14ac:dyDescent="0.35">
      <c r="A779" s="37" t="s">
        <v>47</v>
      </c>
      <c r="B779" s="37" t="s">
        <v>48</v>
      </c>
      <c r="C779" s="39" t="s">
        <v>96</v>
      </c>
      <c r="D779" s="24">
        <v>206.73816291229704</v>
      </c>
      <c r="E779" s="24">
        <v>216.966473902855</v>
      </c>
      <c r="F779" s="24">
        <v>228.19286984133362</v>
      </c>
      <c r="G779" s="24">
        <v>240.16621909954139</v>
      </c>
      <c r="H779" s="24">
        <v>252.95311316607427</v>
      </c>
      <c r="I779" s="24">
        <v>266.72280739329352</v>
      </c>
      <c r="J779" s="24">
        <v>281.45299061604936</v>
      </c>
      <c r="K779" s="24">
        <v>297.30274221791842</v>
      </c>
      <c r="L779" s="24">
        <v>314.50783659992447</v>
      </c>
      <c r="M779" s="24">
        <v>332.98145808236654</v>
      </c>
      <c r="N779" s="24">
        <v>352.95425433320162</v>
      </c>
      <c r="O779" s="24">
        <v>374.55845719920899</v>
      </c>
      <c r="P779" s="24">
        <v>398.14373825194434</v>
      </c>
      <c r="Q779" s="14"/>
      <c r="R779" s="14"/>
    </row>
    <row r="780" spans="1:18" x14ac:dyDescent="0.35">
      <c r="A780" s="37" t="s">
        <v>47</v>
      </c>
      <c r="B780" s="37" t="s">
        <v>48</v>
      </c>
      <c r="C780" s="39" t="s">
        <v>97</v>
      </c>
      <c r="D780" s="24">
        <v>507.07164686514733</v>
      </c>
      <c r="E780" s="24">
        <v>538.23578468226538</v>
      </c>
      <c r="F780" s="24">
        <v>572.62607758548336</v>
      </c>
      <c r="G780" s="24">
        <v>609.64121433314199</v>
      </c>
      <c r="H780" s="24">
        <v>649.53638469770112</v>
      </c>
      <c r="I780" s="24">
        <v>692.80721801919628</v>
      </c>
      <c r="J780" s="24">
        <v>739.46146984960149</v>
      </c>
      <c r="K780" s="24">
        <v>790.05501659808658</v>
      </c>
      <c r="L780" s="24">
        <v>845.30951459039397</v>
      </c>
      <c r="M780" s="24">
        <v>905.1502860112721</v>
      </c>
      <c r="N780" s="24">
        <v>970.31868757575751</v>
      </c>
      <c r="O780" s="24">
        <v>1041.3611355681167</v>
      </c>
      <c r="P780" s="24">
        <v>1119.3641122725312</v>
      </c>
      <c r="Q780" s="14"/>
      <c r="R780" s="14"/>
    </row>
    <row r="781" spans="1:18" x14ac:dyDescent="0.35">
      <c r="A781" s="37" t="s">
        <v>47</v>
      </c>
      <c r="B781" s="37" t="s">
        <v>48</v>
      </c>
      <c r="C781" s="39" t="s">
        <v>98</v>
      </c>
      <c r="D781" s="24">
        <v>37.34152026592529</v>
      </c>
      <c r="E781" s="24">
        <v>38.342150271897374</v>
      </c>
      <c r="F781" s="24">
        <v>39.412289431009498</v>
      </c>
      <c r="G781" s="24">
        <v>40.536531880928486</v>
      </c>
      <c r="H781" s="24">
        <v>41.708757686932771</v>
      </c>
      <c r="I781" s="24">
        <v>42.945634408368761</v>
      </c>
      <c r="J781" s="24">
        <v>44.286005943907178</v>
      </c>
      <c r="K781" s="24">
        <v>45.715201869123646</v>
      </c>
      <c r="L781" s="24">
        <v>47.249363748568442</v>
      </c>
      <c r="M781" s="24">
        <v>48.883159788998078</v>
      </c>
      <c r="N781" s="24">
        <v>50.612582668989816</v>
      </c>
      <c r="O781" s="24">
        <v>52.478417548294154</v>
      </c>
      <c r="P781" s="24">
        <v>54.494150453253738</v>
      </c>
      <c r="Q781" s="14"/>
      <c r="R781" s="14"/>
    </row>
    <row r="782" spans="1:18" x14ac:dyDescent="0.35">
      <c r="A782" s="39" t="s">
        <v>88</v>
      </c>
      <c r="B782" s="35" t="s">
        <v>24</v>
      </c>
      <c r="C782" s="36" t="s">
        <v>25</v>
      </c>
      <c r="D782" s="24">
        <v>4.5515326880409086</v>
      </c>
      <c r="E782" s="24">
        <v>4.6667821367287026</v>
      </c>
      <c r="F782" s="24">
        <v>4.7961869595483844</v>
      </c>
      <c r="G782" s="24">
        <v>4.9319367846448792</v>
      </c>
      <c r="H782" s="24">
        <v>5.0749856067837387</v>
      </c>
      <c r="I782" s="24">
        <v>5.2247473228930623</v>
      </c>
      <c r="J782" s="24">
        <v>5.3805949572890022</v>
      </c>
      <c r="K782" s="24">
        <v>5.5438258916797833</v>
      </c>
      <c r="L782" s="24">
        <v>5.7178148315167761</v>
      </c>
      <c r="M782" s="24">
        <v>5.9050927303641192</v>
      </c>
      <c r="N782" s="24">
        <v>6.1035521616984436</v>
      </c>
      <c r="O782" s="24">
        <v>6.3122471081782541</v>
      </c>
      <c r="P782" s="24">
        <v>6.5337486293739504</v>
      </c>
      <c r="Q782" s="14"/>
      <c r="R782" s="14"/>
    </row>
    <row r="783" spans="1:18" x14ac:dyDescent="0.35">
      <c r="A783" s="39" t="s">
        <v>88</v>
      </c>
      <c r="B783" s="35" t="s">
        <v>24</v>
      </c>
      <c r="C783" s="36" t="s">
        <v>26</v>
      </c>
      <c r="D783" s="24">
        <v>40.231805984423055</v>
      </c>
      <c r="E783" s="24">
        <v>41.603762556514738</v>
      </c>
      <c r="F783" s="24">
        <v>43.033893783003251</v>
      </c>
      <c r="G783" s="24">
        <v>44.53823502833685</v>
      </c>
      <c r="H783" s="24">
        <v>46.135767236644512</v>
      </c>
      <c r="I783" s="24">
        <v>47.823053345267205</v>
      </c>
      <c r="J783" s="24">
        <v>49.585294204088022</v>
      </c>
      <c r="K783" s="24">
        <v>51.456917352064899</v>
      </c>
      <c r="L783" s="24">
        <v>53.479183704644718</v>
      </c>
      <c r="M783" s="24">
        <v>55.61535781307186</v>
      </c>
      <c r="N783" s="24">
        <v>57.910648354003165</v>
      </c>
      <c r="O783" s="24">
        <v>60.360333669986687</v>
      </c>
      <c r="P783" s="24">
        <v>62.977718085729045</v>
      </c>
      <c r="Q783" s="21"/>
      <c r="R783" s="21"/>
    </row>
    <row r="784" spans="1:18" x14ac:dyDescent="0.35">
      <c r="A784" s="39" t="s">
        <v>88</v>
      </c>
      <c r="B784" s="35" t="s">
        <v>27</v>
      </c>
      <c r="C784" s="36" t="s">
        <v>28</v>
      </c>
      <c r="D784" s="24">
        <v>16.198018038169057</v>
      </c>
      <c r="E784" s="24">
        <v>16.658592291324126</v>
      </c>
      <c r="F784" s="24">
        <v>17.121321194582272</v>
      </c>
      <c r="G784" s="24">
        <v>17.599252345435602</v>
      </c>
      <c r="H784" s="24">
        <v>18.097880054867538</v>
      </c>
      <c r="I784" s="24">
        <v>18.60873760802496</v>
      </c>
      <c r="J784" s="24">
        <v>19.127312259541199</v>
      </c>
      <c r="K784" s="24">
        <v>19.654424759507648</v>
      </c>
      <c r="L784" s="24">
        <v>20.223405641069306</v>
      </c>
      <c r="M784" s="24">
        <v>20.81219419978239</v>
      </c>
      <c r="N784" s="24">
        <v>21.432649089909653</v>
      </c>
      <c r="O784" s="24">
        <v>22.080605785008522</v>
      </c>
      <c r="P784" s="24">
        <v>22.753031289190687</v>
      </c>
      <c r="Q784" s="21"/>
      <c r="R784" s="21"/>
    </row>
    <row r="785" spans="1:18" x14ac:dyDescent="0.35">
      <c r="A785" s="39" t="s">
        <v>88</v>
      </c>
      <c r="B785" s="35" t="s">
        <v>27</v>
      </c>
      <c r="C785" s="36" t="s">
        <v>29</v>
      </c>
      <c r="D785" s="24">
        <v>8.9461608644772994</v>
      </c>
      <c r="E785" s="24">
        <v>9.3172015907125729</v>
      </c>
      <c r="F785" s="24">
        <v>9.7061817909261041</v>
      </c>
      <c r="G785" s="24">
        <v>10.117051152914941</v>
      </c>
      <c r="H785" s="24">
        <v>10.554536161030562</v>
      </c>
      <c r="I785" s="24">
        <v>11.018363214327731</v>
      </c>
      <c r="J785" s="24">
        <v>11.505625587189906</v>
      </c>
      <c r="K785" s="24">
        <v>12.024748963289479</v>
      </c>
      <c r="L785" s="24">
        <v>12.585989061318747</v>
      </c>
      <c r="M785" s="24">
        <v>13.181527766453938</v>
      </c>
      <c r="N785" s="24">
        <v>13.822734842460727</v>
      </c>
      <c r="O785" s="24">
        <v>14.509374820778836</v>
      </c>
      <c r="P785" s="24">
        <v>15.245525646111677</v>
      </c>
      <c r="Q785" s="21"/>
      <c r="R785" s="21"/>
    </row>
    <row r="786" spans="1:18" x14ac:dyDescent="0.35">
      <c r="A786" s="39" t="s">
        <v>88</v>
      </c>
      <c r="B786" s="35" t="s">
        <v>27</v>
      </c>
      <c r="C786" s="36" t="s">
        <v>30</v>
      </c>
      <c r="D786" s="24">
        <v>8.3769102896250285</v>
      </c>
      <c r="E786" s="24">
        <v>8.7660489273768629</v>
      </c>
      <c r="F786" s="24">
        <v>9.1756642359058223</v>
      </c>
      <c r="G786" s="24">
        <v>9.6097608082035055</v>
      </c>
      <c r="H786" s="24">
        <v>10.073155084302336</v>
      </c>
      <c r="I786" s="24">
        <v>10.565980351786889</v>
      </c>
      <c r="J786" s="24">
        <v>11.08584368700725</v>
      </c>
      <c r="K786" s="24">
        <v>11.641221792559563</v>
      </c>
      <c r="L786" s="24">
        <v>12.242521299762005</v>
      </c>
      <c r="M786" s="24">
        <v>12.882761785199806</v>
      </c>
      <c r="N786" s="24">
        <v>13.5735770973788</v>
      </c>
      <c r="O786" s="24">
        <v>14.315421237275315</v>
      </c>
      <c r="P786" s="24">
        <v>15.113006125779087</v>
      </c>
      <c r="Q786" s="21"/>
      <c r="R786" s="21"/>
    </row>
    <row r="787" spans="1:18" x14ac:dyDescent="0.35">
      <c r="A787" s="39" t="s">
        <v>88</v>
      </c>
      <c r="B787" s="35" t="s">
        <v>27</v>
      </c>
      <c r="C787" s="36" t="s">
        <v>31</v>
      </c>
      <c r="D787" s="24">
        <v>5.5722756936543449</v>
      </c>
      <c r="E787" s="24">
        <v>5.7477091312371487</v>
      </c>
      <c r="F787" s="24">
        <v>5.9352164075804472</v>
      </c>
      <c r="G787" s="24">
        <v>6.132785624797978</v>
      </c>
      <c r="H787" s="24">
        <v>6.3450122773007598</v>
      </c>
      <c r="I787" s="24">
        <v>6.5736071626434374</v>
      </c>
      <c r="J787" s="24">
        <v>6.8162754827042695</v>
      </c>
      <c r="K787" s="24">
        <v>7.0826503465031978</v>
      </c>
      <c r="L787" s="24">
        <v>7.3690024488481791</v>
      </c>
      <c r="M787" s="24">
        <v>7.6737350180941464</v>
      </c>
      <c r="N787" s="24">
        <v>8.0056684766089159</v>
      </c>
      <c r="O787" s="24">
        <v>8.3598056885009182</v>
      </c>
      <c r="P787" s="24">
        <v>8.7422073997232843</v>
      </c>
      <c r="Q787" s="21"/>
      <c r="R787" s="21"/>
    </row>
    <row r="788" spans="1:18" x14ac:dyDescent="0.35">
      <c r="A788" s="39" t="s">
        <v>88</v>
      </c>
      <c r="B788" s="35" t="s">
        <v>27</v>
      </c>
      <c r="C788" s="36" t="s">
        <v>32</v>
      </c>
      <c r="D788" s="24">
        <v>3.6907944687366516</v>
      </c>
      <c r="E788" s="24">
        <v>3.7377112640033512</v>
      </c>
      <c r="F788" s="24">
        <v>3.8001891409975195</v>
      </c>
      <c r="G788" s="24">
        <v>3.866434555163675</v>
      </c>
      <c r="H788" s="24">
        <v>3.938106893659632</v>
      </c>
      <c r="I788" s="24">
        <v>4.0143827322756724</v>
      </c>
      <c r="J788" s="24">
        <v>4.0963100772055254</v>
      </c>
      <c r="K788" s="24">
        <v>4.1873073298235424</v>
      </c>
      <c r="L788" s="24">
        <v>4.2834578608395457</v>
      </c>
      <c r="M788" s="24">
        <v>4.3884181947094705</v>
      </c>
      <c r="N788" s="24">
        <v>4.4994346058844039</v>
      </c>
      <c r="O788" s="24">
        <v>4.6187530073497376</v>
      </c>
      <c r="P788" s="24">
        <v>4.751016533612515</v>
      </c>
      <c r="Q788" s="21"/>
      <c r="R788" s="21"/>
    </row>
    <row r="789" spans="1:18" x14ac:dyDescent="0.35">
      <c r="A789" s="39" t="s">
        <v>88</v>
      </c>
      <c r="B789" s="35" t="s">
        <v>27</v>
      </c>
      <c r="C789" s="36" t="s">
        <v>33</v>
      </c>
      <c r="D789" s="24">
        <v>1.9991793178015815</v>
      </c>
      <c r="E789" s="24">
        <v>2.0432814885893742</v>
      </c>
      <c r="F789" s="24">
        <v>2.091507972559469</v>
      </c>
      <c r="G789" s="24">
        <v>2.1448873264660291</v>
      </c>
      <c r="H789" s="24">
        <v>2.2020623722674153</v>
      </c>
      <c r="I789" s="24">
        <v>2.2667295991015752</v>
      </c>
      <c r="J789" s="24">
        <v>2.3345220677288707</v>
      </c>
      <c r="K789" s="24">
        <v>2.4103900520612522</v>
      </c>
      <c r="L789" s="24">
        <v>2.4926222243237133</v>
      </c>
      <c r="M789" s="24">
        <v>2.5818135791962216</v>
      </c>
      <c r="N789" s="24">
        <v>2.6801364034590991</v>
      </c>
      <c r="O789" s="24">
        <v>2.7886202392516122</v>
      </c>
      <c r="P789" s="24">
        <v>2.9066797206857466</v>
      </c>
      <c r="Q789" s="21"/>
      <c r="R789" s="21"/>
    </row>
    <row r="790" spans="1:18" x14ac:dyDescent="0.35">
      <c r="A790" s="39" t="s">
        <v>88</v>
      </c>
      <c r="B790" s="35" t="s">
        <v>34</v>
      </c>
      <c r="C790" s="36" t="s">
        <v>35</v>
      </c>
      <c r="D790" s="24">
        <v>15.48065336060014</v>
      </c>
      <c r="E790" s="24">
        <v>15.969249813627208</v>
      </c>
      <c r="F790" s="24">
        <v>16.406009156303245</v>
      </c>
      <c r="G790" s="24">
        <v>16.85882210789174</v>
      </c>
      <c r="H790" s="24">
        <v>17.334839837500461</v>
      </c>
      <c r="I790" s="24">
        <v>17.825524812911581</v>
      </c>
      <c r="J790" s="24">
        <v>18.313424692355724</v>
      </c>
      <c r="K790" s="24">
        <v>18.805819378679914</v>
      </c>
      <c r="L790" s="24">
        <v>19.351052403015842</v>
      </c>
      <c r="M790" s="24">
        <v>19.904367895068638</v>
      </c>
      <c r="N790" s="24">
        <v>20.50654793917316</v>
      </c>
      <c r="O790" s="24">
        <v>21.133767424982757</v>
      </c>
      <c r="P790" s="24">
        <v>21.760829291654161</v>
      </c>
      <c r="Q790" s="21"/>
      <c r="R790" s="21"/>
    </row>
    <row r="791" spans="1:18" x14ac:dyDescent="0.35">
      <c r="A791" s="39" t="s">
        <v>88</v>
      </c>
      <c r="B791" s="35" t="s">
        <v>34</v>
      </c>
      <c r="C791" s="36" t="s">
        <v>36</v>
      </c>
      <c r="D791" s="24">
        <v>15.396389579716194</v>
      </c>
      <c r="E791" s="24">
        <v>15.958382954486183</v>
      </c>
      <c r="F791" s="24">
        <v>16.60478261874924</v>
      </c>
      <c r="G791" s="24">
        <v>17.289263774480069</v>
      </c>
      <c r="H791" s="24">
        <v>18.021063925602398</v>
      </c>
      <c r="I791" s="24">
        <v>18.798825081303026</v>
      </c>
      <c r="J791" s="24">
        <v>19.629700176174225</v>
      </c>
      <c r="K791" s="24">
        <v>20.532749545667976</v>
      </c>
      <c r="L791" s="24">
        <v>21.492700131196226</v>
      </c>
      <c r="M791" s="24">
        <v>22.530656507849265</v>
      </c>
      <c r="N791" s="24">
        <v>23.63662748772142</v>
      </c>
      <c r="O791" s="24">
        <v>24.825746607925144</v>
      </c>
      <c r="P791" s="24">
        <v>26.127260956432206</v>
      </c>
      <c r="Q791" s="21"/>
      <c r="R791" s="21"/>
    </row>
    <row r="792" spans="1:18" x14ac:dyDescent="0.35">
      <c r="A792" s="39" t="s">
        <v>88</v>
      </c>
      <c r="B792" s="35" t="s">
        <v>34</v>
      </c>
      <c r="C792" s="36" t="s">
        <v>37</v>
      </c>
      <c r="D792" s="24">
        <v>9.9003283760940715</v>
      </c>
      <c r="E792" s="24">
        <v>10.220170688607027</v>
      </c>
      <c r="F792" s="24">
        <v>10.575241280335311</v>
      </c>
      <c r="G792" s="24">
        <v>10.950692126143476</v>
      </c>
      <c r="H792" s="24">
        <v>11.348302830103698</v>
      </c>
      <c r="I792" s="24">
        <v>11.774403555622818</v>
      </c>
      <c r="J792" s="24">
        <v>12.225422312661751</v>
      </c>
      <c r="K792" s="24">
        <v>12.7075072529426</v>
      </c>
      <c r="L792" s="24">
        <v>13.228391693501685</v>
      </c>
      <c r="M792" s="24">
        <v>13.78123923693769</v>
      </c>
      <c r="N792" s="24">
        <v>14.374192795558505</v>
      </c>
      <c r="O792" s="24">
        <v>15.010928802815195</v>
      </c>
      <c r="P792" s="24">
        <v>15.702211723526279</v>
      </c>
      <c r="Q792" s="14"/>
      <c r="R792" s="14"/>
    </row>
    <row r="793" spans="1:18" x14ac:dyDescent="0.35">
      <c r="A793" s="39" t="s">
        <v>88</v>
      </c>
      <c r="B793" s="35" t="s">
        <v>34</v>
      </c>
      <c r="C793" s="36" t="s">
        <v>38</v>
      </c>
      <c r="D793" s="24">
        <v>4.0059673560535556</v>
      </c>
      <c r="E793" s="24">
        <v>4.1227412365230194</v>
      </c>
      <c r="F793" s="24">
        <v>4.2440476871638397</v>
      </c>
      <c r="G793" s="24">
        <v>4.371393804466444</v>
      </c>
      <c r="H793" s="24">
        <v>4.5065462502216853</v>
      </c>
      <c r="I793" s="24">
        <v>4.6490472183228375</v>
      </c>
      <c r="J793" s="24">
        <v>4.7973419801853243</v>
      </c>
      <c r="K793" s="24">
        <v>4.954667066454193</v>
      </c>
      <c r="L793" s="24">
        <v>5.1248543084477465</v>
      </c>
      <c r="M793" s="24">
        <v>5.3041869035803835</v>
      </c>
      <c r="N793" s="24">
        <v>5.4968322932485139</v>
      </c>
      <c r="O793" s="24">
        <v>5.702137942441845</v>
      </c>
      <c r="P793" s="24">
        <v>5.921164743490352</v>
      </c>
      <c r="Q793" s="14"/>
      <c r="R793" s="14"/>
    </row>
    <row r="794" spans="1:18" x14ac:dyDescent="0.35">
      <c r="A794" s="39" t="s">
        <v>88</v>
      </c>
      <c r="B794" s="35" t="s">
        <v>22</v>
      </c>
      <c r="C794" s="36" t="s">
        <v>39</v>
      </c>
      <c r="D794" s="24">
        <v>12.527041432581541</v>
      </c>
      <c r="E794" s="24">
        <v>13.041042625616761</v>
      </c>
      <c r="F794" s="24">
        <v>13.515267472694461</v>
      </c>
      <c r="G794" s="24">
        <v>14.010204707094715</v>
      </c>
      <c r="H794" s="24">
        <v>14.538732732249279</v>
      </c>
      <c r="I794" s="24">
        <v>15.092014717858504</v>
      </c>
      <c r="J794" s="24">
        <v>15.661019302173756</v>
      </c>
      <c r="K794" s="24">
        <v>16.267967634931367</v>
      </c>
      <c r="L794" s="24">
        <v>16.932086249246098</v>
      </c>
      <c r="M794" s="24">
        <v>17.613132514167638</v>
      </c>
      <c r="N794" s="24">
        <v>18.354637383339821</v>
      </c>
      <c r="O794" s="24">
        <v>19.150747124258565</v>
      </c>
      <c r="P794" s="24">
        <v>19.992191441874056</v>
      </c>
      <c r="Q794" s="14"/>
      <c r="R794" s="14"/>
    </row>
    <row r="795" spans="1:18" x14ac:dyDescent="0.35">
      <c r="A795" s="39" t="s">
        <v>88</v>
      </c>
      <c r="B795" s="35" t="s">
        <v>22</v>
      </c>
      <c r="C795" s="36" t="s">
        <v>40</v>
      </c>
      <c r="D795" s="24">
        <v>11.149841159725863</v>
      </c>
      <c r="E795" s="24">
        <v>11.433384679805197</v>
      </c>
      <c r="F795" s="24">
        <v>11.751989444142364</v>
      </c>
      <c r="G795" s="24">
        <v>12.088411973822041</v>
      </c>
      <c r="H795" s="24">
        <v>12.444212940953063</v>
      </c>
      <c r="I795" s="24">
        <v>12.825896493106184</v>
      </c>
      <c r="J795" s="24">
        <v>13.229002377712517</v>
      </c>
      <c r="K795" s="24">
        <v>13.659699410284169</v>
      </c>
      <c r="L795" s="24">
        <v>14.125690962033854</v>
      </c>
      <c r="M795" s="24">
        <v>14.618911221590745</v>
      </c>
      <c r="N795" s="24">
        <v>15.14738754971269</v>
      </c>
      <c r="O795" s="24">
        <v>15.714221087889957</v>
      </c>
      <c r="P795" s="24">
        <v>16.329841678062071</v>
      </c>
      <c r="Q795" s="14"/>
      <c r="R795" s="14"/>
    </row>
    <row r="796" spans="1:18" x14ac:dyDescent="0.35">
      <c r="A796" s="39" t="s">
        <v>88</v>
      </c>
      <c r="B796" s="35" t="s">
        <v>22</v>
      </c>
      <c r="C796" s="36" t="s">
        <v>41</v>
      </c>
      <c r="D796" s="24">
        <v>8.711804577670657</v>
      </c>
      <c r="E796" s="24">
        <v>8.8946240850139588</v>
      </c>
      <c r="F796" s="24">
        <v>9.1026974651990464</v>
      </c>
      <c r="G796" s="24">
        <v>9.3208703769083776</v>
      </c>
      <c r="H796" s="24">
        <v>9.5508054052993678</v>
      </c>
      <c r="I796" s="24">
        <v>9.7912376140924486</v>
      </c>
      <c r="J796" s="24">
        <v>10.040845477406819</v>
      </c>
      <c r="K796" s="24">
        <v>10.301919614359424</v>
      </c>
      <c r="L796" s="24">
        <v>10.580571241843163</v>
      </c>
      <c r="M796" s="24">
        <v>10.881246179869462</v>
      </c>
      <c r="N796" s="24">
        <v>11.199766642829312</v>
      </c>
      <c r="O796" s="24">
        <v>11.53415380111368</v>
      </c>
      <c r="P796" s="24">
        <v>11.888886686304295</v>
      </c>
      <c r="Q796" s="14"/>
      <c r="R796" s="14"/>
    </row>
    <row r="797" spans="1:18" x14ac:dyDescent="0.35">
      <c r="A797" s="39" t="s">
        <v>88</v>
      </c>
      <c r="B797" s="35" t="s">
        <v>22</v>
      </c>
      <c r="C797" s="36" t="s">
        <v>42</v>
      </c>
      <c r="D797" s="24">
        <v>12.394651502485898</v>
      </c>
      <c r="E797" s="24">
        <v>12.901493302807518</v>
      </c>
      <c r="F797" s="24">
        <v>13.460126360515765</v>
      </c>
      <c r="G797" s="24">
        <v>14.050684755156597</v>
      </c>
      <c r="H797" s="24">
        <v>14.677001764926533</v>
      </c>
      <c r="I797" s="24">
        <v>15.338651843103133</v>
      </c>
      <c r="J797" s="24">
        <v>16.035022004083924</v>
      </c>
      <c r="K797" s="24">
        <v>16.77115658416972</v>
      </c>
      <c r="L797" s="24">
        <v>17.55865008303838</v>
      </c>
      <c r="M797" s="24">
        <v>18.407160627808128</v>
      </c>
      <c r="N797" s="24">
        <v>19.312408939819786</v>
      </c>
      <c r="O797" s="24">
        <v>20.273458764902742</v>
      </c>
      <c r="P797" s="24">
        <v>21.300546908862575</v>
      </c>
      <c r="Q797" s="14"/>
      <c r="R797" s="14"/>
    </row>
    <row r="798" spans="1:18" x14ac:dyDescent="0.35">
      <c r="A798" s="39" t="s">
        <v>89</v>
      </c>
      <c r="B798" s="35" t="s">
        <v>24</v>
      </c>
      <c r="C798" s="36" t="s">
        <v>25</v>
      </c>
      <c r="D798" s="24">
        <v>248.61919735877993</v>
      </c>
      <c r="E798" s="24">
        <v>262.07436338652764</v>
      </c>
      <c r="F798" s="24">
        <v>276.66192233114322</v>
      </c>
      <c r="G798" s="24">
        <v>292.59249942141412</v>
      </c>
      <c r="H798" s="24">
        <v>309.77232363067242</v>
      </c>
      <c r="I798" s="24">
        <v>328.80043085644485</v>
      </c>
      <c r="J798" s="24">
        <v>349.1752242654037</v>
      </c>
      <c r="K798" s="24">
        <v>371.71718561278851</v>
      </c>
      <c r="L798" s="24">
        <v>396.31562691920885</v>
      </c>
      <c r="M798" s="24">
        <v>423.20230496949569</v>
      </c>
      <c r="N798" s="24">
        <v>452.88668474526588</v>
      </c>
      <c r="O798" s="24">
        <v>485.73746507002136</v>
      </c>
      <c r="P798" s="24">
        <v>521.87419693541619</v>
      </c>
      <c r="Q798" s="14"/>
      <c r="R798" s="14"/>
    </row>
    <row r="799" spans="1:18" x14ac:dyDescent="0.35">
      <c r="A799" s="39" t="s">
        <v>89</v>
      </c>
      <c r="B799" s="35" t="s">
        <v>24</v>
      </c>
      <c r="C799" s="36" t="s">
        <v>26</v>
      </c>
      <c r="D799" s="24">
        <v>2081.824244134395</v>
      </c>
      <c r="E799" s="24">
        <v>2224.9343742583123</v>
      </c>
      <c r="F799" s="24">
        <v>2383.2396924926716</v>
      </c>
      <c r="G799" s="24">
        <v>2554.1783577547517</v>
      </c>
      <c r="H799" s="24">
        <v>2739.1678695846072</v>
      </c>
      <c r="I799" s="24">
        <v>2938.9392688365724</v>
      </c>
      <c r="J799" s="24">
        <v>3154.2176822747615</v>
      </c>
      <c r="K799" s="24">
        <v>3386.8683781627815</v>
      </c>
      <c r="L799" s="24">
        <v>3640.226147363554</v>
      </c>
      <c r="M799" s="24">
        <v>3917.5205247156064</v>
      </c>
      <c r="N799" s="24">
        <v>4219.2864233985911</v>
      </c>
      <c r="O799" s="24">
        <v>4546.7621737509999</v>
      </c>
      <c r="P799" s="24">
        <v>4903.739352970907</v>
      </c>
      <c r="Q799" s="14"/>
      <c r="R799" s="14"/>
    </row>
    <row r="800" spans="1:18" x14ac:dyDescent="0.35">
      <c r="A800" s="39" t="s">
        <v>89</v>
      </c>
      <c r="B800" s="35" t="s">
        <v>27</v>
      </c>
      <c r="C800" s="36" t="s">
        <v>28</v>
      </c>
      <c r="D800" s="24">
        <v>806.15363617161643</v>
      </c>
      <c r="E800" s="24">
        <v>853.61329713762825</v>
      </c>
      <c r="F800" s="24">
        <v>907.12652996703741</v>
      </c>
      <c r="G800" s="24">
        <v>964.92600008631234</v>
      </c>
      <c r="H800" s="24">
        <v>1027.1879510942276</v>
      </c>
      <c r="I800" s="24">
        <v>1094.1055793117607</v>
      </c>
      <c r="J800" s="24">
        <v>1164.1633735827718</v>
      </c>
      <c r="K800" s="24">
        <v>1238.7254176973438</v>
      </c>
      <c r="L800" s="24">
        <v>1318.6788900835991</v>
      </c>
      <c r="M800" s="24">
        <v>1405.1643760571701</v>
      </c>
      <c r="N800" s="24">
        <v>1497.8379266461211</v>
      </c>
      <c r="O800" s="24">
        <v>1596.9840822657789</v>
      </c>
      <c r="P800" s="24">
        <v>1701.0926614694908</v>
      </c>
      <c r="Q800" s="14"/>
      <c r="R800" s="14"/>
    </row>
    <row r="801" spans="1:18" x14ac:dyDescent="0.35">
      <c r="A801" s="39" t="s">
        <v>89</v>
      </c>
      <c r="B801" s="35" t="s">
        <v>27</v>
      </c>
      <c r="C801" s="36" t="s">
        <v>29</v>
      </c>
      <c r="D801" s="24">
        <v>469.57976951599397</v>
      </c>
      <c r="E801" s="24">
        <v>505.77586523845622</v>
      </c>
      <c r="F801" s="24">
        <v>544.96245434630487</v>
      </c>
      <c r="G801" s="24">
        <v>587.36356269987812</v>
      </c>
      <c r="H801" s="24">
        <v>633.2648781308136</v>
      </c>
      <c r="I801" s="24">
        <v>683.1638122197121</v>
      </c>
      <c r="J801" s="24">
        <v>737.75650447834107</v>
      </c>
      <c r="K801" s="24">
        <v>797.13711351604854</v>
      </c>
      <c r="L801" s="24">
        <v>862.48688160528525</v>
      </c>
      <c r="M801" s="24">
        <v>934.54698734774047</v>
      </c>
      <c r="N801" s="24">
        <v>1013.8540879820441</v>
      </c>
      <c r="O801" s="24">
        <v>1100.5766885514931</v>
      </c>
      <c r="P801" s="24">
        <v>1196.6434191864907</v>
      </c>
      <c r="Q801" s="14"/>
      <c r="R801" s="14"/>
    </row>
    <row r="802" spans="1:18" x14ac:dyDescent="0.35">
      <c r="A802" s="39" t="s">
        <v>89</v>
      </c>
      <c r="B802" s="35" t="s">
        <v>27</v>
      </c>
      <c r="C802" s="36" t="s">
        <v>30</v>
      </c>
      <c r="D802" s="24">
        <v>407.73163012338392</v>
      </c>
      <c r="E802" s="24">
        <v>441.19039473865945</v>
      </c>
      <c r="F802" s="24">
        <v>477.56964665418474</v>
      </c>
      <c r="G802" s="24">
        <v>517.10497423588447</v>
      </c>
      <c r="H802" s="24">
        <v>560.09031349364682</v>
      </c>
      <c r="I802" s="24">
        <v>607.01197555512147</v>
      </c>
      <c r="J802" s="24">
        <v>658.54148509135553</v>
      </c>
      <c r="K802" s="24">
        <v>714.82501729070486</v>
      </c>
      <c r="L802" s="24">
        <v>776.9858079654507</v>
      </c>
      <c r="M802" s="24">
        <v>845.77087237355261</v>
      </c>
      <c r="N802" s="24">
        <v>921.75527289565662</v>
      </c>
      <c r="O802" s="24">
        <v>1005.1892600359628</v>
      </c>
      <c r="P802" s="24">
        <v>1097.9345486877455</v>
      </c>
      <c r="Q802" s="14"/>
      <c r="R802" s="14"/>
    </row>
    <row r="803" spans="1:18" x14ac:dyDescent="0.35">
      <c r="A803" s="39" t="s">
        <v>89</v>
      </c>
      <c r="B803" s="35" t="s">
        <v>27</v>
      </c>
      <c r="C803" s="36" t="s">
        <v>31</v>
      </c>
      <c r="D803" s="24">
        <v>302.54450871570037</v>
      </c>
      <c r="E803" s="24">
        <v>322.45504404430545</v>
      </c>
      <c r="F803" s="24">
        <v>344.96691101997584</v>
      </c>
      <c r="G803" s="24">
        <v>369.29762137469277</v>
      </c>
      <c r="H803" s="24">
        <v>395.75243707934328</v>
      </c>
      <c r="I803" s="24">
        <v>424.43146174078305</v>
      </c>
      <c r="J803" s="24">
        <v>455.63009450512783</v>
      </c>
      <c r="K803" s="24">
        <v>489.9449050818896</v>
      </c>
      <c r="L803" s="24">
        <v>527.21050848646416</v>
      </c>
      <c r="M803" s="24">
        <v>568.12313652462194</v>
      </c>
      <c r="N803" s="24">
        <v>612.66172829872153</v>
      </c>
      <c r="O803" s="24">
        <v>661.43999191424393</v>
      </c>
      <c r="P803" s="24">
        <v>715.50254147906037</v>
      </c>
      <c r="Q803" s="14"/>
      <c r="R803" s="14"/>
    </row>
    <row r="804" spans="1:18" x14ac:dyDescent="0.35">
      <c r="A804" s="39" t="s">
        <v>89</v>
      </c>
      <c r="B804" s="35" t="s">
        <v>27</v>
      </c>
      <c r="C804" s="36" t="s">
        <v>32</v>
      </c>
      <c r="D804" s="24">
        <v>205.28686494290935</v>
      </c>
      <c r="E804" s="24">
        <v>216.42201707453393</v>
      </c>
      <c r="F804" s="24">
        <v>228.22040736798368</v>
      </c>
      <c r="G804" s="24">
        <v>240.79483742295315</v>
      </c>
      <c r="H804" s="24">
        <v>254.28161211415437</v>
      </c>
      <c r="I804" s="24">
        <v>268.70263724928589</v>
      </c>
      <c r="J804" s="24">
        <v>284.01594997341863</v>
      </c>
      <c r="K804" s="24">
        <v>300.45653953580643</v>
      </c>
      <c r="L804" s="24">
        <v>318.31591803980837</v>
      </c>
      <c r="M804" s="24">
        <v>337.44181854498942</v>
      </c>
      <c r="N804" s="24">
        <v>358.16460123631765</v>
      </c>
      <c r="O804" s="24">
        <v>380.52902237750141</v>
      </c>
      <c r="P804" s="24">
        <v>404.69386215205475</v>
      </c>
      <c r="Q804" s="14"/>
      <c r="R804" s="14"/>
    </row>
    <row r="805" spans="1:18" x14ac:dyDescent="0.35">
      <c r="A805" s="39" t="s">
        <v>89</v>
      </c>
      <c r="B805" s="35" t="s">
        <v>27</v>
      </c>
      <c r="C805" s="36" t="s">
        <v>33</v>
      </c>
      <c r="D805" s="24">
        <v>139.14703202357052</v>
      </c>
      <c r="E805" s="24">
        <v>147.55211941125677</v>
      </c>
      <c r="F805" s="24">
        <v>157.05566546832827</v>
      </c>
      <c r="G805" s="24">
        <v>167.2838613564449</v>
      </c>
      <c r="H805" s="24">
        <v>178.36300130309385</v>
      </c>
      <c r="I805" s="24">
        <v>190.32423361635372</v>
      </c>
      <c r="J805" s="24">
        <v>203.28549890915031</v>
      </c>
      <c r="K805" s="24">
        <v>217.49657065377647</v>
      </c>
      <c r="L805" s="24">
        <v>232.86376810215549</v>
      </c>
      <c r="M805" s="24">
        <v>249.67563883702718</v>
      </c>
      <c r="N805" s="24">
        <v>267.89949108499542</v>
      </c>
      <c r="O805" s="24">
        <v>287.78059367604118</v>
      </c>
      <c r="P805" s="24">
        <v>309.7465169314803</v>
      </c>
      <c r="Q805" s="14"/>
      <c r="R805" s="14"/>
    </row>
    <row r="806" spans="1:18" x14ac:dyDescent="0.35">
      <c r="A806" s="39" t="s">
        <v>89</v>
      </c>
      <c r="B806" s="35" t="s">
        <v>34</v>
      </c>
      <c r="C806" s="36" t="s">
        <v>35</v>
      </c>
      <c r="D806" s="24">
        <v>836.91875477302415</v>
      </c>
      <c r="E806" s="24">
        <v>892.14617821426714</v>
      </c>
      <c r="F806" s="24">
        <v>951.67453605981405</v>
      </c>
      <c r="G806" s="24">
        <v>1015.1796011125655</v>
      </c>
      <c r="H806" s="24">
        <v>1082.9835566300676</v>
      </c>
      <c r="I806" s="24">
        <v>1154.6902963685916</v>
      </c>
      <c r="J806" s="24">
        <v>1230.3360134738887</v>
      </c>
      <c r="K806" s="24">
        <v>1308.6793371377075</v>
      </c>
      <c r="L806" s="24">
        <v>1393.4667234695153</v>
      </c>
      <c r="M806" s="24">
        <v>1485.0166381430877</v>
      </c>
      <c r="N806" s="24">
        <v>1583.0517523130975</v>
      </c>
      <c r="O806" s="24">
        <v>1685.9198752100465</v>
      </c>
      <c r="P806" s="24">
        <v>1793.2471242538363</v>
      </c>
      <c r="Q806" s="14"/>
      <c r="R806" s="14"/>
    </row>
    <row r="807" spans="1:18" x14ac:dyDescent="0.35">
      <c r="A807" s="39" t="s">
        <v>89</v>
      </c>
      <c r="B807" s="35" t="s">
        <v>34</v>
      </c>
      <c r="C807" s="36" t="s">
        <v>36</v>
      </c>
      <c r="D807" s="24">
        <v>803.64069702456902</v>
      </c>
      <c r="E807" s="24">
        <v>861.84810097709124</v>
      </c>
      <c r="F807" s="24">
        <v>927.72202921480368</v>
      </c>
      <c r="G807" s="24">
        <v>999.29572001979398</v>
      </c>
      <c r="H807" s="24">
        <v>1077.4954642822797</v>
      </c>
      <c r="I807" s="24">
        <v>1162.710757007608</v>
      </c>
      <c r="J807" s="24">
        <v>1255.8744087816315</v>
      </c>
      <c r="K807" s="24">
        <v>1358.7710118278787</v>
      </c>
      <c r="L807" s="24">
        <v>1471.1144335817639</v>
      </c>
      <c r="M807" s="24">
        <v>1595.0138109666923</v>
      </c>
      <c r="N807" s="24">
        <v>1730.6145270627769</v>
      </c>
      <c r="O807" s="24">
        <v>1879.8563680562354</v>
      </c>
      <c r="P807" s="24">
        <v>2045.9491851160767</v>
      </c>
      <c r="Q807" s="21"/>
      <c r="R807" s="21"/>
    </row>
    <row r="808" spans="1:18" x14ac:dyDescent="0.35">
      <c r="A808" s="39" t="s">
        <v>89</v>
      </c>
      <c r="B808" s="35" t="s">
        <v>34</v>
      </c>
      <c r="C808" s="36" t="s">
        <v>37</v>
      </c>
      <c r="D808" s="24">
        <v>486.49005520342115</v>
      </c>
      <c r="E808" s="24">
        <v>517.5314314538216</v>
      </c>
      <c r="F808" s="24">
        <v>551.35166272729487</v>
      </c>
      <c r="G808" s="24">
        <v>588.44032487208869</v>
      </c>
      <c r="H808" s="24">
        <v>628.69146784099064</v>
      </c>
      <c r="I808" s="24">
        <v>673.39981306618677</v>
      </c>
      <c r="J808" s="24">
        <v>721.65179144549745</v>
      </c>
      <c r="K808" s="24">
        <v>775.23080105249255</v>
      </c>
      <c r="L808" s="24">
        <v>834.04165430404555</v>
      </c>
      <c r="M808" s="24">
        <v>898.70390854049128</v>
      </c>
      <c r="N808" s="24">
        <v>970.44700990934643</v>
      </c>
      <c r="O808" s="24">
        <v>1050.2407059895068</v>
      </c>
      <c r="P808" s="24">
        <v>1138.5479176955726</v>
      </c>
      <c r="Q808" s="21"/>
      <c r="R808" s="21"/>
    </row>
    <row r="809" spans="1:18" x14ac:dyDescent="0.35">
      <c r="A809" s="39" t="s">
        <v>89</v>
      </c>
      <c r="B809" s="35" t="s">
        <v>34</v>
      </c>
      <c r="C809" s="36" t="s">
        <v>38</v>
      </c>
      <c r="D809" s="24">
        <v>203.39393449216041</v>
      </c>
      <c r="E809" s="24">
        <v>215.48302699966015</v>
      </c>
      <c r="F809" s="24">
        <v>229.15338682190213</v>
      </c>
      <c r="G809" s="24">
        <v>243.85521117171797</v>
      </c>
      <c r="H809" s="24">
        <v>259.76970446194184</v>
      </c>
      <c r="I809" s="24">
        <v>276.93883325063109</v>
      </c>
      <c r="J809" s="24">
        <v>295.53069283914783</v>
      </c>
      <c r="K809" s="24">
        <v>315.90441375749083</v>
      </c>
      <c r="L809" s="24">
        <v>337.91896292743832</v>
      </c>
      <c r="M809" s="24">
        <v>361.98847203483029</v>
      </c>
      <c r="N809" s="24">
        <v>388.05981885863565</v>
      </c>
      <c r="O809" s="24">
        <v>416.48268956523214</v>
      </c>
      <c r="P809" s="24">
        <v>447.86932284083753</v>
      </c>
      <c r="Q809" s="21"/>
      <c r="R809" s="21"/>
    </row>
    <row r="810" spans="1:18" x14ac:dyDescent="0.35">
      <c r="A810" s="39" t="s">
        <v>89</v>
      </c>
      <c r="B810" s="35" t="s">
        <v>22</v>
      </c>
      <c r="C810" s="36" t="s">
        <v>39</v>
      </c>
      <c r="D810" s="24">
        <v>593.03657455700886</v>
      </c>
      <c r="E810" s="24">
        <v>636.4739646748892</v>
      </c>
      <c r="F810" s="24">
        <v>686.0669260742211</v>
      </c>
      <c r="G810" s="24">
        <v>740.44269389105602</v>
      </c>
      <c r="H810" s="24">
        <v>799.73701268036803</v>
      </c>
      <c r="I810" s="24">
        <v>863.6791158022279</v>
      </c>
      <c r="J810" s="24">
        <v>931.08314495760578</v>
      </c>
      <c r="K810" s="24">
        <v>1001.0324687010534</v>
      </c>
      <c r="L810" s="24">
        <v>1077.1396903725981</v>
      </c>
      <c r="M810" s="24">
        <v>1161.266175089394</v>
      </c>
      <c r="N810" s="24">
        <v>1251.6157823015869</v>
      </c>
      <c r="O810" s="24">
        <v>1347.2270158867141</v>
      </c>
      <c r="P810" s="24">
        <v>1448.7413281125127</v>
      </c>
      <c r="Q810" s="21"/>
      <c r="R810" s="21"/>
    </row>
    <row r="811" spans="1:18" x14ac:dyDescent="0.35">
      <c r="A811" s="39" t="s">
        <v>89</v>
      </c>
      <c r="B811" s="35" t="s">
        <v>22</v>
      </c>
      <c r="C811" s="36" t="s">
        <v>40</v>
      </c>
      <c r="D811" s="24">
        <v>631.14513215009197</v>
      </c>
      <c r="E811" s="24">
        <v>671.13189950867468</v>
      </c>
      <c r="F811" s="24">
        <v>714.30419516913457</v>
      </c>
      <c r="G811" s="24">
        <v>760.70791439738741</v>
      </c>
      <c r="H811" s="24">
        <v>810.40830335662122</v>
      </c>
      <c r="I811" s="24">
        <v>863.92472177866534</v>
      </c>
      <c r="J811" s="24">
        <v>922.30038526874159</v>
      </c>
      <c r="K811" s="24">
        <v>985.49762215609337</v>
      </c>
      <c r="L811" s="24">
        <v>1054.3191568655575</v>
      </c>
      <c r="M811" s="24">
        <v>1129.0217844985596</v>
      </c>
      <c r="N811" s="24">
        <v>1209.8041364346902</v>
      </c>
      <c r="O811" s="24">
        <v>1298.1037905634205</v>
      </c>
      <c r="P811" s="24">
        <v>1394.7878983961532</v>
      </c>
      <c r="Q811" s="21"/>
      <c r="R811" s="21"/>
    </row>
    <row r="812" spans="1:18" x14ac:dyDescent="0.35">
      <c r="A812" s="39" t="s">
        <v>89</v>
      </c>
      <c r="B812" s="35" t="s">
        <v>22</v>
      </c>
      <c r="C812" s="36" t="s">
        <v>41</v>
      </c>
      <c r="D812" s="24">
        <v>435.67311904691752</v>
      </c>
      <c r="E812" s="24">
        <v>459.09166882089863</v>
      </c>
      <c r="F812" s="24">
        <v>484.29224917573458</v>
      </c>
      <c r="G812" s="24">
        <v>511.19803591084735</v>
      </c>
      <c r="H812" s="24">
        <v>540.27220223774748</v>
      </c>
      <c r="I812" s="24">
        <v>571.76834109281992</v>
      </c>
      <c r="J812" s="24">
        <v>605.60836650849512</v>
      </c>
      <c r="K812" s="24">
        <v>642.76155783453885</v>
      </c>
      <c r="L812" s="24">
        <v>683.06230991099903</v>
      </c>
      <c r="M812" s="24">
        <v>726.52051273928305</v>
      </c>
      <c r="N812" s="24">
        <v>774.12583644733081</v>
      </c>
      <c r="O812" s="24">
        <v>825.60916167832954</v>
      </c>
      <c r="P812" s="24">
        <v>881.76065596278613</v>
      </c>
      <c r="Q812" s="21"/>
      <c r="R812" s="21"/>
    </row>
    <row r="813" spans="1:18" x14ac:dyDescent="0.35">
      <c r="A813" s="39" t="s">
        <v>89</v>
      </c>
      <c r="B813" s="35" t="s">
        <v>22</v>
      </c>
      <c r="C813" s="36" t="s">
        <v>42</v>
      </c>
      <c r="D813" s="24">
        <v>670.58861573915647</v>
      </c>
      <c r="E813" s="24">
        <v>720.31120464037758</v>
      </c>
      <c r="F813" s="24">
        <v>775.23824440472436</v>
      </c>
      <c r="G813" s="24">
        <v>834.42221297687502</v>
      </c>
      <c r="H813" s="24">
        <v>898.52267494054274</v>
      </c>
      <c r="I813" s="24">
        <v>968.36752101930415</v>
      </c>
      <c r="J813" s="24">
        <v>1044.4010098053227</v>
      </c>
      <c r="K813" s="24">
        <v>1129.2939150838843</v>
      </c>
      <c r="L813" s="24">
        <v>1222.0206171336083</v>
      </c>
      <c r="M813" s="24">
        <v>1323.9143573578654</v>
      </c>
      <c r="N813" s="24">
        <v>1436.6273529602486</v>
      </c>
      <c r="O813" s="24">
        <v>1561.5596706925573</v>
      </c>
      <c r="P813" s="24">
        <v>1700.3236674348707</v>
      </c>
      <c r="Q813" s="21"/>
      <c r="R813" s="21"/>
    </row>
    <row r="814" spans="1:18" x14ac:dyDescent="0.35">
      <c r="A814" s="39" t="s">
        <v>90</v>
      </c>
      <c r="B814" s="35" t="s">
        <v>24</v>
      </c>
      <c r="C814" s="36" t="s">
        <v>25</v>
      </c>
      <c r="D814" s="24">
        <v>34.750693960639289</v>
      </c>
      <c r="E814" s="24">
        <v>36.617818032582072</v>
      </c>
      <c r="F814" s="24">
        <v>38.599772018401666</v>
      </c>
      <c r="G814" s="24">
        <v>40.701637142212235</v>
      </c>
      <c r="H814" s="24">
        <v>42.93189451187753</v>
      </c>
      <c r="I814" s="24">
        <v>45.312190489427167</v>
      </c>
      <c r="J814" s="24">
        <v>47.87499343849619</v>
      </c>
      <c r="K814" s="24">
        <v>50.610346178912806</v>
      </c>
      <c r="L814" s="24">
        <v>53.577520117758432</v>
      </c>
      <c r="M814" s="24">
        <v>56.802696440212095</v>
      </c>
      <c r="N814" s="24">
        <v>60.296560510820569</v>
      </c>
      <c r="O814" s="24">
        <v>64.046089028628401</v>
      </c>
      <c r="P814" s="24">
        <v>68.140866566043826</v>
      </c>
      <c r="Q814" s="21"/>
      <c r="R814" s="21"/>
    </row>
    <row r="815" spans="1:18" x14ac:dyDescent="0.35">
      <c r="A815" s="39" t="s">
        <v>90</v>
      </c>
      <c r="B815" s="35" t="s">
        <v>24</v>
      </c>
      <c r="C815" s="36" t="s">
        <v>26</v>
      </c>
      <c r="D815" s="24">
        <v>329.96999950804087</v>
      </c>
      <c r="E815" s="24">
        <v>348.65993615054163</v>
      </c>
      <c r="F815" s="24">
        <v>369.2996105495489</v>
      </c>
      <c r="G815" s="24">
        <v>391.27146922571444</v>
      </c>
      <c r="H815" s="24">
        <v>414.76420902626245</v>
      </c>
      <c r="I815" s="24">
        <v>440.10298432999252</v>
      </c>
      <c r="J815" s="24">
        <v>467.74873197413143</v>
      </c>
      <c r="K815" s="24">
        <v>498.183028315321</v>
      </c>
      <c r="L815" s="24">
        <v>531.06154233319307</v>
      </c>
      <c r="M815" s="24">
        <v>566.61449453902162</v>
      </c>
      <c r="N815" s="24">
        <v>605.65696453118733</v>
      </c>
      <c r="O815" s="24">
        <v>648.62359290984114</v>
      </c>
      <c r="P815" s="24">
        <v>696.01350796741622</v>
      </c>
      <c r="Q815" s="21"/>
      <c r="R815" s="21"/>
    </row>
    <row r="816" spans="1:18" x14ac:dyDescent="0.35">
      <c r="A816" s="39" t="s">
        <v>90</v>
      </c>
      <c r="B816" s="35" t="s">
        <v>27</v>
      </c>
      <c r="C816" s="36" t="s">
        <v>28</v>
      </c>
      <c r="D816" s="24">
        <v>133.87050499960205</v>
      </c>
      <c r="E816" s="24">
        <v>139.65806451308691</v>
      </c>
      <c r="F816" s="24">
        <v>146.27608395394839</v>
      </c>
      <c r="G816" s="24">
        <v>153.16415937793124</v>
      </c>
      <c r="H816" s="24">
        <v>160.42248429011801</v>
      </c>
      <c r="I816" s="24">
        <v>168.18993811384848</v>
      </c>
      <c r="J816" s="24">
        <v>176.72697744290139</v>
      </c>
      <c r="K816" s="24">
        <v>186.42778281161225</v>
      </c>
      <c r="L816" s="24">
        <v>196.63312273950942</v>
      </c>
      <c r="M816" s="24">
        <v>207.42803365826813</v>
      </c>
      <c r="N816" s="24">
        <v>219.40142446106529</v>
      </c>
      <c r="O816" s="24">
        <v>232.84055728163565</v>
      </c>
      <c r="P816" s="24">
        <v>247.69697340441235</v>
      </c>
      <c r="Q816" s="21"/>
      <c r="R816" s="21"/>
    </row>
    <row r="817" spans="1:30" x14ac:dyDescent="0.35">
      <c r="A817" s="39" t="s">
        <v>90</v>
      </c>
      <c r="B817" s="35" t="s">
        <v>27</v>
      </c>
      <c r="C817" s="36" t="s">
        <v>29</v>
      </c>
      <c r="D817" s="24">
        <v>72.007228125008226</v>
      </c>
      <c r="E817" s="24">
        <v>76.968983261732745</v>
      </c>
      <c r="F817" s="24">
        <v>82.303136260151604</v>
      </c>
      <c r="G817" s="24">
        <v>88.033905123583153</v>
      </c>
      <c r="H817" s="24">
        <v>94.193858108149215</v>
      </c>
      <c r="I817" s="24">
        <v>100.84590058256927</v>
      </c>
      <c r="J817" s="24">
        <v>108.08018496381371</v>
      </c>
      <c r="K817" s="24">
        <v>115.89573822473568</v>
      </c>
      <c r="L817" s="24">
        <v>124.44942847257424</v>
      </c>
      <c r="M817" s="24">
        <v>133.8296396929824</v>
      </c>
      <c r="N817" s="24">
        <v>144.09249991055032</v>
      </c>
      <c r="O817" s="24">
        <v>155.2397860315929</v>
      </c>
      <c r="P817" s="24">
        <v>167.52112979997153</v>
      </c>
      <c r="Q817" s="21"/>
      <c r="R817" s="21"/>
    </row>
    <row r="818" spans="1:30" x14ac:dyDescent="0.35">
      <c r="A818" s="39" t="s">
        <v>90</v>
      </c>
      <c r="B818" s="35" t="s">
        <v>27</v>
      </c>
      <c r="C818" s="36" t="s">
        <v>30</v>
      </c>
      <c r="D818" s="24">
        <v>61.33995734474631</v>
      </c>
      <c r="E818" s="24">
        <v>65.872073108774273</v>
      </c>
      <c r="F818" s="24">
        <v>70.765149134623897</v>
      </c>
      <c r="G818" s="24">
        <v>76.044857796296185</v>
      </c>
      <c r="H818" s="24">
        <v>81.744524091911799</v>
      </c>
      <c r="I818" s="24">
        <v>87.924379917925506</v>
      </c>
      <c r="J818" s="24">
        <v>94.669489252339474</v>
      </c>
      <c r="K818" s="24">
        <v>101.98662748076144</v>
      </c>
      <c r="L818" s="24">
        <v>110.02153271860411</v>
      </c>
      <c r="M818" s="24">
        <v>118.86204260511391</v>
      </c>
      <c r="N818" s="24">
        <v>128.5688955592008</v>
      </c>
      <c r="O818" s="24">
        <v>139.1553714089512</v>
      </c>
      <c r="P818" s="24">
        <v>150.85707919863123</v>
      </c>
      <c r="Q818" s="21"/>
      <c r="R818" s="21"/>
    </row>
    <row r="819" spans="1:30" x14ac:dyDescent="0.35">
      <c r="A819" s="39" t="s">
        <v>90</v>
      </c>
      <c r="B819" s="35" t="s">
        <v>27</v>
      </c>
      <c r="C819" s="36" t="s">
        <v>31</v>
      </c>
      <c r="D819" s="24">
        <v>51.27079203480718</v>
      </c>
      <c r="E819" s="24">
        <v>54.32688291111787</v>
      </c>
      <c r="F819" s="24">
        <v>57.697472966610817</v>
      </c>
      <c r="G819" s="24">
        <v>61.321072887687848</v>
      </c>
      <c r="H819" s="24">
        <v>65.221694754184952</v>
      </c>
      <c r="I819" s="24">
        <v>69.451201325702471</v>
      </c>
      <c r="J819" s="24">
        <v>74.007592240786636</v>
      </c>
      <c r="K819" s="24">
        <v>78.946386416055375</v>
      </c>
      <c r="L819" s="24">
        <v>84.337707694211488</v>
      </c>
      <c r="M819" s="24">
        <v>90.164863485210873</v>
      </c>
      <c r="N819" s="24">
        <v>96.505866969732509</v>
      </c>
      <c r="O819" s="24">
        <v>103.4154740150308</v>
      </c>
      <c r="P819" s="24">
        <v>111.00126807515863</v>
      </c>
      <c r="Q819" s="21"/>
      <c r="R819" s="21"/>
    </row>
    <row r="820" spans="1:30" x14ac:dyDescent="0.35">
      <c r="A820" s="39" t="s">
        <v>90</v>
      </c>
      <c r="B820" s="35" t="s">
        <v>27</v>
      </c>
      <c r="C820" s="36" t="s">
        <v>32</v>
      </c>
      <c r="D820" s="24">
        <v>27.134667254237115</v>
      </c>
      <c r="E820" s="24">
        <v>28.344962049794564</v>
      </c>
      <c r="F820" s="24">
        <v>29.636782401423577</v>
      </c>
      <c r="G820" s="24">
        <v>31.006324595145685</v>
      </c>
      <c r="H820" s="24">
        <v>32.450653740854129</v>
      </c>
      <c r="I820" s="24">
        <v>33.985041762890631</v>
      </c>
      <c r="J820" s="24">
        <v>35.644112653706586</v>
      </c>
      <c r="K820" s="24">
        <v>37.418073238175538</v>
      </c>
      <c r="L820" s="24">
        <v>39.329450736470989</v>
      </c>
      <c r="M820" s="24">
        <v>41.378565095337024</v>
      </c>
      <c r="N820" s="24">
        <v>43.563275302172912</v>
      </c>
      <c r="O820" s="24">
        <v>45.925890441395261</v>
      </c>
      <c r="P820" s="24">
        <v>48.485266728826112</v>
      </c>
      <c r="Q820" s="21"/>
      <c r="R820" s="21"/>
    </row>
    <row r="821" spans="1:30" x14ac:dyDescent="0.35">
      <c r="A821" s="39" t="s">
        <v>90</v>
      </c>
      <c r="B821" s="35" t="s">
        <v>27</v>
      </c>
      <c r="C821" s="36" t="s">
        <v>33</v>
      </c>
      <c r="D821" s="24">
        <v>19.097543710279265</v>
      </c>
      <c r="E821" s="24">
        <v>20.106788338617317</v>
      </c>
      <c r="F821" s="24">
        <v>21.220757851192296</v>
      </c>
      <c r="G821" s="24">
        <v>22.402786587282545</v>
      </c>
      <c r="H821" s="24">
        <v>23.662888552921835</v>
      </c>
      <c r="I821" s="24">
        <v>25.018713116483365</v>
      </c>
      <c r="J821" s="24">
        <v>26.49536885907985</v>
      </c>
      <c r="K821" s="24">
        <v>28.118766322893524</v>
      </c>
      <c r="L821" s="24">
        <v>29.867820089581311</v>
      </c>
      <c r="M821" s="24">
        <v>31.754046442321417</v>
      </c>
      <c r="N821" s="24">
        <v>33.821562839286024</v>
      </c>
      <c r="O821" s="24">
        <v>36.09260275986378</v>
      </c>
      <c r="P821" s="24">
        <v>38.592657326460113</v>
      </c>
      <c r="Q821" s="21"/>
      <c r="R821" s="21"/>
    </row>
    <row r="822" spans="1:30" x14ac:dyDescent="0.35">
      <c r="A822" s="39" t="s">
        <v>90</v>
      </c>
      <c r="B822" s="35" t="s">
        <v>34</v>
      </c>
      <c r="C822" s="36" t="s">
        <v>35</v>
      </c>
      <c r="D822" s="24">
        <v>127.64675710857796</v>
      </c>
      <c r="E822" s="24">
        <v>133.47001739265855</v>
      </c>
      <c r="F822" s="24">
        <v>139.83490865441001</v>
      </c>
      <c r="G822" s="24">
        <v>146.41679691767695</v>
      </c>
      <c r="H822" s="24">
        <v>153.28242507492308</v>
      </c>
      <c r="I822" s="24">
        <v>160.52790401599162</v>
      </c>
      <c r="J822" s="24">
        <v>168.63125763385221</v>
      </c>
      <c r="K822" s="24">
        <v>177.72050480030862</v>
      </c>
      <c r="L822" s="24">
        <v>187.26385226061024</v>
      </c>
      <c r="M822" s="24">
        <v>197.52530842679619</v>
      </c>
      <c r="N822" s="24">
        <v>208.9376643479556</v>
      </c>
      <c r="O822" s="24">
        <v>221.63526878739555</v>
      </c>
      <c r="P822" s="24">
        <v>235.69065238821292</v>
      </c>
      <c r="Q822" s="21"/>
      <c r="R822" s="21"/>
    </row>
    <row r="823" spans="1:30" x14ac:dyDescent="0.35">
      <c r="A823" s="39" t="s">
        <v>90</v>
      </c>
      <c r="B823" s="35" t="s">
        <v>34</v>
      </c>
      <c r="C823" s="36" t="s">
        <v>36</v>
      </c>
      <c r="D823" s="24">
        <v>121.90079972294077</v>
      </c>
      <c r="E823" s="24">
        <v>129.95202971219308</v>
      </c>
      <c r="F823" s="24">
        <v>138.85157342912166</v>
      </c>
      <c r="G823" s="24">
        <v>148.46620845026624</v>
      </c>
      <c r="H823" s="24">
        <v>158.86631753808837</v>
      </c>
      <c r="I823" s="24">
        <v>170.19168898064407</v>
      </c>
      <c r="J823" s="24">
        <v>182.45334993943786</v>
      </c>
      <c r="K823" s="24">
        <v>195.80421850007457</v>
      </c>
      <c r="L823" s="24">
        <v>210.43695216995764</v>
      </c>
      <c r="M823" s="24">
        <v>226.33202510061909</v>
      </c>
      <c r="N823" s="24">
        <v>243.7069240559519</v>
      </c>
      <c r="O823" s="24">
        <v>262.72540448702165</v>
      </c>
      <c r="P823" s="24">
        <v>283.68908819737601</v>
      </c>
      <c r="Q823" s="14"/>
      <c r="R823" s="14"/>
    </row>
    <row r="824" spans="1:30" x14ac:dyDescent="0.35">
      <c r="A824" s="39" t="s">
        <v>90</v>
      </c>
      <c r="B824" s="35" t="s">
        <v>34</v>
      </c>
      <c r="C824" s="36" t="s">
        <v>37</v>
      </c>
      <c r="D824" s="24">
        <v>83.458557950734303</v>
      </c>
      <c r="E824" s="24">
        <v>88.456044720067226</v>
      </c>
      <c r="F824" s="24">
        <v>93.968250941811448</v>
      </c>
      <c r="G824" s="24">
        <v>99.895434000665375</v>
      </c>
      <c r="H824" s="24">
        <v>106.27703524155611</v>
      </c>
      <c r="I824" s="24">
        <v>113.19791862863151</v>
      </c>
      <c r="J824" s="24">
        <v>120.65524432366763</v>
      </c>
      <c r="K824" s="24">
        <v>128.73994395480847</v>
      </c>
      <c r="L824" s="24">
        <v>137.56685916336326</v>
      </c>
      <c r="M824" s="24">
        <v>147.10933926070172</v>
      </c>
      <c r="N824" s="24">
        <v>157.49522470194725</v>
      </c>
      <c r="O824" s="24">
        <v>168.81453147724372</v>
      </c>
      <c r="P824" s="24">
        <v>181.24360306900138</v>
      </c>
      <c r="Q824" s="14"/>
      <c r="R824" s="14"/>
    </row>
    <row r="825" spans="1:30" x14ac:dyDescent="0.35">
      <c r="A825" s="39" t="s">
        <v>90</v>
      </c>
      <c r="B825" s="35" t="s">
        <v>34</v>
      </c>
      <c r="C825" s="36" t="s">
        <v>38</v>
      </c>
      <c r="D825" s="24">
        <v>31.714578686427146</v>
      </c>
      <c r="E825" s="24">
        <v>33.399662358204829</v>
      </c>
      <c r="F825" s="24">
        <v>35.244649542607441</v>
      </c>
      <c r="G825" s="24">
        <v>37.194666999318116</v>
      </c>
      <c r="H825" s="24">
        <v>39.270325683572409</v>
      </c>
      <c r="I825" s="24">
        <v>41.497663194152516</v>
      </c>
      <c r="J825" s="24">
        <v>43.88387351566999</v>
      </c>
      <c r="K825" s="24">
        <v>46.528707239042198</v>
      </c>
      <c r="L825" s="24">
        <v>49.371398857020438</v>
      </c>
      <c r="M825" s="24">
        <v>52.450518191116757</v>
      </c>
      <c r="N825" s="24">
        <v>55.813711936153069</v>
      </c>
      <c r="O825" s="24">
        <v>59.494477186808645</v>
      </c>
      <c r="P825" s="24">
        <v>63.5310308788697</v>
      </c>
      <c r="Q825" s="14"/>
      <c r="R825" s="14"/>
      <c r="S825" s="12"/>
      <c r="T825" s="12"/>
      <c r="U825" s="12"/>
      <c r="V825" s="12"/>
      <c r="W825" s="12"/>
      <c r="X825" s="12"/>
      <c r="Y825" s="12"/>
      <c r="Z825" s="12"/>
      <c r="AA825" s="12"/>
      <c r="AB825" s="12"/>
      <c r="AC825" s="12"/>
      <c r="AD825" s="12"/>
    </row>
    <row r="826" spans="1:30" x14ac:dyDescent="0.35">
      <c r="A826" s="39" t="s">
        <v>90</v>
      </c>
      <c r="B826" s="35" t="s">
        <v>22</v>
      </c>
      <c r="C826" s="36" t="s">
        <v>39</v>
      </c>
      <c r="D826" s="24">
        <v>97.446640525395935</v>
      </c>
      <c r="E826" s="24">
        <v>103.63270129461574</v>
      </c>
      <c r="F826" s="24">
        <v>110.75019740766794</v>
      </c>
      <c r="G826" s="24">
        <v>117.97752093349982</v>
      </c>
      <c r="H826" s="24">
        <v>125.54604120051187</v>
      </c>
      <c r="I826" s="24">
        <v>133.30071449844388</v>
      </c>
      <c r="J826" s="24">
        <v>142.15860428978147</v>
      </c>
      <c r="K826" s="24">
        <v>151.84084107017861</v>
      </c>
      <c r="L826" s="24">
        <v>162.06330201085598</v>
      </c>
      <c r="M826" s="24">
        <v>172.93272883329587</v>
      </c>
      <c r="N826" s="24">
        <v>184.75038519982434</v>
      </c>
      <c r="O826" s="24">
        <v>197.61332955886746</v>
      </c>
      <c r="P826" s="24">
        <v>211.9575560293373</v>
      </c>
      <c r="Q826" s="14"/>
      <c r="R826" s="14"/>
      <c r="S826" s="12"/>
      <c r="T826" s="12"/>
      <c r="U826" s="12"/>
      <c r="V826" s="12"/>
      <c r="W826" s="12"/>
      <c r="X826" s="12"/>
      <c r="Y826" s="12"/>
      <c r="Z826" s="12"/>
      <c r="AA826" s="12"/>
      <c r="AB826" s="12"/>
      <c r="AC826" s="12"/>
      <c r="AD826" s="12"/>
    </row>
    <row r="827" spans="1:30" x14ac:dyDescent="0.35">
      <c r="A827" s="39" t="s">
        <v>90</v>
      </c>
      <c r="B827" s="35" t="s">
        <v>22</v>
      </c>
      <c r="C827" s="36" t="s">
        <v>40</v>
      </c>
      <c r="D827" s="24">
        <v>100.23994738405733</v>
      </c>
      <c r="E827" s="24">
        <v>105.09958213278425</v>
      </c>
      <c r="F827" s="24">
        <v>110.356910257284</v>
      </c>
      <c r="G827" s="24">
        <v>116.08905007933849</v>
      </c>
      <c r="H827" s="24">
        <v>122.2506292550372</v>
      </c>
      <c r="I827" s="24">
        <v>129.07056983279111</v>
      </c>
      <c r="J827" s="24">
        <v>136.34079171582431</v>
      </c>
      <c r="K827" s="24">
        <v>144.37374265476268</v>
      </c>
      <c r="L827" s="24">
        <v>153.11349308857473</v>
      </c>
      <c r="M827" s="24">
        <v>162.63746200884265</v>
      </c>
      <c r="N827" s="24">
        <v>173.12802317167458</v>
      </c>
      <c r="O827" s="24">
        <v>184.70974541255089</v>
      </c>
      <c r="P827" s="24">
        <v>197.40965726231786</v>
      </c>
      <c r="Q827" s="14"/>
      <c r="R827" s="14"/>
      <c r="S827" s="12"/>
      <c r="T827" s="12"/>
      <c r="U827" s="12"/>
      <c r="V827" s="12"/>
      <c r="W827" s="12"/>
      <c r="X827" s="12"/>
      <c r="Y827" s="12"/>
      <c r="Z827" s="12"/>
      <c r="AA827" s="12"/>
      <c r="AB827" s="12"/>
      <c r="AC827" s="12"/>
      <c r="AD827" s="12"/>
    </row>
    <row r="828" spans="1:30" x14ac:dyDescent="0.35">
      <c r="A828" s="39" t="s">
        <v>90</v>
      </c>
      <c r="B828" s="35" t="s">
        <v>22</v>
      </c>
      <c r="C828" s="36" t="s">
        <v>41</v>
      </c>
      <c r="D828" s="24">
        <v>63.034128449217128</v>
      </c>
      <c r="E828" s="24">
        <v>66.159944210162735</v>
      </c>
      <c r="F828" s="24">
        <v>69.458878355742641</v>
      </c>
      <c r="G828" s="24">
        <v>72.962737959723725</v>
      </c>
      <c r="H828" s="24">
        <v>76.709866952992257</v>
      </c>
      <c r="I828" s="24">
        <v>80.70339480724094</v>
      </c>
      <c r="J828" s="24">
        <v>84.927181219616131</v>
      </c>
      <c r="K828" s="24">
        <v>89.448151995293486</v>
      </c>
      <c r="L828" s="24">
        <v>94.34885094710144</v>
      </c>
      <c r="M828" s="24">
        <v>99.578796191410632</v>
      </c>
      <c r="N828" s="24">
        <v>105.23076633862651</v>
      </c>
      <c r="O828" s="24">
        <v>111.31195634892998</v>
      </c>
      <c r="P828" s="24">
        <v>117.86273443019333</v>
      </c>
      <c r="Q828" s="14"/>
      <c r="R828" s="14"/>
      <c r="S828" s="12"/>
      <c r="T828" s="12"/>
      <c r="U828" s="12"/>
      <c r="V828" s="12"/>
      <c r="W828" s="12"/>
      <c r="X828" s="12"/>
      <c r="Y828" s="12"/>
      <c r="Z828" s="12"/>
      <c r="AA828" s="12"/>
      <c r="AB828" s="12"/>
      <c r="AC828" s="12"/>
      <c r="AD828" s="12"/>
    </row>
    <row r="829" spans="1:30" x14ac:dyDescent="0.35">
      <c r="A829" s="39" t="s">
        <v>90</v>
      </c>
      <c r="B829" s="35" t="s">
        <v>22</v>
      </c>
      <c r="C829" s="36" t="s">
        <v>42</v>
      </c>
      <c r="D829" s="24">
        <v>103.99997711000981</v>
      </c>
      <c r="E829" s="24">
        <v>110.38552654556098</v>
      </c>
      <c r="F829" s="24">
        <v>117.333396547256</v>
      </c>
      <c r="G829" s="24">
        <v>124.94379739536465</v>
      </c>
      <c r="H829" s="24">
        <v>133.18956612959872</v>
      </c>
      <c r="I829" s="24">
        <v>142.34049568094375</v>
      </c>
      <c r="J829" s="24">
        <v>152.19714818740576</v>
      </c>
      <c r="K829" s="24">
        <v>163.1306387739991</v>
      </c>
      <c r="L829" s="24">
        <v>175.11341640441938</v>
      </c>
      <c r="M829" s="24">
        <v>188.26820394568458</v>
      </c>
      <c r="N829" s="24">
        <v>202.84435033188245</v>
      </c>
      <c r="O829" s="24">
        <v>219.03465061812128</v>
      </c>
      <c r="P829" s="24">
        <v>236.92442681161148</v>
      </c>
      <c r="Q829" s="14"/>
      <c r="R829" s="14"/>
      <c r="S829" s="12"/>
      <c r="T829" s="12"/>
      <c r="U829" s="12"/>
      <c r="V829" s="12"/>
      <c r="W829" s="12"/>
      <c r="X829" s="12"/>
      <c r="Y829" s="12"/>
      <c r="Z829" s="12"/>
      <c r="AA829" s="12"/>
      <c r="AB829" s="12"/>
      <c r="AC829" s="12"/>
      <c r="AD829" s="12"/>
    </row>
    <row r="830" spans="1:30" x14ac:dyDescent="0.35">
      <c r="A830" s="39" t="s">
        <v>91</v>
      </c>
      <c r="B830" s="35" t="s">
        <v>24</v>
      </c>
      <c r="C830" s="36" t="s">
        <v>25</v>
      </c>
      <c r="D830" s="24">
        <v>7.3576925259863737</v>
      </c>
      <c r="E830" s="24">
        <v>7.5959430996727768</v>
      </c>
      <c r="F830" s="24">
        <v>7.8492893873268512</v>
      </c>
      <c r="G830" s="24">
        <v>8.1160771635815294</v>
      </c>
      <c r="H830" s="24">
        <v>8.3949427060625972</v>
      </c>
      <c r="I830" s="24">
        <v>8.689282993413876</v>
      </c>
      <c r="J830" s="24">
        <v>9.007272233543322</v>
      </c>
      <c r="K830" s="24">
        <v>9.3454644242977505</v>
      </c>
      <c r="L830" s="24">
        <v>9.7086249921852552</v>
      </c>
      <c r="M830" s="24">
        <v>10.095796782392521</v>
      </c>
      <c r="N830" s="24">
        <v>10.505443848445193</v>
      </c>
      <c r="O830" s="24">
        <v>10.946798448864442</v>
      </c>
      <c r="P830" s="24">
        <v>11.423052982388604</v>
      </c>
      <c r="Q830" s="21"/>
      <c r="R830" s="21"/>
      <c r="S830" s="12"/>
      <c r="T830" s="12"/>
      <c r="U830" s="12"/>
      <c r="V830" s="12"/>
      <c r="W830" s="12"/>
      <c r="X830" s="12"/>
      <c r="Y830" s="12"/>
      <c r="Z830" s="12"/>
      <c r="AA830" s="12"/>
      <c r="AB830" s="12"/>
      <c r="AC830" s="12"/>
      <c r="AD830" s="12"/>
    </row>
    <row r="831" spans="1:30" x14ac:dyDescent="0.35">
      <c r="A831" s="39" t="s">
        <v>91</v>
      </c>
      <c r="B831" s="35" t="s">
        <v>24</v>
      </c>
      <c r="C831" s="36" t="s">
        <v>26</v>
      </c>
      <c r="D831" s="24">
        <v>78.30436283898139</v>
      </c>
      <c r="E831" s="24">
        <v>81.11208824696881</v>
      </c>
      <c r="F831" s="24">
        <v>84.345237688129032</v>
      </c>
      <c r="G831" s="24">
        <v>87.767702457136593</v>
      </c>
      <c r="H831" s="24">
        <v>91.426016937963539</v>
      </c>
      <c r="I831" s="24">
        <v>95.312845809780313</v>
      </c>
      <c r="J831" s="24">
        <v>99.46402298409788</v>
      </c>
      <c r="K831" s="24">
        <v>103.97562819413767</v>
      </c>
      <c r="L831" s="24">
        <v>108.76964285236772</v>
      </c>
      <c r="M831" s="24">
        <v>113.95233883172651</v>
      </c>
      <c r="N831" s="24">
        <v>119.47245380475326</v>
      </c>
      <c r="O831" s="24">
        <v>125.40584469175039</v>
      </c>
      <c r="P831" s="24">
        <v>131.89947476672492</v>
      </c>
      <c r="Q831" s="21"/>
      <c r="R831" s="21"/>
      <c r="S831" s="12"/>
      <c r="T831" s="12"/>
      <c r="U831" s="12"/>
      <c r="V831" s="12"/>
      <c r="W831" s="12"/>
      <c r="X831" s="12"/>
      <c r="Y831" s="12"/>
      <c r="Z831" s="12"/>
      <c r="AA831" s="12"/>
      <c r="AB831" s="12"/>
      <c r="AC831" s="12"/>
      <c r="AD831" s="12"/>
    </row>
    <row r="832" spans="1:30" x14ac:dyDescent="0.35">
      <c r="A832" s="39" t="s">
        <v>91</v>
      </c>
      <c r="B832" s="35" t="s">
        <v>27</v>
      </c>
      <c r="C832" s="36" t="s">
        <v>28</v>
      </c>
      <c r="D832" s="24">
        <v>28.694502895944503</v>
      </c>
      <c r="E832" s="24">
        <v>29.389848337980027</v>
      </c>
      <c r="F832" s="24">
        <v>30.256311559730072</v>
      </c>
      <c r="G832" s="24">
        <v>31.159391073870012</v>
      </c>
      <c r="H832" s="24">
        <v>32.12238481344761</v>
      </c>
      <c r="I832" s="24">
        <v>33.128506912218057</v>
      </c>
      <c r="J832" s="24">
        <v>34.21372344709512</v>
      </c>
      <c r="K832" s="24">
        <v>35.415124082623635</v>
      </c>
      <c r="L832" s="24">
        <v>36.660948309944771</v>
      </c>
      <c r="M832" s="24">
        <v>37.994831823459577</v>
      </c>
      <c r="N832" s="24">
        <v>39.378011457355115</v>
      </c>
      <c r="O832" s="24">
        <v>40.865059074074466</v>
      </c>
      <c r="P832" s="24">
        <v>42.519709457481838</v>
      </c>
      <c r="Q832" s="21"/>
      <c r="R832" s="21"/>
      <c r="S832" s="12"/>
      <c r="T832" s="12"/>
      <c r="U832" s="12"/>
      <c r="V832" s="12"/>
      <c r="W832" s="12"/>
      <c r="X832" s="12"/>
      <c r="Y832" s="12"/>
      <c r="Z832" s="12"/>
      <c r="AA832" s="12"/>
      <c r="AB832" s="12"/>
      <c r="AC832" s="12"/>
      <c r="AD832" s="12"/>
    </row>
    <row r="833" spans="1:30" x14ac:dyDescent="0.35">
      <c r="A833" s="39" t="s">
        <v>91</v>
      </c>
      <c r="B833" s="35" t="s">
        <v>27</v>
      </c>
      <c r="C833" s="36" t="s">
        <v>29</v>
      </c>
      <c r="D833" s="24">
        <v>18.166246747275057</v>
      </c>
      <c r="E833" s="24">
        <v>19.031038085360873</v>
      </c>
      <c r="F833" s="24">
        <v>19.982822023695007</v>
      </c>
      <c r="G833" s="24">
        <v>20.99369246540121</v>
      </c>
      <c r="H833" s="24">
        <v>22.070414177294175</v>
      </c>
      <c r="I833" s="24">
        <v>23.213508354266121</v>
      </c>
      <c r="J833" s="24">
        <v>24.423211039834058</v>
      </c>
      <c r="K833" s="24">
        <v>25.70836629397937</v>
      </c>
      <c r="L833" s="24">
        <v>27.088071215614196</v>
      </c>
      <c r="M833" s="24">
        <v>28.578908657040909</v>
      </c>
      <c r="N833" s="24">
        <v>30.176225462660206</v>
      </c>
      <c r="O833" s="24">
        <v>31.880447379269917</v>
      </c>
      <c r="P833" s="24">
        <v>33.709557102121622</v>
      </c>
      <c r="Q833" s="21"/>
      <c r="R833" s="21"/>
      <c r="S833" s="12"/>
      <c r="T833" s="12"/>
      <c r="U833" s="12"/>
      <c r="V833" s="12"/>
      <c r="W833" s="12"/>
      <c r="X833" s="12"/>
      <c r="Y833" s="12"/>
      <c r="Z833" s="12"/>
      <c r="AA833" s="12"/>
      <c r="AB833" s="12"/>
      <c r="AC833" s="12"/>
      <c r="AD833" s="12"/>
    </row>
    <row r="834" spans="1:30" x14ac:dyDescent="0.35">
      <c r="A834" s="39" t="s">
        <v>91</v>
      </c>
      <c r="B834" s="35" t="s">
        <v>27</v>
      </c>
      <c r="C834" s="36" t="s">
        <v>30</v>
      </c>
      <c r="D834" s="24">
        <v>15.282193297829362</v>
      </c>
      <c r="E834" s="24">
        <v>16.016790445932298</v>
      </c>
      <c r="F834" s="24">
        <v>16.850825278608816</v>
      </c>
      <c r="G834" s="24">
        <v>17.740365584852992</v>
      </c>
      <c r="H834" s="24">
        <v>18.696465741326094</v>
      </c>
      <c r="I834" s="24">
        <v>19.719641873900972</v>
      </c>
      <c r="J834" s="24">
        <v>20.819316417195981</v>
      </c>
      <c r="K834" s="24">
        <v>22.017914285835655</v>
      </c>
      <c r="L834" s="24">
        <v>23.301985073554931</v>
      </c>
      <c r="M834" s="24">
        <v>24.696856667040699</v>
      </c>
      <c r="N834" s="24">
        <v>26.194834125245571</v>
      </c>
      <c r="O834" s="24">
        <v>27.815653113332125</v>
      </c>
      <c r="P834" s="24">
        <v>29.595665380640771</v>
      </c>
      <c r="Q834" s="21"/>
      <c r="R834" s="21"/>
      <c r="S834" s="12"/>
      <c r="T834" s="12"/>
      <c r="U834" s="12"/>
      <c r="V834" s="12"/>
      <c r="W834" s="12"/>
      <c r="X834" s="12"/>
      <c r="Y834" s="12"/>
      <c r="Z834" s="12"/>
      <c r="AA834" s="12"/>
      <c r="AB834" s="12"/>
      <c r="AC834" s="12"/>
      <c r="AD834" s="12"/>
    </row>
    <row r="835" spans="1:30" x14ac:dyDescent="0.35">
      <c r="A835" s="39" t="s">
        <v>91</v>
      </c>
      <c r="B835" s="35" t="s">
        <v>27</v>
      </c>
      <c r="C835" s="36" t="s">
        <v>31</v>
      </c>
      <c r="D835" s="24">
        <v>11.389697248322641</v>
      </c>
      <c r="E835" s="24">
        <v>11.813138892852637</v>
      </c>
      <c r="F835" s="24">
        <v>12.299619373107419</v>
      </c>
      <c r="G835" s="24">
        <v>12.814947564510845</v>
      </c>
      <c r="H835" s="24">
        <v>13.366026496335099</v>
      </c>
      <c r="I835" s="24">
        <v>13.951918483913287</v>
      </c>
      <c r="J835" s="24">
        <v>14.577999877915726</v>
      </c>
      <c r="K835" s="24">
        <v>15.258503913056035</v>
      </c>
      <c r="L835" s="24">
        <v>15.982186353977104</v>
      </c>
      <c r="M835" s="24">
        <v>16.764824544298399</v>
      </c>
      <c r="N835" s="24">
        <v>17.599098425878964</v>
      </c>
      <c r="O835" s="24">
        <v>18.496376027199798</v>
      </c>
      <c r="P835" s="24">
        <v>19.478569838707521</v>
      </c>
      <c r="Q835" s="21"/>
      <c r="R835" s="21"/>
      <c r="S835" s="12"/>
      <c r="T835" s="12"/>
      <c r="U835" s="12"/>
      <c r="V835" s="12"/>
      <c r="W835" s="12"/>
      <c r="X835" s="12"/>
      <c r="Y835" s="12"/>
      <c r="Z835" s="12"/>
      <c r="AA835" s="12"/>
      <c r="AB835" s="12"/>
      <c r="AC835" s="12"/>
      <c r="AD835" s="12"/>
    </row>
    <row r="836" spans="1:30" x14ac:dyDescent="0.35">
      <c r="A836" s="39" t="s">
        <v>91</v>
      </c>
      <c r="B836" s="35" t="s">
        <v>27</v>
      </c>
      <c r="C836" s="36" t="s">
        <v>32</v>
      </c>
      <c r="D836" s="24">
        <v>6.9666736217732677</v>
      </c>
      <c r="E836" s="24">
        <v>7.1431210571582238</v>
      </c>
      <c r="F836" s="24">
        <v>7.3268681312589168</v>
      </c>
      <c r="G836" s="24">
        <v>7.5177405751577195</v>
      </c>
      <c r="H836" s="24">
        <v>7.7161601804832207</v>
      </c>
      <c r="I836" s="24">
        <v>7.9248188572805365</v>
      </c>
      <c r="J836" s="24">
        <v>8.147958282026778</v>
      </c>
      <c r="K836" s="24">
        <v>8.3820780874441247</v>
      </c>
      <c r="L836" s="24">
        <v>8.6354352422083345</v>
      </c>
      <c r="M836" s="24">
        <v>8.9099962125303485</v>
      </c>
      <c r="N836" s="24">
        <v>9.2049795733724622</v>
      </c>
      <c r="O836" s="24">
        <v>9.5159516230847956</v>
      </c>
      <c r="P836" s="24">
        <v>9.8540828698538281</v>
      </c>
      <c r="Q836" s="21"/>
      <c r="R836" s="21"/>
      <c r="S836" s="12"/>
      <c r="T836" s="12"/>
      <c r="U836" s="12"/>
      <c r="V836" s="12"/>
      <c r="W836" s="12"/>
      <c r="X836" s="12"/>
      <c r="Y836" s="12"/>
      <c r="Z836" s="12"/>
      <c r="AA836" s="12"/>
      <c r="AB836" s="12"/>
      <c r="AC836" s="12"/>
      <c r="AD836" s="12"/>
    </row>
    <row r="837" spans="1:30" x14ac:dyDescent="0.35">
      <c r="A837" s="39" t="s">
        <v>91</v>
      </c>
      <c r="B837" s="35" t="s">
        <v>27</v>
      </c>
      <c r="C837" s="36" t="s">
        <v>33</v>
      </c>
      <c r="D837" s="24">
        <v>5.1627415538229382</v>
      </c>
      <c r="E837" s="24">
        <v>5.3140945273575326</v>
      </c>
      <c r="F837" s="24">
        <v>5.4780807090556465</v>
      </c>
      <c r="G837" s="24">
        <v>5.65764235692534</v>
      </c>
      <c r="H837" s="24">
        <v>5.8495082351399317</v>
      </c>
      <c r="I837" s="24">
        <v>6.0637343216151942</v>
      </c>
      <c r="J837" s="24">
        <v>6.2890861535735318</v>
      </c>
      <c r="K837" s="24">
        <v>6.5391059554965913</v>
      </c>
      <c r="L837" s="24">
        <v>6.8096416492536562</v>
      </c>
      <c r="M837" s="24">
        <v>7.1027177097490988</v>
      </c>
      <c r="N837" s="24">
        <v>7.4247486086861478</v>
      </c>
      <c r="O837" s="24">
        <v>7.7791559236537049</v>
      </c>
      <c r="P837" s="24">
        <v>8.1649431003079584</v>
      </c>
      <c r="Q837" s="21"/>
      <c r="R837" s="21"/>
      <c r="S837" s="12"/>
      <c r="T837" s="12"/>
      <c r="U837" s="12"/>
      <c r="V837" s="12"/>
      <c r="W837" s="12"/>
      <c r="X837" s="12"/>
      <c r="Y837" s="12"/>
      <c r="Z837" s="12"/>
      <c r="AA837" s="12"/>
      <c r="AB837" s="12"/>
      <c r="AC837" s="12"/>
      <c r="AD837" s="12"/>
    </row>
    <row r="838" spans="1:30" x14ac:dyDescent="0.35">
      <c r="A838" s="39" t="s">
        <v>91</v>
      </c>
      <c r="B838" s="35" t="s">
        <v>34</v>
      </c>
      <c r="C838" s="36" t="s">
        <v>35</v>
      </c>
      <c r="D838" s="24">
        <v>28.461566851126165</v>
      </c>
      <c r="E838" s="24">
        <v>28.99520774245709</v>
      </c>
      <c r="F838" s="24">
        <v>29.795626496451639</v>
      </c>
      <c r="G838" s="24">
        <v>30.658044305768684</v>
      </c>
      <c r="H838" s="24">
        <v>31.613297919263076</v>
      </c>
      <c r="I838" s="24">
        <v>32.624065411716899</v>
      </c>
      <c r="J838" s="24">
        <v>33.697565913091893</v>
      </c>
      <c r="K838" s="24">
        <v>34.889468219937726</v>
      </c>
      <c r="L838" s="24">
        <v>36.109780656986274</v>
      </c>
      <c r="M838" s="24">
        <v>37.428218003459577</v>
      </c>
      <c r="N838" s="24">
        <v>38.766662783933668</v>
      </c>
      <c r="O838" s="24">
        <v>40.200867493594998</v>
      </c>
      <c r="P838" s="24">
        <v>41.791251389693016</v>
      </c>
      <c r="Q838" s="21"/>
      <c r="R838" s="21"/>
      <c r="S838" s="12"/>
      <c r="T838" s="12"/>
      <c r="U838" s="12"/>
      <c r="V838" s="12"/>
      <c r="W838" s="12"/>
      <c r="X838" s="12"/>
      <c r="Y838" s="12"/>
      <c r="Z838" s="12"/>
      <c r="AA838" s="12"/>
      <c r="AB838" s="12"/>
      <c r="AC838" s="12"/>
      <c r="AD838" s="12"/>
    </row>
    <row r="839" spans="1:30" x14ac:dyDescent="0.35">
      <c r="A839" s="39" t="s">
        <v>91</v>
      </c>
      <c r="B839" s="35" t="s">
        <v>34</v>
      </c>
      <c r="C839" s="36" t="s">
        <v>36</v>
      </c>
      <c r="D839" s="24">
        <v>30.375132236861397</v>
      </c>
      <c r="E839" s="24">
        <v>31.864912318082954</v>
      </c>
      <c r="F839" s="24">
        <v>33.440387715210576</v>
      </c>
      <c r="G839" s="24">
        <v>35.104706251574392</v>
      </c>
      <c r="H839" s="24">
        <v>36.863880396538846</v>
      </c>
      <c r="I839" s="24">
        <v>38.735108023210223</v>
      </c>
      <c r="J839" s="24">
        <v>40.744519811300606</v>
      </c>
      <c r="K839" s="24">
        <v>42.881661194683701</v>
      </c>
      <c r="L839" s="24">
        <v>45.19490133103983</v>
      </c>
      <c r="M839" s="24">
        <v>47.703822820207776</v>
      </c>
      <c r="N839" s="24">
        <v>50.414625923567712</v>
      </c>
      <c r="O839" s="24">
        <v>53.313553170211783</v>
      </c>
      <c r="P839" s="24">
        <v>56.472476363306086</v>
      </c>
      <c r="Q839" s="14"/>
      <c r="R839" s="14"/>
      <c r="S839" s="12"/>
      <c r="T839" s="12"/>
      <c r="U839" s="12"/>
      <c r="V839" s="12"/>
      <c r="W839" s="12"/>
      <c r="X839" s="12"/>
      <c r="Y839" s="12"/>
      <c r="Z839" s="12"/>
      <c r="AA839" s="12"/>
      <c r="AB839" s="12"/>
      <c r="AC839" s="12"/>
      <c r="AD839" s="12"/>
    </row>
    <row r="840" spans="1:30" x14ac:dyDescent="0.35">
      <c r="A840" s="39" t="s">
        <v>91</v>
      </c>
      <c r="B840" s="35" t="s">
        <v>34</v>
      </c>
      <c r="C840" s="36" t="s">
        <v>37</v>
      </c>
      <c r="D840" s="24">
        <v>18.541704902557893</v>
      </c>
      <c r="E840" s="24">
        <v>19.275392168119797</v>
      </c>
      <c r="F840" s="24">
        <v>20.07872278496238</v>
      </c>
      <c r="G840" s="24">
        <v>20.917307284262726</v>
      </c>
      <c r="H840" s="24">
        <v>21.80089758625531</v>
      </c>
      <c r="I840" s="24">
        <v>22.741712520608484</v>
      </c>
      <c r="J840" s="24">
        <v>23.740962272311254</v>
      </c>
      <c r="K840" s="24">
        <v>24.849800818229486</v>
      </c>
      <c r="L840" s="24">
        <v>26.030967161313029</v>
      </c>
      <c r="M840" s="24">
        <v>27.301362954613399</v>
      </c>
      <c r="N840" s="24">
        <v>28.681666868155485</v>
      </c>
      <c r="O840" s="24">
        <v>30.184130749005405</v>
      </c>
      <c r="P840" s="24">
        <v>31.822655964909206</v>
      </c>
      <c r="Q840" s="14"/>
      <c r="R840" s="14"/>
      <c r="S840" s="12"/>
      <c r="T840" s="12"/>
      <c r="U840" s="12"/>
      <c r="V840" s="12"/>
      <c r="W840" s="12"/>
      <c r="X840" s="12"/>
      <c r="Y840" s="12"/>
      <c r="Z840" s="12"/>
      <c r="AA840" s="12"/>
      <c r="AB840" s="12"/>
      <c r="AC840" s="12"/>
      <c r="AD840" s="12"/>
    </row>
    <row r="841" spans="1:30" x14ac:dyDescent="0.35">
      <c r="A841" s="39" t="s">
        <v>91</v>
      </c>
      <c r="B841" s="35" t="s">
        <v>34</v>
      </c>
      <c r="C841" s="36" t="s">
        <v>38</v>
      </c>
      <c r="D841" s="24">
        <v>8.2836513744223232</v>
      </c>
      <c r="E841" s="24">
        <v>8.5725191179817468</v>
      </c>
      <c r="F841" s="24">
        <v>8.8797900788312862</v>
      </c>
      <c r="G841" s="24">
        <v>9.2037217791123194</v>
      </c>
      <c r="H841" s="24">
        <v>9.5428837419688968</v>
      </c>
      <c r="I841" s="24">
        <v>9.9012428476585832</v>
      </c>
      <c r="J841" s="24">
        <v>10.288247220937453</v>
      </c>
      <c r="K841" s="24">
        <v>10.700162385584507</v>
      </c>
      <c r="L841" s="24">
        <v>11.142618695213848</v>
      </c>
      <c r="M841" s="24">
        <v>11.614731835838288</v>
      </c>
      <c r="N841" s="24">
        <v>12.114942077541585</v>
      </c>
      <c r="O841" s="24">
        <v>12.654091727802628</v>
      </c>
      <c r="P841" s="24">
        <v>13.236144031205223</v>
      </c>
      <c r="Q841" s="14"/>
      <c r="R841" s="14"/>
      <c r="S841" s="12"/>
      <c r="T841" s="12"/>
      <c r="U841" s="12"/>
      <c r="V841" s="12"/>
      <c r="W841" s="12"/>
      <c r="X841" s="12"/>
      <c r="Y841" s="12"/>
      <c r="Z841" s="12"/>
      <c r="AA841" s="12"/>
      <c r="AB841" s="12"/>
      <c r="AC841" s="12"/>
      <c r="AD841" s="12"/>
    </row>
    <row r="842" spans="1:30" x14ac:dyDescent="0.35">
      <c r="A842" s="39" t="s">
        <v>91</v>
      </c>
      <c r="B842" s="35" t="s">
        <v>22</v>
      </c>
      <c r="C842" s="36" t="s">
        <v>39</v>
      </c>
      <c r="D842" s="24">
        <v>20.218946530164772</v>
      </c>
      <c r="E842" s="24">
        <v>20.919631427121942</v>
      </c>
      <c r="F842" s="24">
        <v>21.812211789483285</v>
      </c>
      <c r="G842" s="24">
        <v>22.774326840458642</v>
      </c>
      <c r="H842" s="24">
        <v>23.827263067029037</v>
      </c>
      <c r="I842" s="24">
        <v>24.922357710542201</v>
      </c>
      <c r="J842" s="24">
        <v>26.093729700883443</v>
      </c>
      <c r="K842" s="24">
        <v>27.340429242531769</v>
      </c>
      <c r="L842" s="24">
        <v>28.631838121118804</v>
      </c>
      <c r="M842" s="24">
        <v>30.066374594910585</v>
      </c>
      <c r="N842" s="24">
        <v>31.515225487466239</v>
      </c>
      <c r="O842" s="24">
        <v>33.027712789980768</v>
      </c>
      <c r="P842" s="24">
        <v>34.693921962631237</v>
      </c>
      <c r="Q842" s="14"/>
      <c r="R842" s="14"/>
      <c r="S842" s="12"/>
      <c r="T842" s="12"/>
      <c r="U842" s="12"/>
      <c r="V842" s="12"/>
      <c r="W842" s="12"/>
      <c r="X842" s="12"/>
      <c r="Y842" s="12"/>
      <c r="Z842" s="12"/>
      <c r="AA842" s="12"/>
      <c r="AB842" s="12"/>
      <c r="AC842" s="12"/>
      <c r="AD842" s="12"/>
    </row>
    <row r="843" spans="1:30" x14ac:dyDescent="0.35">
      <c r="A843" s="39" t="s">
        <v>91</v>
      </c>
      <c r="B843" s="35" t="s">
        <v>22</v>
      </c>
      <c r="C843" s="36" t="s">
        <v>40</v>
      </c>
      <c r="D843" s="24">
        <v>22.500020517994788</v>
      </c>
      <c r="E843" s="24">
        <v>23.244787871198355</v>
      </c>
      <c r="F843" s="24">
        <v>24.063182427946256</v>
      </c>
      <c r="G843" s="24">
        <v>24.912516639027423</v>
      </c>
      <c r="H843" s="24">
        <v>25.803718067980757</v>
      </c>
      <c r="I843" s="24">
        <v>26.750354402057784</v>
      </c>
      <c r="J843" s="24">
        <v>27.752696728259782</v>
      </c>
      <c r="K843" s="24">
        <v>28.869378777349453</v>
      </c>
      <c r="L843" s="24">
        <v>30.054853573004493</v>
      </c>
      <c r="M843" s="24">
        <v>31.327208433470432</v>
      </c>
      <c r="N843" s="24">
        <v>32.708400968583994</v>
      </c>
      <c r="O843" s="24">
        <v>34.210216764746725</v>
      </c>
      <c r="P843" s="24">
        <v>35.845995354650917</v>
      </c>
      <c r="Q843" s="14"/>
      <c r="R843" s="14"/>
      <c r="S843" s="12"/>
      <c r="T843" s="12"/>
      <c r="U843" s="12"/>
      <c r="V843" s="12"/>
      <c r="W843" s="12"/>
      <c r="X843" s="12"/>
      <c r="Y843" s="12"/>
      <c r="Z843" s="12"/>
      <c r="AA843" s="12"/>
      <c r="AB843" s="12"/>
      <c r="AC843" s="12"/>
      <c r="AD843" s="12"/>
    </row>
    <row r="844" spans="1:30" x14ac:dyDescent="0.35">
      <c r="A844" s="39" t="s">
        <v>91</v>
      </c>
      <c r="B844" s="35" t="s">
        <v>22</v>
      </c>
      <c r="C844" s="36" t="s">
        <v>41</v>
      </c>
      <c r="D844" s="24">
        <v>17.51438120529625</v>
      </c>
      <c r="E844" s="24">
        <v>17.946657649695808</v>
      </c>
      <c r="F844" s="24">
        <v>18.435471789731842</v>
      </c>
      <c r="G844" s="24">
        <v>18.943109688219863</v>
      </c>
      <c r="H844" s="24">
        <v>19.475069226549497</v>
      </c>
      <c r="I844" s="24">
        <v>20.042415154357222</v>
      </c>
      <c r="J844" s="24">
        <v>20.660852928485838</v>
      </c>
      <c r="K844" s="24">
        <v>21.344838497260444</v>
      </c>
      <c r="L844" s="24">
        <v>22.071347736933053</v>
      </c>
      <c r="M844" s="24">
        <v>22.843554906170798</v>
      </c>
      <c r="N844" s="24">
        <v>23.687503828018183</v>
      </c>
      <c r="O844" s="24">
        <v>24.610892292764053</v>
      </c>
      <c r="P844" s="24">
        <v>25.622453670699201</v>
      </c>
      <c r="Q844" s="14"/>
      <c r="R844" s="14"/>
      <c r="S844" s="12"/>
      <c r="T844" s="12"/>
      <c r="U844" s="12"/>
      <c r="V844" s="12"/>
      <c r="W844" s="12"/>
      <c r="X844" s="12"/>
      <c r="Y844" s="12"/>
      <c r="Z844" s="12"/>
      <c r="AA844" s="12"/>
      <c r="AB844" s="12"/>
      <c r="AC844" s="12"/>
      <c r="AD844" s="12"/>
    </row>
    <row r="845" spans="1:30" x14ac:dyDescent="0.35">
      <c r="A845" s="39" t="s">
        <v>91</v>
      </c>
      <c r="B845" s="35" t="s">
        <v>22</v>
      </c>
      <c r="C845" s="36" t="s">
        <v>42</v>
      </c>
      <c r="D845" s="24">
        <v>25.428707111511958</v>
      </c>
      <c r="E845" s="24">
        <v>26.596954398625485</v>
      </c>
      <c r="F845" s="24">
        <v>27.883661068294504</v>
      </c>
      <c r="G845" s="24">
        <v>29.253826453012188</v>
      </c>
      <c r="H845" s="24">
        <v>30.714909282466838</v>
      </c>
      <c r="I845" s="24">
        <v>32.287001536236971</v>
      </c>
      <c r="J845" s="24">
        <v>33.964015860012132</v>
      </c>
      <c r="K845" s="24">
        <v>35.766446101293745</v>
      </c>
      <c r="L845" s="24">
        <v>37.720228413496621</v>
      </c>
      <c r="M845" s="24">
        <v>39.810997679567215</v>
      </c>
      <c r="N845" s="24">
        <v>42.066767369130027</v>
      </c>
      <c r="O845" s="24">
        <v>44.503821293123266</v>
      </c>
      <c r="P845" s="24">
        <v>47.160156761132178</v>
      </c>
      <c r="Q845" s="14"/>
      <c r="R845" s="14"/>
      <c r="S845" s="12"/>
      <c r="T845" s="12"/>
      <c r="U845" s="12"/>
      <c r="V845" s="12"/>
      <c r="W845" s="12"/>
      <c r="X845" s="12"/>
      <c r="Y845" s="12"/>
      <c r="Z845" s="12"/>
      <c r="AA845" s="12"/>
      <c r="AB845" s="12"/>
      <c r="AC845" s="12"/>
      <c r="AD845" s="12"/>
    </row>
    <row r="846" spans="1:30" x14ac:dyDescent="0.35">
      <c r="A846" s="39" t="s">
        <v>92</v>
      </c>
      <c r="B846" s="35" t="s">
        <v>24</v>
      </c>
      <c r="C846" s="36" t="s">
        <v>25</v>
      </c>
      <c r="D846" s="24">
        <v>10.171783060758552</v>
      </c>
      <c r="E846" s="24">
        <v>10.507024357376029</v>
      </c>
      <c r="F846" s="24">
        <v>10.880168679753465</v>
      </c>
      <c r="G846" s="24">
        <v>11.269816582897588</v>
      </c>
      <c r="H846" s="24">
        <v>11.679572387559624</v>
      </c>
      <c r="I846" s="24">
        <v>12.116489391154049</v>
      </c>
      <c r="J846" s="24">
        <v>12.590646257711285</v>
      </c>
      <c r="K846" s="24">
        <v>13.111673991471498</v>
      </c>
      <c r="L846" s="24">
        <v>13.666474855369215</v>
      </c>
      <c r="M846" s="24">
        <v>14.25773575471904</v>
      </c>
      <c r="N846" s="24">
        <v>14.902491482853289</v>
      </c>
      <c r="O846" s="24">
        <v>15.606765818139761</v>
      </c>
      <c r="P846" s="24">
        <v>16.377411078717731</v>
      </c>
      <c r="Q846" s="14"/>
      <c r="R846" s="14"/>
      <c r="S846" s="12"/>
      <c r="T846" s="12"/>
      <c r="U846" s="12"/>
      <c r="V846" s="12"/>
      <c r="W846" s="12"/>
      <c r="X846" s="12"/>
      <c r="Y846" s="12"/>
      <c r="Z846" s="12"/>
      <c r="AA846" s="12"/>
      <c r="AB846" s="12"/>
      <c r="AC846" s="12"/>
      <c r="AD846" s="12"/>
    </row>
    <row r="847" spans="1:30" x14ac:dyDescent="0.35">
      <c r="A847" s="39" t="s">
        <v>92</v>
      </c>
      <c r="B847" s="35" t="s">
        <v>24</v>
      </c>
      <c r="C847" s="36" t="s">
        <v>26</v>
      </c>
      <c r="D847" s="24">
        <v>111.74388712993769</v>
      </c>
      <c r="E847" s="24">
        <v>116.84326996949416</v>
      </c>
      <c r="F847" s="24">
        <v>122.207347105403</v>
      </c>
      <c r="G847" s="24">
        <v>127.88881448195376</v>
      </c>
      <c r="H847" s="24">
        <v>133.95100601093944</v>
      </c>
      <c r="I847" s="24">
        <v>140.39478032206247</v>
      </c>
      <c r="J847" s="24">
        <v>147.18742473399561</v>
      </c>
      <c r="K847" s="24">
        <v>154.44064351861829</v>
      </c>
      <c r="L847" s="24">
        <v>162.29139423260878</v>
      </c>
      <c r="M847" s="24">
        <v>170.64571622205725</v>
      </c>
      <c r="N847" s="24">
        <v>179.65650446898886</v>
      </c>
      <c r="O847" s="24">
        <v>189.32820204051419</v>
      </c>
      <c r="P847" s="24">
        <v>199.72154820883199</v>
      </c>
      <c r="Q847" s="14"/>
      <c r="R847" s="14"/>
      <c r="S847" s="12"/>
      <c r="T847" s="12"/>
      <c r="U847" s="12"/>
      <c r="V847" s="12"/>
      <c r="W847" s="12"/>
      <c r="X847" s="12"/>
      <c r="Y847" s="12"/>
      <c r="Z847" s="12"/>
      <c r="AA847" s="12"/>
      <c r="AB847" s="12"/>
      <c r="AC847" s="12"/>
      <c r="AD847" s="12"/>
    </row>
    <row r="848" spans="1:30" x14ac:dyDescent="0.35">
      <c r="A848" s="39" t="s">
        <v>92</v>
      </c>
      <c r="B848" s="35" t="s">
        <v>27</v>
      </c>
      <c r="C848" s="36" t="s">
        <v>28</v>
      </c>
      <c r="D848" s="24">
        <v>44.933306417254983</v>
      </c>
      <c r="E848" s="24">
        <v>46.679288809792808</v>
      </c>
      <c r="F848" s="24">
        <v>48.453610254254102</v>
      </c>
      <c r="G848" s="24">
        <v>50.323070109903796</v>
      </c>
      <c r="H848" s="24">
        <v>52.325066818580723</v>
      </c>
      <c r="I848" s="24">
        <v>54.429984560119209</v>
      </c>
      <c r="J848" s="24">
        <v>56.567215900547097</v>
      </c>
      <c r="K848" s="24">
        <v>58.797292972984565</v>
      </c>
      <c r="L848" s="24">
        <v>61.213782633499946</v>
      </c>
      <c r="M848" s="24">
        <v>63.724867223931142</v>
      </c>
      <c r="N848" s="24">
        <v>66.40862835064479</v>
      </c>
      <c r="O848" s="24">
        <v>69.223569862502046</v>
      </c>
      <c r="P848" s="24">
        <v>72.158987879203863</v>
      </c>
      <c r="Q848" s="14"/>
      <c r="R848" s="14"/>
      <c r="S848" s="12"/>
      <c r="T848" s="12"/>
      <c r="U848" s="12"/>
      <c r="V848" s="12"/>
      <c r="W848" s="12"/>
      <c r="X848" s="12"/>
      <c r="Y848" s="12"/>
      <c r="Z848" s="12"/>
      <c r="AA848" s="12"/>
      <c r="AB848" s="12"/>
      <c r="AC848" s="12"/>
      <c r="AD848" s="12"/>
    </row>
    <row r="849" spans="1:30" x14ac:dyDescent="0.35">
      <c r="A849" s="39" t="s">
        <v>92</v>
      </c>
      <c r="B849" s="35" t="s">
        <v>27</v>
      </c>
      <c r="C849" s="36" t="s">
        <v>29</v>
      </c>
      <c r="D849" s="24">
        <v>26.366900628758657</v>
      </c>
      <c r="E849" s="24">
        <v>27.773359275704401</v>
      </c>
      <c r="F849" s="24">
        <v>29.262444041723498</v>
      </c>
      <c r="G849" s="24">
        <v>30.848400050966017</v>
      </c>
      <c r="H849" s="24">
        <v>32.54843427206454</v>
      </c>
      <c r="I849" s="24">
        <v>34.365051115060531</v>
      </c>
      <c r="J849" s="24">
        <v>36.292577425303932</v>
      </c>
      <c r="K849" s="24">
        <v>38.360748541662161</v>
      </c>
      <c r="L849" s="24">
        <v>40.606414351660192</v>
      </c>
      <c r="M849" s="24">
        <v>43.009687297610895</v>
      </c>
      <c r="N849" s="24">
        <v>45.612261055961397</v>
      </c>
      <c r="O849" s="24">
        <v>48.419315095623404</v>
      </c>
      <c r="P849" s="24">
        <v>51.450518732023383</v>
      </c>
      <c r="Q849" s="14"/>
      <c r="R849" s="14"/>
      <c r="S849" s="12"/>
      <c r="T849" s="12"/>
      <c r="U849" s="12"/>
      <c r="V849" s="12"/>
      <c r="W849" s="12"/>
      <c r="X849" s="12"/>
      <c r="Y849" s="12"/>
      <c r="Z849" s="12"/>
      <c r="AA849" s="12"/>
      <c r="AB849" s="12"/>
      <c r="AC849" s="12"/>
      <c r="AD849" s="12"/>
    </row>
    <row r="850" spans="1:30" x14ac:dyDescent="0.35">
      <c r="A850" s="39" t="s">
        <v>92</v>
      </c>
      <c r="B850" s="35" t="s">
        <v>27</v>
      </c>
      <c r="C850" s="36" t="s">
        <v>30</v>
      </c>
      <c r="D850" s="24">
        <v>19.829285070836722</v>
      </c>
      <c r="E850" s="24">
        <v>20.886137454352792</v>
      </c>
      <c r="F850" s="24">
        <v>22.052698873071741</v>
      </c>
      <c r="G850" s="24">
        <v>23.291007690781687</v>
      </c>
      <c r="H850" s="24">
        <v>24.611567749346339</v>
      </c>
      <c r="I850" s="24">
        <v>26.032842303977382</v>
      </c>
      <c r="J850" s="24">
        <v>27.581087670217851</v>
      </c>
      <c r="K850" s="24">
        <v>29.283439671673349</v>
      </c>
      <c r="L850" s="24">
        <v>31.118137638782944</v>
      </c>
      <c r="M850" s="24">
        <v>33.097350329153535</v>
      </c>
      <c r="N850" s="24">
        <v>35.267247470166687</v>
      </c>
      <c r="O850" s="24">
        <v>37.651257591031808</v>
      </c>
      <c r="P850" s="24">
        <v>40.276247066031623</v>
      </c>
      <c r="Q850" s="14"/>
      <c r="R850" s="14"/>
      <c r="S850" s="12"/>
      <c r="T850" s="12"/>
      <c r="U850" s="12"/>
      <c r="V850" s="12"/>
      <c r="W850" s="12"/>
      <c r="X850" s="12"/>
      <c r="Y850" s="12"/>
      <c r="Z850" s="12"/>
      <c r="AA850" s="12"/>
      <c r="AB850" s="12"/>
      <c r="AC850" s="12"/>
      <c r="AD850" s="12"/>
    </row>
    <row r="851" spans="1:30" x14ac:dyDescent="0.35">
      <c r="A851" s="39" t="s">
        <v>92</v>
      </c>
      <c r="B851" s="35" t="s">
        <v>27</v>
      </c>
      <c r="C851" s="36" t="s">
        <v>31</v>
      </c>
      <c r="D851" s="24">
        <v>16.208650368056958</v>
      </c>
      <c r="E851" s="24">
        <v>16.953703013531101</v>
      </c>
      <c r="F851" s="24">
        <v>17.749476723485849</v>
      </c>
      <c r="G851" s="24">
        <v>18.593890083426679</v>
      </c>
      <c r="H851" s="24">
        <v>19.485371389719177</v>
      </c>
      <c r="I851" s="24">
        <v>20.433272840490918</v>
      </c>
      <c r="J851" s="24">
        <v>21.458630258930992</v>
      </c>
      <c r="K851" s="24">
        <v>22.555848153014168</v>
      </c>
      <c r="L851" s="24">
        <v>23.738784154067091</v>
      </c>
      <c r="M851" s="24">
        <v>25.007963136686342</v>
      </c>
      <c r="N851" s="24">
        <v>26.362424603393013</v>
      </c>
      <c r="O851" s="24">
        <v>27.828101470986276</v>
      </c>
      <c r="P851" s="24">
        <v>29.416849259309757</v>
      </c>
      <c r="Q851" s="14"/>
      <c r="R851" s="14"/>
      <c r="S851" s="12"/>
      <c r="T851" s="12"/>
      <c r="U851" s="12"/>
      <c r="V851" s="12"/>
      <c r="W851" s="12"/>
      <c r="X851" s="12"/>
      <c r="Y851" s="12"/>
      <c r="Z851" s="12"/>
      <c r="AA851" s="12"/>
      <c r="AB851" s="12"/>
      <c r="AC851" s="12"/>
      <c r="AD851" s="12"/>
    </row>
    <row r="852" spans="1:30" x14ac:dyDescent="0.35">
      <c r="A852" s="39" t="s">
        <v>92</v>
      </c>
      <c r="B852" s="35" t="s">
        <v>27</v>
      </c>
      <c r="C852" s="36" t="s">
        <v>32</v>
      </c>
      <c r="D852" s="24">
        <v>9.4148674112979585</v>
      </c>
      <c r="E852" s="24">
        <v>9.6967303844816346</v>
      </c>
      <c r="F852" s="24">
        <v>9.9908744326845991</v>
      </c>
      <c r="G852" s="24">
        <v>10.297212039471786</v>
      </c>
      <c r="H852" s="24">
        <v>10.616469165250583</v>
      </c>
      <c r="I852" s="24">
        <v>10.952506847937588</v>
      </c>
      <c r="J852" s="24">
        <v>11.311395871040158</v>
      </c>
      <c r="K852" s="24">
        <v>11.68856609106663</v>
      </c>
      <c r="L852" s="24">
        <v>12.095757965992814</v>
      </c>
      <c r="M852" s="24">
        <v>12.536108894581965</v>
      </c>
      <c r="N852" s="24">
        <v>13.008942423797221</v>
      </c>
      <c r="O852" s="24">
        <v>13.508404351893972</v>
      </c>
      <c r="P852" s="24">
        <v>14.050683199360298</v>
      </c>
      <c r="Q852" s="14"/>
      <c r="R852" s="14"/>
      <c r="S852" s="12"/>
      <c r="T852" s="12"/>
      <c r="U852" s="12"/>
      <c r="V852" s="12"/>
      <c r="W852" s="12"/>
      <c r="X852" s="12"/>
      <c r="Y852" s="12"/>
      <c r="Z852" s="12"/>
      <c r="AA852" s="12"/>
      <c r="AB852" s="12"/>
      <c r="AC852" s="12"/>
      <c r="AD852" s="12"/>
    </row>
    <row r="853" spans="1:30" x14ac:dyDescent="0.35">
      <c r="A853" s="39" t="s">
        <v>92</v>
      </c>
      <c r="B853" s="35" t="s">
        <v>27</v>
      </c>
      <c r="C853" s="36" t="s">
        <v>33</v>
      </c>
      <c r="D853" s="24">
        <v>5.1626602944909816</v>
      </c>
      <c r="E853" s="24">
        <v>5.3610753890074339</v>
      </c>
      <c r="F853" s="24">
        <v>5.5784114599366657</v>
      </c>
      <c r="G853" s="24">
        <v>5.8050510903013688</v>
      </c>
      <c r="H853" s="24">
        <v>6.0436690035377119</v>
      </c>
      <c r="I853" s="24">
        <v>6.2976120456309088</v>
      </c>
      <c r="J853" s="24">
        <v>6.5671638656668492</v>
      </c>
      <c r="K853" s="24">
        <v>6.8664220796889044</v>
      </c>
      <c r="L853" s="24">
        <v>7.1849923439750114</v>
      </c>
      <c r="M853" s="24">
        <v>7.5274750948124174</v>
      </c>
      <c r="N853" s="24">
        <v>7.8994920478790327</v>
      </c>
      <c r="O853" s="24">
        <v>8.304319486616432</v>
      </c>
      <c r="P853" s="24">
        <v>8.7456731516207888</v>
      </c>
      <c r="Q853" s="14"/>
      <c r="R853" s="14"/>
      <c r="S853" s="12"/>
      <c r="T853" s="12"/>
      <c r="U853" s="12"/>
      <c r="V853" s="12"/>
      <c r="W853" s="12"/>
      <c r="X853" s="12"/>
      <c r="Y853" s="12"/>
      <c r="Z853" s="12"/>
      <c r="AA853" s="12"/>
      <c r="AB853" s="12"/>
      <c r="AC853" s="12"/>
      <c r="AD853" s="12"/>
    </row>
    <row r="854" spans="1:30" x14ac:dyDescent="0.35">
      <c r="A854" s="39" t="s">
        <v>92</v>
      </c>
      <c r="B854" s="35" t="s">
        <v>34</v>
      </c>
      <c r="C854" s="36" t="s">
        <v>35</v>
      </c>
      <c r="D854" s="24">
        <v>37.295401057856722</v>
      </c>
      <c r="E854" s="24">
        <v>38.921091034034376</v>
      </c>
      <c r="F854" s="24">
        <v>40.419701028554769</v>
      </c>
      <c r="G854" s="24">
        <v>42.001832011694091</v>
      </c>
      <c r="H854" s="24">
        <v>43.68917351954974</v>
      </c>
      <c r="I854" s="24">
        <v>45.461770422393883</v>
      </c>
      <c r="J854" s="24">
        <v>47.252514042455147</v>
      </c>
      <c r="K854" s="24">
        <v>49.042404800817621</v>
      </c>
      <c r="L854" s="24">
        <v>51.041634679956644</v>
      </c>
      <c r="M854" s="24">
        <v>53.059984057650979</v>
      </c>
      <c r="N854" s="24">
        <v>55.256247664390628</v>
      </c>
      <c r="O854" s="24">
        <v>57.54591566489151</v>
      </c>
      <c r="P854" s="24">
        <v>59.86248119878698</v>
      </c>
      <c r="Q854" s="21"/>
      <c r="R854" s="21"/>
      <c r="S854" s="12"/>
      <c r="T854" s="12"/>
      <c r="U854" s="12"/>
      <c r="V854" s="12"/>
      <c r="W854" s="12"/>
      <c r="X854" s="12"/>
      <c r="Y854" s="12"/>
      <c r="Z854" s="12"/>
      <c r="AA854" s="12"/>
      <c r="AB854" s="12"/>
      <c r="AC854" s="12"/>
      <c r="AD854" s="12"/>
    </row>
    <row r="855" spans="1:30" x14ac:dyDescent="0.35">
      <c r="A855" s="39" t="s">
        <v>92</v>
      </c>
      <c r="B855" s="35" t="s">
        <v>34</v>
      </c>
      <c r="C855" s="36" t="s">
        <v>36</v>
      </c>
      <c r="D855" s="24">
        <v>43.23100150176473</v>
      </c>
      <c r="E855" s="24">
        <v>45.294175598756709</v>
      </c>
      <c r="F855" s="24">
        <v>47.637157855925452</v>
      </c>
      <c r="G855" s="24">
        <v>50.135474575687439</v>
      </c>
      <c r="H855" s="24">
        <v>52.820210785135608</v>
      </c>
      <c r="I855" s="24">
        <v>55.692638593342409</v>
      </c>
      <c r="J855" s="24">
        <v>58.779181622633509</v>
      </c>
      <c r="K855" s="24">
        <v>62.142938671445918</v>
      </c>
      <c r="L855" s="24">
        <v>65.745672241327654</v>
      </c>
      <c r="M855" s="24">
        <v>69.658605823144455</v>
      </c>
      <c r="N855" s="24">
        <v>73.859727564225551</v>
      </c>
      <c r="O855" s="24">
        <v>78.404397975734739</v>
      </c>
      <c r="P855" s="24">
        <v>83.394741287823109</v>
      </c>
      <c r="Q855" s="21"/>
      <c r="R855" s="21"/>
      <c r="S855" s="12"/>
      <c r="T855" s="12"/>
      <c r="U855" s="12"/>
      <c r="V855" s="12"/>
      <c r="W855" s="12"/>
      <c r="X855" s="12"/>
      <c r="Y855" s="12"/>
      <c r="Z855" s="12"/>
      <c r="AA855" s="12"/>
      <c r="AB855" s="12"/>
      <c r="AC855" s="12"/>
      <c r="AD855" s="12"/>
    </row>
    <row r="856" spans="1:30" x14ac:dyDescent="0.35">
      <c r="A856" s="39" t="s">
        <v>92</v>
      </c>
      <c r="B856" s="35" t="s">
        <v>34</v>
      </c>
      <c r="C856" s="36" t="s">
        <v>37</v>
      </c>
      <c r="D856" s="24">
        <v>28.806134277810898</v>
      </c>
      <c r="E856" s="24">
        <v>30.06228895597016</v>
      </c>
      <c r="F856" s="24">
        <v>31.43655977966166</v>
      </c>
      <c r="G856" s="24">
        <v>32.876431483043056</v>
      </c>
      <c r="H856" s="24">
        <v>34.397942617725477</v>
      </c>
      <c r="I856" s="24">
        <v>36.021267406881321</v>
      </c>
      <c r="J856" s="24">
        <v>37.7494488532273</v>
      </c>
      <c r="K856" s="24">
        <v>39.664981859096585</v>
      </c>
      <c r="L856" s="24">
        <v>41.710499056931937</v>
      </c>
      <c r="M856" s="24">
        <v>43.914518318348158</v>
      </c>
      <c r="N856" s="24">
        <v>46.312061477022638</v>
      </c>
      <c r="O856" s="24">
        <v>48.925068805583543</v>
      </c>
      <c r="P856" s="24">
        <v>51.778474309947484</v>
      </c>
      <c r="Q856" s="21"/>
      <c r="R856" s="21"/>
      <c r="S856" s="12"/>
      <c r="T856" s="12"/>
      <c r="U856" s="12"/>
      <c r="V856" s="12"/>
      <c r="W856" s="12"/>
      <c r="X856" s="12"/>
      <c r="Y856" s="12"/>
      <c r="Z856" s="12"/>
      <c r="AA856" s="12"/>
      <c r="AB856" s="12"/>
      <c r="AC856" s="12"/>
      <c r="AD856" s="12"/>
    </row>
    <row r="857" spans="1:30" x14ac:dyDescent="0.35">
      <c r="A857" s="39" t="s">
        <v>92</v>
      </c>
      <c r="B857" s="35" t="s">
        <v>34</v>
      </c>
      <c r="C857" s="36" t="s">
        <v>38</v>
      </c>
      <c r="D857" s="24">
        <v>12.583133353263888</v>
      </c>
      <c r="E857" s="24">
        <v>13.072738738108931</v>
      </c>
      <c r="F857" s="24">
        <v>13.594097121014574</v>
      </c>
      <c r="G857" s="24">
        <v>14.144892994426748</v>
      </c>
      <c r="H857" s="24">
        <v>14.723251476088254</v>
      </c>
      <c r="I857" s="24">
        <v>15.335593290598919</v>
      </c>
      <c r="J857" s="24">
        <v>15.996926473390946</v>
      </c>
      <c r="K857" s="24">
        <v>16.701992178729647</v>
      </c>
      <c r="L857" s="24">
        <v>17.460063109761769</v>
      </c>
      <c r="M857" s="24">
        <v>18.270343777632696</v>
      </c>
      <c r="N857" s="24">
        <v>19.130959246203325</v>
      </c>
      <c r="O857" s="24">
        <v>20.05958541244415</v>
      </c>
      <c r="P857" s="24">
        <v>21.063262490992141</v>
      </c>
      <c r="Q857" s="21"/>
      <c r="R857" s="21"/>
      <c r="S857" s="12"/>
      <c r="T857" s="12"/>
      <c r="U857" s="12"/>
      <c r="V857" s="12"/>
      <c r="W857" s="12"/>
      <c r="X857" s="12"/>
      <c r="Y857" s="12"/>
      <c r="Z857" s="12"/>
      <c r="AA857" s="12"/>
      <c r="AB857" s="12"/>
      <c r="AC857" s="12"/>
      <c r="AD857" s="12"/>
    </row>
    <row r="858" spans="1:30" x14ac:dyDescent="0.35">
      <c r="A858" s="39" t="s">
        <v>92</v>
      </c>
      <c r="B858" s="35" t="s">
        <v>22</v>
      </c>
      <c r="C858" s="36" t="s">
        <v>39</v>
      </c>
      <c r="D858" s="24">
        <v>29.109880812718401</v>
      </c>
      <c r="E858" s="24">
        <v>30.715568089755138</v>
      </c>
      <c r="F858" s="24">
        <v>32.2951341883483</v>
      </c>
      <c r="G858" s="24">
        <v>33.974225872266857</v>
      </c>
      <c r="H858" s="24">
        <v>35.79599617035106</v>
      </c>
      <c r="I858" s="24">
        <v>37.707715248768721</v>
      </c>
      <c r="J858" s="24">
        <v>39.640260852525117</v>
      </c>
      <c r="K858" s="24">
        <v>41.681852443384884</v>
      </c>
      <c r="L858" s="24">
        <v>43.900120431030615</v>
      </c>
      <c r="M858" s="24">
        <v>46.192395975878128</v>
      </c>
      <c r="N858" s="24">
        <v>48.649616191747867</v>
      </c>
      <c r="O858" s="24">
        <v>51.268806052037831</v>
      </c>
      <c r="P858" s="24">
        <v>53.971912227812737</v>
      </c>
      <c r="Q858" s="21"/>
      <c r="R858" s="21"/>
      <c r="S858" s="12"/>
      <c r="T858" s="12"/>
      <c r="U858" s="12"/>
      <c r="V858" s="12"/>
      <c r="W858" s="12"/>
      <c r="X858" s="12"/>
      <c r="Y858" s="12"/>
      <c r="Z858" s="12"/>
      <c r="AA858" s="12"/>
      <c r="AB858" s="12"/>
      <c r="AC858" s="12"/>
      <c r="AD858" s="12"/>
    </row>
    <row r="859" spans="1:30" x14ac:dyDescent="0.35">
      <c r="A859" s="39" t="s">
        <v>92</v>
      </c>
      <c r="B859" s="35" t="s">
        <v>22</v>
      </c>
      <c r="C859" s="36" t="s">
        <v>40</v>
      </c>
      <c r="D859" s="24">
        <v>31.947103866672862</v>
      </c>
      <c r="E859" s="24">
        <v>33.134047194901463</v>
      </c>
      <c r="F859" s="24">
        <v>34.44580093304473</v>
      </c>
      <c r="G859" s="24">
        <v>35.835688210086801</v>
      </c>
      <c r="H859" s="24">
        <v>37.310554185695459</v>
      </c>
      <c r="I859" s="24">
        <v>38.89232355076475</v>
      </c>
      <c r="J859" s="24">
        <v>40.570612114287329</v>
      </c>
      <c r="K859" s="24">
        <v>42.36708489347695</v>
      </c>
      <c r="L859" s="24">
        <v>44.309084181712478</v>
      </c>
      <c r="M859" s="24">
        <v>46.375644792307334</v>
      </c>
      <c r="N859" s="24">
        <v>48.595800095056681</v>
      </c>
      <c r="O859" s="24">
        <v>50.984007995609964</v>
      </c>
      <c r="P859" s="24">
        <v>53.579049961907032</v>
      </c>
      <c r="Q859" s="21"/>
      <c r="R859" s="21"/>
      <c r="S859" s="12"/>
      <c r="T859" s="12"/>
      <c r="U859" s="12"/>
      <c r="V859" s="12"/>
      <c r="W859" s="12"/>
      <c r="X859" s="12"/>
      <c r="Y859" s="12"/>
      <c r="Z859" s="12"/>
      <c r="AA859" s="12"/>
      <c r="AB859" s="12"/>
      <c r="AC859" s="12"/>
      <c r="AD859" s="12"/>
    </row>
    <row r="860" spans="1:30" x14ac:dyDescent="0.35">
      <c r="A860" s="39" t="s">
        <v>92</v>
      </c>
      <c r="B860" s="35" t="s">
        <v>22</v>
      </c>
      <c r="C860" s="36" t="s">
        <v>41</v>
      </c>
      <c r="D860" s="24">
        <v>24.809897757134568</v>
      </c>
      <c r="E860" s="24">
        <v>25.524722136025026</v>
      </c>
      <c r="F860" s="24">
        <v>26.325378897484619</v>
      </c>
      <c r="G860" s="24">
        <v>27.159018569819697</v>
      </c>
      <c r="H860" s="24">
        <v>28.033886341711071</v>
      </c>
      <c r="I860" s="24">
        <v>28.966370335778091</v>
      </c>
      <c r="J860" s="24">
        <v>29.979825014532341</v>
      </c>
      <c r="K860" s="24">
        <v>31.096160523399281</v>
      </c>
      <c r="L860" s="24">
        <v>32.283026358982319</v>
      </c>
      <c r="M860" s="24">
        <v>33.545863999513003</v>
      </c>
      <c r="N860" s="24">
        <v>34.923779288475231</v>
      </c>
      <c r="O860" s="24">
        <v>36.429445693670729</v>
      </c>
      <c r="P860" s="24">
        <v>38.077259478902704</v>
      </c>
      <c r="Q860" s="21"/>
      <c r="R860" s="21"/>
      <c r="S860" s="12"/>
      <c r="T860" s="12"/>
      <c r="U860" s="12"/>
      <c r="V860" s="12"/>
      <c r="W860" s="12"/>
      <c r="X860" s="12"/>
      <c r="Y860" s="12"/>
      <c r="Z860" s="12"/>
      <c r="AA860" s="12"/>
      <c r="AB860" s="12"/>
      <c r="AC860" s="12"/>
      <c r="AD860" s="12"/>
    </row>
    <row r="861" spans="1:30" x14ac:dyDescent="0.35">
      <c r="A861" s="39" t="s">
        <v>92</v>
      </c>
      <c r="B861" s="35" t="s">
        <v>22</v>
      </c>
      <c r="C861" s="36" t="s">
        <v>42</v>
      </c>
      <c r="D861" s="24">
        <v>36.048787754170412</v>
      </c>
      <c r="E861" s="24">
        <v>37.975956906188564</v>
      </c>
      <c r="F861" s="24">
        <v>40.021201766278807</v>
      </c>
      <c r="G861" s="24">
        <v>42.189698412677991</v>
      </c>
      <c r="H861" s="24">
        <v>44.490141700741468</v>
      </c>
      <c r="I861" s="24">
        <v>46.944860577904969</v>
      </c>
      <c r="J861" s="24">
        <v>49.587373010362114</v>
      </c>
      <c r="K861" s="24">
        <v>52.407219649828662</v>
      </c>
      <c r="L861" s="24">
        <v>55.465638116252599</v>
      </c>
      <c r="M861" s="24">
        <v>58.789547209077838</v>
      </c>
      <c r="N861" s="24">
        <v>62.389800376562356</v>
      </c>
      <c r="O861" s="24">
        <v>66.252708117335416</v>
      </c>
      <c r="P861" s="24">
        <v>70.470737618927231</v>
      </c>
      <c r="Q861" s="21"/>
      <c r="R861" s="21"/>
      <c r="S861" s="12"/>
      <c r="T861" s="12"/>
      <c r="U861" s="12"/>
      <c r="V861" s="12"/>
      <c r="W861" s="12"/>
      <c r="X861" s="12"/>
      <c r="Y861" s="12"/>
      <c r="Z861" s="12"/>
      <c r="AA861" s="12"/>
      <c r="AB861" s="12"/>
      <c r="AC861" s="12"/>
      <c r="AD861" s="12"/>
    </row>
    <row r="862" spans="1:30" x14ac:dyDescent="0.35">
      <c r="A862" s="39" t="s">
        <v>93</v>
      </c>
      <c r="B862" s="35" t="s">
        <v>24</v>
      </c>
      <c r="C862" s="36" t="s">
        <v>25</v>
      </c>
      <c r="D862" s="24">
        <v>6.4356004657078421</v>
      </c>
      <c r="E862" s="24">
        <v>6.6320618407140941</v>
      </c>
      <c r="F862" s="24">
        <v>6.8363361950913024</v>
      </c>
      <c r="G862" s="24">
        <v>7.0508817089648259</v>
      </c>
      <c r="H862" s="24">
        <v>7.2785883024765212</v>
      </c>
      <c r="I862" s="24">
        <v>7.5187684606470286</v>
      </c>
      <c r="J862" s="24">
        <v>7.7689568276766963</v>
      </c>
      <c r="K862" s="24">
        <v>8.0344338615282656</v>
      </c>
      <c r="L862" s="24">
        <v>8.3214734280006013</v>
      </c>
      <c r="M862" s="24">
        <v>8.6241255599915636</v>
      </c>
      <c r="N862" s="24">
        <v>8.949227423825187</v>
      </c>
      <c r="O862" s="24">
        <v>9.2958051203209564</v>
      </c>
      <c r="P862" s="24">
        <v>9.6656726002783859</v>
      </c>
      <c r="Q862" s="21"/>
      <c r="R862" s="21"/>
      <c r="S862" s="12"/>
      <c r="T862" s="12"/>
      <c r="U862" s="12"/>
      <c r="V862" s="12"/>
      <c r="W862" s="12"/>
      <c r="X862" s="12"/>
      <c r="Y862" s="12"/>
      <c r="Z862" s="12"/>
      <c r="AA862" s="12"/>
      <c r="AB862" s="12"/>
      <c r="AC862" s="12"/>
      <c r="AD862" s="12"/>
    </row>
    <row r="863" spans="1:30" x14ac:dyDescent="0.35">
      <c r="A863" s="39" t="s">
        <v>93</v>
      </c>
      <c r="B863" s="35" t="s">
        <v>24</v>
      </c>
      <c r="C863" s="36" t="s">
        <v>26</v>
      </c>
      <c r="D863" s="24">
        <v>66.295952310833329</v>
      </c>
      <c r="E863" s="24">
        <v>68.290418699348052</v>
      </c>
      <c r="F863" s="24">
        <v>70.45021350941191</v>
      </c>
      <c r="G863" s="24">
        <v>72.813543035064285</v>
      </c>
      <c r="H863" s="24">
        <v>75.338759058210442</v>
      </c>
      <c r="I863" s="24">
        <v>78.155736500451013</v>
      </c>
      <c r="J863" s="24">
        <v>81.120321146296703</v>
      </c>
      <c r="K863" s="24">
        <v>84.407514681623269</v>
      </c>
      <c r="L863" s="24">
        <v>87.964435547629606</v>
      </c>
      <c r="M863" s="24">
        <v>91.817830891332434</v>
      </c>
      <c r="N863" s="24">
        <v>96.051275651381644</v>
      </c>
      <c r="O863" s="24">
        <v>100.70987119864041</v>
      </c>
      <c r="P863" s="24">
        <v>105.78165168947135</v>
      </c>
      <c r="Q863" s="21"/>
      <c r="R863" s="21"/>
      <c r="S863" s="12"/>
      <c r="T863" s="12"/>
      <c r="U863" s="12"/>
      <c r="V863" s="12"/>
      <c r="W863" s="12"/>
      <c r="X863" s="12"/>
      <c r="Y863" s="12"/>
      <c r="Z863" s="12"/>
      <c r="AA863" s="12"/>
      <c r="AB863" s="12"/>
      <c r="AC863" s="12"/>
      <c r="AD863" s="12"/>
    </row>
    <row r="864" spans="1:30" x14ac:dyDescent="0.35">
      <c r="A864" s="39" t="s">
        <v>93</v>
      </c>
      <c r="B864" s="35" t="s">
        <v>27</v>
      </c>
      <c r="C864" s="36" t="s">
        <v>28</v>
      </c>
      <c r="D864" s="24">
        <v>26.891442393833742</v>
      </c>
      <c r="E864" s="24">
        <v>27.284643898153725</v>
      </c>
      <c r="F864" s="24">
        <v>27.68661127565727</v>
      </c>
      <c r="G864" s="24">
        <v>28.200416454243168</v>
      </c>
      <c r="H864" s="24">
        <v>28.767360350991204</v>
      </c>
      <c r="I864" s="24">
        <v>29.498511223572571</v>
      </c>
      <c r="J864" s="24">
        <v>30.233823150013876</v>
      </c>
      <c r="K864" s="24">
        <v>31.092114923627754</v>
      </c>
      <c r="L864" s="24">
        <v>32.049023401125439</v>
      </c>
      <c r="M864" s="24">
        <v>33.109745686272547</v>
      </c>
      <c r="N864" s="24">
        <v>34.315062289517613</v>
      </c>
      <c r="O864" s="24">
        <v>35.690371150915979</v>
      </c>
      <c r="P864" s="24">
        <v>37.190959990490796</v>
      </c>
      <c r="Q864" s="21"/>
      <c r="R864" s="21"/>
      <c r="S864" s="12"/>
      <c r="T864" s="12"/>
      <c r="U864" s="12"/>
      <c r="V864" s="12"/>
      <c r="W864" s="12"/>
      <c r="X864" s="12"/>
      <c r="Y864" s="12"/>
      <c r="Z864" s="12"/>
      <c r="AA864" s="12"/>
      <c r="AB864" s="12"/>
      <c r="AC864" s="12"/>
      <c r="AD864" s="12"/>
    </row>
    <row r="865" spans="1:30" x14ac:dyDescent="0.35">
      <c r="A865" s="39" t="s">
        <v>93</v>
      </c>
      <c r="B865" s="35" t="s">
        <v>27</v>
      </c>
      <c r="C865" s="36" t="s">
        <v>29</v>
      </c>
      <c r="D865" s="24">
        <v>14.762727282810447</v>
      </c>
      <c r="E865" s="24">
        <v>15.367526397732572</v>
      </c>
      <c r="F865" s="24">
        <v>16.03637967502587</v>
      </c>
      <c r="G865" s="24">
        <v>16.739136865697791</v>
      </c>
      <c r="H865" s="24">
        <v>17.481830701521364</v>
      </c>
      <c r="I865" s="24">
        <v>18.275832018917111</v>
      </c>
      <c r="J865" s="24">
        <v>19.137413242771093</v>
      </c>
      <c r="K865" s="24">
        <v>20.082651040996062</v>
      </c>
      <c r="L865" s="24">
        <v>21.093280649152753</v>
      </c>
      <c r="M865" s="24">
        <v>22.174809340226581</v>
      </c>
      <c r="N865" s="24">
        <v>23.35520724683159</v>
      </c>
      <c r="O865" s="24">
        <v>24.646022550587453</v>
      </c>
      <c r="P865" s="24">
        <v>26.060431501842547</v>
      </c>
      <c r="Q865" s="21"/>
      <c r="R865" s="21"/>
      <c r="S865" s="12"/>
      <c r="T865" s="12"/>
      <c r="U865" s="12"/>
      <c r="V865" s="12"/>
      <c r="W865" s="12"/>
      <c r="X865" s="12"/>
      <c r="Y865" s="12"/>
      <c r="Z865" s="12"/>
      <c r="AA865" s="12"/>
      <c r="AB865" s="12"/>
      <c r="AC865" s="12"/>
      <c r="AD865" s="12"/>
    </row>
    <row r="866" spans="1:30" x14ac:dyDescent="0.35">
      <c r="A866" s="39" t="s">
        <v>93</v>
      </c>
      <c r="B866" s="35" t="s">
        <v>27</v>
      </c>
      <c r="C866" s="36" t="s">
        <v>30</v>
      </c>
      <c r="D866" s="24">
        <v>11.313920864344375</v>
      </c>
      <c r="E866" s="24">
        <v>11.849964804468057</v>
      </c>
      <c r="F866" s="24">
        <v>12.436372949372597</v>
      </c>
      <c r="G866" s="24">
        <v>13.052898836783344</v>
      </c>
      <c r="H866" s="24">
        <v>13.706217927137967</v>
      </c>
      <c r="I866" s="24">
        <v>14.404747807845624</v>
      </c>
      <c r="J866" s="24">
        <v>15.150174096000404</v>
      </c>
      <c r="K866" s="24">
        <v>15.976090262139261</v>
      </c>
      <c r="L866" s="24">
        <v>16.860235948462911</v>
      </c>
      <c r="M866" s="24">
        <v>17.814741618870585</v>
      </c>
      <c r="N866" s="24">
        <v>18.854546025101989</v>
      </c>
      <c r="O866" s="24">
        <v>19.98947091562972</v>
      </c>
      <c r="P866" s="24">
        <v>21.230695260811849</v>
      </c>
      <c r="Q866" s="21"/>
      <c r="R866" s="21"/>
      <c r="S866" s="12"/>
      <c r="T866" s="12"/>
      <c r="U866" s="12"/>
      <c r="V866" s="12"/>
      <c r="W866" s="12"/>
      <c r="X866" s="12"/>
      <c r="Y866" s="12"/>
      <c r="Z866" s="12"/>
      <c r="AA866" s="12"/>
      <c r="AB866" s="12"/>
      <c r="AC866" s="12"/>
      <c r="AD866" s="12"/>
    </row>
    <row r="867" spans="1:30" x14ac:dyDescent="0.35">
      <c r="A867" s="39" t="s">
        <v>93</v>
      </c>
      <c r="B867" s="35" t="s">
        <v>27</v>
      </c>
      <c r="C867" s="36" t="s">
        <v>31</v>
      </c>
      <c r="D867" s="24">
        <v>9.728325239005768</v>
      </c>
      <c r="E867" s="24">
        <v>10.107262327432034</v>
      </c>
      <c r="F867" s="24">
        <v>10.525297016552603</v>
      </c>
      <c r="G867" s="24">
        <v>10.966671268204173</v>
      </c>
      <c r="H867" s="24">
        <v>11.434240874719075</v>
      </c>
      <c r="I867" s="24">
        <v>11.927521988638686</v>
      </c>
      <c r="J867" s="24">
        <v>12.445887989730979</v>
      </c>
      <c r="K867" s="24">
        <v>12.99310732972461</v>
      </c>
      <c r="L867" s="24">
        <v>13.577994485313814</v>
      </c>
      <c r="M867" s="24">
        <v>14.207800511207441</v>
      </c>
      <c r="N867" s="24">
        <v>14.878964177054046</v>
      </c>
      <c r="O867" s="24">
        <v>15.59052519999142</v>
      </c>
      <c r="P867" s="24">
        <v>16.350121633782667</v>
      </c>
      <c r="Q867" s="21"/>
      <c r="R867" s="21"/>
      <c r="S867" s="12"/>
      <c r="T867" s="12"/>
      <c r="U867" s="12"/>
      <c r="V867" s="12"/>
      <c r="W867" s="12"/>
      <c r="X867" s="12"/>
      <c r="Y867" s="12"/>
      <c r="Z867" s="12"/>
      <c r="AA867" s="12"/>
      <c r="AB867" s="12"/>
      <c r="AC867" s="12"/>
      <c r="AD867" s="12"/>
    </row>
    <row r="868" spans="1:30" x14ac:dyDescent="0.35">
      <c r="A868" s="39" t="s">
        <v>93</v>
      </c>
      <c r="B868" s="35" t="s">
        <v>27</v>
      </c>
      <c r="C868" s="36" t="s">
        <v>32</v>
      </c>
      <c r="D868" s="24">
        <v>5.9304511455134836</v>
      </c>
      <c r="E868" s="24">
        <v>6.0660761215050165</v>
      </c>
      <c r="F868" s="24">
        <v>6.2064633467663075</v>
      </c>
      <c r="G868" s="24">
        <v>6.3537122158374348</v>
      </c>
      <c r="H868" s="24">
        <v>6.5102469720221334</v>
      </c>
      <c r="I868" s="24">
        <v>6.6752176081142283</v>
      </c>
      <c r="J868" s="24">
        <v>6.8462176621279376</v>
      </c>
      <c r="K868" s="24">
        <v>7.0277347690304675</v>
      </c>
      <c r="L868" s="24">
        <v>7.2249902366909504</v>
      </c>
      <c r="M868" s="24">
        <v>7.4324340742754256</v>
      </c>
      <c r="N868" s="24">
        <v>7.6556951998571421</v>
      </c>
      <c r="O868" s="24">
        <v>7.8935506015147734</v>
      </c>
      <c r="P868" s="24">
        <v>8.1471752394931425</v>
      </c>
      <c r="Q868" s="21"/>
      <c r="R868" s="21"/>
      <c r="S868" s="12"/>
      <c r="T868" s="12"/>
      <c r="U868" s="12"/>
      <c r="V868" s="12"/>
      <c r="W868" s="12"/>
      <c r="X868" s="12"/>
      <c r="Y868" s="12"/>
      <c r="Z868" s="12"/>
      <c r="AA868" s="12"/>
      <c r="AB868" s="12"/>
      <c r="AC868" s="12"/>
      <c r="AD868" s="12"/>
    </row>
    <row r="869" spans="1:30" x14ac:dyDescent="0.35">
      <c r="A869" s="39" t="s">
        <v>93</v>
      </c>
      <c r="B869" s="35" t="s">
        <v>27</v>
      </c>
      <c r="C869" s="36" t="s">
        <v>33</v>
      </c>
      <c r="D869" s="24">
        <v>4.1046858510333495</v>
      </c>
      <c r="E869" s="24">
        <v>4.2470069907707328</v>
      </c>
      <c r="F869" s="24">
        <v>4.3954254411285731</v>
      </c>
      <c r="G869" s="24">
        <v>4.5515891032631979</v>
      </c>
      <c r="H869" s="24">
        <v>4.7174505342952253</v>
      </c>
      <c r="I869" s="24">
        <v>4.8926743140098079</v>
      </c>
      <c r="J869" s="24">
        <v>5.0757618333291283</v>
      </c>
      <c r="K869" s="24">
        <v>5.2702502176333885</v>
      </c>
      <c r="L869" s="24">
        <v>5.4803842548843482</v>
      </c>
      <c r="M869" s="24">
        <v>5.702425220471417</v>
      </c>
      <c r="N869" s="24">
        <v>5.9410281368444666</v>
      </c>
      <c r="O869" s="24">
        <v>6.1957359003220285</v>
      </c>
      <c r="P869" s="24">
        <v>6.4679406633287346</v>
      </c>
      <c r="Q869" s="21"/>
      <c r="R869" s="21"/>
      <c r="S869" s="12"/>
      <c r="T869" s="12"/>
      <c r="U869" s="12"/>
      <c r="V869" s="12"/>
      <c r="W869" s="12"/>
      <c r="X869" s="12"/>
      <c r="Y869" s="12"/>
      <c r="Z869" s="12"/>
      <c r="AA869" s="12"/>
      <c r="AB869" s="12"/>
      <c r="AC869" s="12"/>
      <c r="AD869" s="12"/>
    </row>
    <row r="870" spans="1:30" x14ac:dyDescent="0.35">
      <c r="A870" s="39" t="s">
        <v>93</v>
      </c>
      <c r="B870" s="35" t="s">
        <v>34</v>
      </c>
      <c r="C870" s="36" t="s">
        <v>35</v>
      </c>
      <c r="D870" s="24">
        <v>24.31170532690318</v>
      </c>
      <c r="E870" s="24">
        <v>24.685920488809032</v>
      </c>
      <c r="F870" s="24">
        <v>25.007587767486257</v>
      </c>
      <c r="G870" s="24">
        <v>25.414165922871298</v>
      </c>
      <c r="H870" s="24">
        <v>25.850967989158953</v>
      </c>
      <c r="I870" s="24">
        <v>26.435851748896901</v>
      </c>
      <c r="J870" s="24">
        <v>27.026136571484145</v>
      </c>
      <c r="K870" s="24">
        <v>27.745034672562227</v>
      </c>
      <c r="L870" s="24">
        <v>28.56134382823717</v>
      </c>
      <c r="M870" s="24">
        <v>29.444990394137264</v>
      </c>
      <c r="N870" s="24">
        <v>30.499452064350976</v>
      </c>
      <c r="O870" s="24">
        <v>31.7395641725617</v>
      </c>
      <c r="P870" s="24">
        <v>33.093199426998211</v>
      </c>
      <c r="Q870" s="14"/>
      <c r="R870" s="14"/>
      <c r="S870" s="12"/>
      <c r="T870" s="12"/>
      <c r="U870" s="12"/>
      <c r="V870" s="12"/>
      <c r="W870" s="12"/>
      <c r="X870" s="12"/>
      <c r="Y870" s="12"/>
      <c r="Z870" s="12"/>
      <c r="AA870" s="12"/>
      <c r="AB870" s="12"/>
      <c r="AC870" s="12"/>
      <c r="AD870" s="12"/>
    </row>
    <row r="871" spans="1:30" x14ac:dyDescent="0.35">
      <c r="A871" s="39" t="s">
        <v>93</v>
      </c>
      <c r="B871" s="35" t="s">
        <v>34</v>
      </c>
      <c r="C871" s="36" t="s">
        <v>36</v>
      </c>
      <c r="D871" s="24">
        <v>25.023340625580879</v>
      </c>
      <c r="E871" s="24">
        <v>26.033184356335706</v>
      </c>
      <c r="F871" s="24">
        <v>27.188010530941856</v>
      </c>
      <c r="G871" s="24">
        <v>28.413547246903008</v>
      </c>
      <c r="H871" s="24">
        <v>29.725721580375168</v>
      </c>
      <c r="I871" s="24">
        <v>31.123213547957008</v>
      </c>
      <c r="J871" s="24">
        <v>32.618767491429928</v>
      </c>
      <c r="K871" s="24">
        <v>34.245096001344486</v>
      </c>
      <c r="L871" s="24">
        <v>35.978124129558438</v>
      </c>
      <c r="M871" s="24">
        <v>37.85430687626291</v>
      </c>
      <c r="N871" s="24">
        <v>39.858382838049657</v>
      </c>
      <c r="O871" s="24">
        <v>42.017222950412986</v>
      </c>
      <c r="P871" s="24">
        <v>44.381970248378835</v>
      </c>
      <c r="Q871" s="14"/>
      <c r="R871" s="14"/>
      <c r="S871" s="12"/>
      <c r="T871" s="12"/>
      <c r="U871" s="12"/>
      <c r="V871" s="12"/>
      <c r="W871" s="12"/>
      <c r="X871" s="12"/>
      <c r="Y871" s="12"/>
      <c r="Z871" s="12"/>
      <c r="AA871" s="12"/>
      <c r="AB871" s="12"/>
      <c r="AC871" s="12"/>
      <c r="AD871" s="12"/>
    </row>
    <row r="872" spans="1:30" x14ac:dyDescent="0.35">
      <c r="A872" s="39" t="s">
        <v>93</v>
      </c>
      <c r="B872" s="35" t="s">
        <v>34</v>
      </c>
      <c r="C872" s="36" t="s">
        <v>37</v>
      </c>
      <c r="D872" s="24">
        <v>16.24581566704267</v>
      </c>
      <c r="E872" s="24">
        <v>16.874575303754</v>
      </c>
      <c r="F872" s="24">
        <v>17.568302015748976</v>
      </c>
      <c r="G872" s="24">
        <v>18.300646251152418</v>
      </c>
      <c r="H872" s="24">
        <v>19.076345505582619</v>
      </c>
      <c r="I872" s="24">
        <v>19.89456102813547</v>
      </c>
      <c r="J872" s="24">
        <v>20.754216705994946</v>
      </c>
      <c r="K872" s="24">
        <v>21.661566455301156</v>
      </c>
      <c r="L872" s="24">
        <v>22.631270716318642</v>
      </c>
      <c r="M872" s="24">
        <v>23.675370068758362</v>
      </c>
      <c r="N872" s="24">
        <v>24.78787639410745</v>
      </c>
      <c r="O872" s="24">
        <v>25.967140335929873</v>
      </c>
      <c r="P872" s="24">
        <v>27.225835211314187</v>
      </c>
      <c r="Q872" s="14"/>
      <c r="R872" s="14"/>
      <c r="S872" s="12"/>
      <c r="T872" s="12"/>
      <c r="U872" s="12"/>
      <c r="V872" s="12"/>
      <c r="W872" s="12"/>
      <c r="X872" s="12"/>
      <c r="Y872" s="12"/>
      <c r="Z872" s="12"/>
      <c r="AA872" s="12"/>
      <c r="AB872" s="12"/>
      <c r="AC872" s="12"/>
      <c r="AD872" s="12"/>
    </row>
    <row r="873" spans="1:30" x14ac:dyDescent="0.35">
      <c r="A873" s="39" t="s">
        <v>93</v>
      </c>
      <c r="B873" s="35" t="s">
        <v>34</v>
      </c>
      <c r="C873" s="36" t="s">
        <v>38</v>
      </c>
      <c r="D873" s="24">
        <v>7.1506911570144345</v>
      </c>
      <c r="E873" s="24">
        <v>7.3288003911634005</v>
      </c>
      <c r="F873" s="24">
        <v>7.5226493903261229</v>
      </c>
      <c r="G873" s="24">
        <v>7.7360653231023848</v>
      </c>
      <c r="H873" s="24">
        <v>7.9643122855702222</v>
      </c>
      <c r="I873" s="24">
        <v>8.2208786361086599</v>
      </c>
      <c r="J873" s="24">
        <v>8.4901572050643956</v>
      </c>
      <c r="K873" s="24">
        <v>8.7902514139436718</v>
      </c>
      <c r="L873" s="24">
        <v>9.1151703015159669</v>
      </c>
      <c r="M873" s="24">
        <v>9.4672891121654743</v>
      </c>
      <c r="N873" s="24">
        <v>9.8547917786987593</v>
      </c>
      <c r="O873" s="24">
        <v>10.281748860056815</v>
      </c>
      <c r="P873" s="24">
        <v>10.7463194030585</v>
      </c>
      <c r="Q873" s="14"/>
      <c r="R873" s="14"/>
      <c r="S873" s="12"/>
      <c r="T873" s="12"/>
      <c r="U873" s="12"/>
      <c r="V873" s="12"/>
      <c r="W873" s="12"/>
      <c r="X873" s="12"/>
      <c r="Y873" s="12"/>
      <c r="Z873" s="12"/>
      <c r="AA873" s="12"/>
      <c r="AB873" s="12"/>
      <c r="AC873" s="12"/>
      <c r="AD873" s="12"/>
    </row>
    <row r="874" spans="1:30" x14ac:dyDescent="0.35">
      <c r="A874" s="39" t="s">
        <v>93</v>
      </c>
      <c r="B874" s="35" t="s">
        <v>22</v>
      </c>
      <c r="C874" s="36" t="s">
        <v>39</v>
      </c>
      <c r="D874" s="24">
        <v>18.982264003763461</v>
      </c>
      <c r="E874" s="24">
        <v>19.462362920831801</v>
      </c>
      <c r="F874" s="24">
        <v>19.950768107283324</v>
      </c>
      <c r="G874" s="24">
        <v>20.534479716738716</v>
      </c>
      <c r="H874" s="24">
        <v>21.174826128544069</v>
      </c>
      <c r="I874" s="24">
        <v>21.94811418665617</v>
      </c>
      <c r="J874" s="24">
        <v>22.754903025181363</v>
      </c>
      <c r="K874" s="24">
        <v>23.664472972778526</v>
      </c>
      <c r="L874" s="24">
        <v>24.673018515178882</v>
      </c>
      <c r="M874" s="24">
        <v>25.768058933314208</v>
      </c>
      <c r="N874" s="24">
        <v>26.998363855062109</v>
      </c>
      <c r="O874" s="24">
        <v>28.383574306412214</v>
      </c>
      <c r="P874" s="24">
        <v>29.896305627286935</v>
      </c>
      <c r="Q874" s="14"/>
      <c r="R874" s="14"/>
      <c r="S874" s="12"/>
      <c r="T874" s="12"/>
      <c r="U874" s="12"/>
      <c r="V874" s="12"/>
      <c r="W874" s="12"/>
      <c r="X874" s="12"/>
      <c r="Y874" s="12"/>
      <c r="Z874" s="12"/>
      <c r="AA874" s="12"/>
      <c r="AB874" s="12"/>
      <c r="AC874" s="12"/>
      <c r="AD874" s="12"/>
    </row>
    <row r="875" spans="1:30" x14ac:dyDescent="0.35">
      <c r="A875" s="39" t="s">
        <v>93</v>
      </c>
      <c r="B875" s="35" t="s">
        <v>22</v>
      </c>
      <c r="C875" s="36" t="s">
        <v>40</v>
      </c>
      <c r="D875" s="24">
        <v>18.824027303238644</v>
      </c>
      <c r="E875" s="24">
        <v>19.383423372687314</v>
      </c>
      <c r="F875" s="24">
        <v>20.000282363422617</v>
      </c>
      <c r="G875" s="24">
        <v>20.638539259232296</v>
      </c>
      <c r="H875" s="24">
        <v>21.307013884321169</v>
      </c>
      <c r="I875" s="24">
        <v>22.016589286594705</v>
      </c>
      <c r="J875" s="24">
        <v>22.767060703654437</v>
      </c>
      <c r="K875" s="24">
        <v>23.606101417511006</v>
      </c>
      <c r="L875" s="24">
        <v>24.495574296923252</v>
      </c>
      <c r="M875" s="24">
        <v>25.449696788883717</v>
      </c>
      <c r="N875" s="24">
        <v>26.485642482534288</v>
      </c>
      <c r="O875" s="24">
        <v>27.612121394037246</v>
      </c>
      <c r="P875" s="24">
        <v>28.838980085251595</v>
      </c>
      <c r="Q875" s="14"/>
      <c r="R875" s="14"/>
      <c r="S875" s="12"/>
      <c r="T875" s="12"/>
      <c r="U875" s="12"/>
      <c r="V875" s="12"/>
      <c r="W875" s="12"/>
      <c r="X875" s="12"/>
      <c r="Y875" s="12"/>
      <c r="Z875" s="12"/>
      <c r="AA875" s="12"/>
      <c r="AB875" s="12"/>
      <c r="AC875" s="12"/>
      <c r="AD875" s="12"/>
    </row>
    <row r="876" spans="1:30" x14ac:dyDescent="0.35">
      <c r="A876" s="39" t="s">
        <v>93</v>
      </c>
      <c r="B876" s="35" t="s">
        <v>22</v>
      </c>
      <c r="C876" s="36" t="s">
        <v>41</v>
      </c>
      <c r="D876" s="24">
        <v>13.936919846453254</v>
      </c>
      <c r="E876" s="24">
        <v>14.288045697721468</v>
      </c>
      <c r="F876" s="24">
        <v>14.682421963413507</v>
      </c>
      <c r="G876" s="24">
        <v>15.096122881809285</v>
      </c>
      <c r="H876" s="24">
        <v>15.532061303809149</v>
      </c>
      <c r="I876" s="24">
        <v>15.988435149950323</v>
      </c>
      <c r="J876" s="24">
        <v>16.463318153610011</v>
      </c>
      <c r="K876" s="24">
        <v>16.960673064568983</v>
      </c>
      <c r="L876" s="24">
        <v>17.490815998567268</v>
      </c>
      <c r="M876" s="24">
        <v>18.061476944001832</v>
      </c>
      <c r="N876" s="24">
        <v>18.666195010138075</v>
      </c>
      <c r="O876" s="24">
        <v>19.302064367253145</v>
      </c>
      <c r="P876" s="24">
        <v>19.976935394151756</v>
      </c>
      <c r="Q876" s="14"/>
      <c r="R876" s="14"/>
      <c r="S876" s="12"/>
      <c r="T876" s="12"/>
      <c r="U876" s="12"/>
      <c r="V876" s="12"/>
      <c r="W876" s="12"/>
      <c r="X876" s="12"/>
      <c r="Y876" s="12"/>
      <c r="Z876" s="12"/>
      <c r="AA876" s="12"/>
      <c r="AB876" s="12"/>
      <c r="AC876" s="12"/>
      <c r="AD876" s="12"/>
    </row>
    <row r="877" spans="1:30" x14ac:dyDescent="0.35">
      <c r="A877" s="39" t="s">
        <v>93</v>
      </c>
      <c r="B877" s="35" t="s">
        <v>22</v>
      </c>
      <c r="C877" s="36" t="s">
        <v>42</v>
      </c>
      <c r="D877" s="24">
        <v>20.988341623085802</v>
      </c>
      <c r="E877" s="24">
        <v>21.788648548821556</v>
      </c>
      <c r="F877" s="24">
        <v>22.653077270383772</v>
      </c>
      <c r="G877" s="24">
        <v>23.59528288624881</v>
      </c>
      <c r="H877" s="24">
        <v>24.603446044012578</v>
      </c>
      <c r="I877" s="24">
        <v>25.721366337896839</v>
      </c>
      <c r="J877" s="24">
        <v>26.903996091527596</v>
      </c>
      <c r="K877" s="24">
        <v>28.210701088293028</v>
      </c>
      <c r="L877" s="24">
        <v>29.62650016496081</v>
      </c>
      <c r="M877" s="24">
        <v>31.162723785124243</v>
      </c>
      <c r="N877" s="24">
        <v>32.850301727472363</v>
      </c>
      <c r="O877" s="24">
        <v>34.70791625125878</v>
      </c>
      <c r="P877" s="24">
        <v>36.735103183059444</v>
      </c>
      <c r="Q877" s="21"/>
      <c r="R877" s="21"/>
      <c r="S877" s="12"/>
      <c r="T877" s="12"/>
      <c r="U877" s="12"/>
      <c r="V877" s="12"/>
      <c r="W877" s="12"/>
      <c r="X877" s="12"/>
      <c r="Y877" s="12"/>
      <c r="Z877" s="12"/>
      <c r="AA877" s="12"/>
      <c r="AB877" s="12"/>
      <c r="AC877" s="12"/>
      <c r="AD877" s="12"/>
    </row>
    <row r="878" spans="1:30" x14ac:dyDescent="0.35">
      <c r="A878" s="39" t="s">
        <v>94</v>
      </c>
      <c r="B878" s="35" t="s">
        <v>24</v>
      </c>
      <c r="C878" s="36" t="s">
        <v>25</v>
      </c>
      <c r="D878" s="24">
        <v>19.467838047229471</v>
      </c>
      <c r="E878" s="24">
        <v>20.12519829405257</v>
      </c>
      <c r="F878" s="24">
        <v>20.835794964686801</v>
      </c>
      <c r="G878" s="24">
        <v>21.611475827425327</v>
      </c>
      <c r="H878" s="24">
        <v>22.440551895990257</v>
      </c>
      <c r="I878" s="24">
        <v>23.362252703656132</v>
      </c>
      <c r="J878" s="24">
        <v>24.334448274696282</v>
      </c>
      <c r="K878" s="24">
        <v>25.410143564916581</v>
      </c>
      <c r="L878" s="24">
        <v>26.574488387349369</v>
      </c>
      <c r="M878" s="24">
        <v>27.836470325121418</v>
      </c>
      <c r="N878" s="24">
        <v>29.222425588822446</v>
      </c>
      <c r="O878" s="24">
        <v>30.747348758702049</v>
      </c>
      <c r="P878" s="24">
        <v>32.409012340480011</v>
      </c>
      <c r="Q878" s="21"/>
      <c r="R878" s="21"/>
      <c r="S878" s="12"/>
      <c r="T878" s="12"/>
      <c r="U878" s="12"/>
      <c r="V878" s="12"/>
      <c r="W878" s="12"/>
      <c r="X878" s="12"/>
      <c r="Y878" s="12"/>
      <c r="Z878" s="12"/>
      <c r="AA878" s="12"/>
      <c r="AB878" s="12"/>
      <c r="AC878" s="12"/>
      <c r="AD878" s="12"/>
    </row>
    <row r="879" spans="1:30" x14ac:dyDescent="0.35">
      <c r="A879" s="39" t="s">
        <v>94</v>
      </c>
      <c r="B879" s="35" t="s">
        <v>24</v>
      </c>
      <c r="C879" s="36" t="s">
        <v>26</v>
      </c>
      <c r="D879" s="24">
        <v>187.11717296660771</v>
      </c>
      <c r="E879" s="24">
        <v>196.17168934869224</v>
      </c>
      <c r="F879" s="24">
        <v>206.13671136939379</v>
      </c>
      <c r="G879" s="24">
        <v>216.72641412629355</v>
      </c>
      <c r="H879" s="24">
        <v>228.012036228901</v>
      </c>
      <c r="I879" s="24">
        <v>240.0005248734856</v>
      </c>
      <c r="J879" s="24">
        <v>252.69589849589352</v>
      </c>
      <c r="K879" s="24">
        <v>266.19124954848036</v>
      </c>
      <c r="L879" s="24">
        <v>280.68610988263947</v>
      </c>
      <c r="M879" s="24">
        <v>296.35455233943458</v>
      </c>
      <c r="N879" s="24">
        <v>313.1509549850681</v>
      </c>
      <c r="O879" s="24">
        <v>331.08226326335409</v>
      </c>
      <c r="P879" s="24">
        <v>350.33777234973059</v>
      </c>
      <c r="Q879" s="21"/>
      <c r="R879" s="21"/>
      <c r="S879" s="12"/>
      <c r="T879" s="12"/>
      <c r="U879" s="12"/>
      <c r="V879" s="12"/>
      <c r="W879" s="12"/>
      <c r="X879" s="12"/>
      <c r="Y879" s="12"/>
      <c r="Z879" s="12"/>
      <c r="AA879" s="12"/>
      <c r="AB879" s="12"/>
      <c r="AC879" s="12"/>
      <c r="AD879" s="12"/>
    </row>
    <row r="880" spans="1:30" x14ac:dyDescent="0.35">
      <c r="A880" s="39" t="s">
        <v>94</v>
      </c>
      <c r="B880" s="35" t="s">
        <v>27</v>
      </c>
      <c r="C880" s="36" t="s">
        <v>28</v>
      </c>
      <c r="D880" s="24">
        <v>73.923901609121117</v>
      </c>
      <c r="E880" s="24">
        <v>76.833702017912174</v>
      </c>
      <c r="F880" s="24">
        <v>80.10076823218867</v>
      </c>
      <c r="G880" s="24">
        <v>83.562926174877106</v>
      </c>
      <c r="H880" s="24">
        <v>87.232636443899622</v>
      </c>
      <c r="I880" s="24">
        <v>91.10930679259161</v>
      </c>
      <c r="J880" s="24">
        <v>95.065517908142709</v>
      </c>
      <c r="K880" s="24">
        <v>99.175791200075537</v>
      </c>
      <c r="L880" s="24">
        <v>103.52998641068626</v>
      </c>
      <c r="M880" s="24">
        <v>108.25154005810123</v>
      </c>
      <c r="N880" s="24">
        <v>113.27200687463031</v>
      </c>
      <c r="O880" s="24">
        <v>118.48371262184818</v>
      </c>
      <c r="P880" s="24">
        <v>123.92068618113501</v>
      </c>
      <c r="Q880" s="21"/>
      <c r="R880" s="21"/>
      <c r="S880" s="12"/>
      <c r="T880" s="12"/>
      <c r="U880" s="12"/>
      <c r="V880" s="12"/>
      <c r="W880" s="12"/>
      <c r="X880" s="12"/>
      <c r="Y880" s="12"/>
      <c r="Z880" s="12"/>
      <c r="AA880" s="12"/>
      <c r="AB880" s="12"/>
      <c r="AC880" s="12"/>
      <c r="AD880" s="12"/>
    </row>
    <row r="881" spans="1:30" x14ac:dyDescent="0.35">
      <c r="A881" s="39" t="s">
        <v>94</v>
      </c>
      <c r="B881" s="35" t="s">
        <v>27</v>
      </c>
      <c r="C881" s="36" t="s">
        <v>29</v>
      </c>
      <c r="D881" s="24">
        <v>47.250316334938596</v>
      </c>
      <c r="E881" s="24">
        <v>49.884792998726461</v>
      </c>
      <c r="F881" s="24">
        <v>52.714629322152135</v>
      </c>
      <c r="G881" s="24">
        <v>55.738518293616998</v>
      </c>
      <c r="H881" s="24">
        <v>58.956539244599405</v>
      </c>
      <c r="I881" s="24">
        <v>62.401736087840419</v>
      </c>
      <c r="J881" s="24">
        <v>66.143978184319977</v>
      </c>
      <c r="K881" s="24">
        <v>70.173546341130219</v>
      </c>
      <c r="L881" s="24">
        <v>74.540737034237551</v>
      </c>
      <c r="M881" s="24">
        <v>79.255718235624059</v>
      </c>
      <c r="N881" s="24">
        <v>84.324168518577707</v>
      </c>
      <c r="O881" s="24">
        <v>89.83783772807304</v>
      </c>
      <c r="P881" s="24">
        <v>95.846271172214742</v>
      </c>
      <c r="Q881" s="21"/>
      <c r="R881" s="21"/>
      <c r="S881" s="12"/>
      <c r="T881" s="12"/>
      <c r="U881" s="12"/>
      <c r="V881" s="12"/>
      <c r="W881" s="12"/>
      <c r="X881" s="12"/>
      <c r="Y881" s="12"/>
      <c r="Z881" s="12"/>
      <c r="AA881" s="12"/>
      <c r="AB881" s="12"/>
      <c r="AC881" s="12"/>
      <c r="AD881" s="12"/>
    </row>
    <row r="882" spans="1:30" x14ac:dyDescent="0.35">
      <c r="A882" s="39" t="s">
        <v>94</v>
      </c>
      <c r="B882" s="35" t="s">
        <v>27</v>
      </c>
      <c r="C882" s="36" t="s">
        <v>30</v>
      </c>
      <c r="D882" s="24">
        <v>32.617716853357869</v>
      </c>
      <c r="E882" s="24">
        <v>34.609710034321743</v>
      </c>
      <c r="F882" s="24">
        <v>36.806692713046736</v>
      </c>
      <c r="G882" s="24">
        <v>39.164292909920867</v>
      </c>
      <c r="H882" s="24">
        <v>41.700355922794394</v>
      </c>
      <c r="I882" s="24">
        <v>44.42170686357251</v>
      </c>
      <c r="J882" s="24">
        <v>47.334820959648127</v>
      </c>
      <c r="K882" s="24">
        <v>50.463029862354439</v>
      </c>
      <c r="L882" s="24">
        <v>53.850822376182641</v>
      </c>
      <c r="M882" s="24">
        <v>57.539780333713566</v>
      </c>
      <c r="N882" s="24">
        <v>61.530627753572439</v>
      </c>
      <c r="O882" s="24">
        <v>65.834218382355473</v>
      </c>
      <c r="P882" s="24">
        <v>70.497955996588871</v>
      </c>
      <c r="Q882" s="21"/>
      <c r="R882" s="21"/>
      <c r="S882" s="12"/>
      <c r="T882" s="12"/>
      <c r="U882" s="12"/>
      <c r="V882" s="12"/>
      <c r="W882" s="12"/>
      <c r="X882" s="12"/>
      <c r="Y882" s="12"/>
      <c r="Z882" s="12"/>
      <c r="AA882" s="12"/>
      <c r="AB882" s="12"/>
      <c r="AC882" s="12"/>
      <c r="AD882" s="12"/>
    </row>
    <row r="883" spans="1:30" x14ac:dyDescent="0.35">
      <c r="A883" s="39" t="s">
        <v>94</v>
      </c>
      <c r="B883" s="35" t="s">
        <v>27</v>
      </c>
      <c r="C883" s="36" t="s">
        <v>31</v>
      </c>
      <c r="D883" s="24">
        <v>23.819797199746567</v>
      </c>
      <c r="E883" s="24">
        <v>25.041907359904002</v>
      </c>
      <c r="F883" s="24">
        <v>26.333575003255181</v>
      </c>
      <c r="G883" s="24">
        <v>27.707195438413549</v>
      </c>
      <c r="H883" s="24">
        <v>29.177726516549832</v>
      </c>
      <c r="I883" s="24">
        <v>30.746828437655832</v>
      </c>
      <c r="J883" s="24">
        <v>32.40882944210032</v>
      </c>
      <c r="K883" s="24">
        <v>34.189718129910766</v>
      </c>
      <c r="L883" s="24">
        <v>36.121621189420729</v>
      </c>
      <c r="M883" s="24">
        <v>38.18594389974669</v>
      </c>
      <c r="N883" s="24">
        <v>40.418905187086771</v>
      </c>
      <c r="O883" s="24">
        <v>42.824085379946467</v>
      </c>
      <c r="P883" s="24">
        <v>45.417848295716439</v>
      </c>
      <c r="Q883" s="21"/>
      <c r="R883" s="21"/>
      <c r="S883" s="12"/>
      <c r="T883" s="12"/>
      <c r="U883" s="12"/>
      <c r="V883" s="12"/>
      <c r="W883" s="12"/>
      <c r="X883" s="12"/>
      <c r="Y883" s="12"/>
      <c r="Z883" s="12"/>
      <c r="AA883" s="12"/>
      <c r="AB883" s="12"/>
      <c r="AC883" s="12"/>
      <c r="AD883" s="12"/>
    </row>
    <row r="884" spans="1:30" x14ac:dyDescent="0.35">
      <c r="A884" s="39" t="s">
        <v>94</v>
      </c>
      <c r="B884" s="35" t="s">
        <v>27</v>
      </c>
      <c r="C884" s="36" t="s">
        <v>32</v>
      </c>
      <c r="D884" s="24">
        <v>18.585146538679794</v>
      </c>
      <c r="E884" s="24">
        <v>19.114002459879206</v>
      </c>
      <c r="F884" s="24">
        <v>19.734434193457709</v>
      </c>
      <c r="G884" s="24">
        <v>20.389146395316015</v>
      </c>
      <c r="H884" s="24">
        <v>21.088107920115842</v>
      </c>
      <c r="I884" s="24">
        <v>21.82856732704639</v>
      </c>
      <c r="J884" s="24">
        <v>22.617723521357178</v>
      </c>
      <c r="K884" s="24">
        <v>23.476257040424862</v>
      </c>
      <c r="L884" s="24">
        <v>24.384937818649746</v>
      </c>
      <c r="M884" s="24">
        <v>25.366374067807129</v>
      </c>
      <c r="N884" s="24">
        <v>26.407450339574869</v>
      </c>
      <c r="O884" s="24">
        <v>27.523495963390733</v>
      </c>
      <c r="P884" s="24">
        <v>28.744994067178958</v>
      </c>
      <c r="Q884" s="21"/>
      <c r="R884" s="21"/>
      <c r="S884" s="12"/>
      <c r="T884" s="12"/>
      <c r="U884" s="12"/>
      <c r="V884" s="12"/>
      <c r="W884" s="12"/>
      <c r="X884" s="12"/>
      <c r="Y884" s="12"/>
      <c r="Z884" s="12"/>
      <c r="AA884" s="12"/>
      <c r="AB884" s="12"/>
      <c r="AC884" s="12"/>
      <c r="AD884" s="12"/>
    </row>
    <row r="885" spans="1:30" x14ac:dyDescent="0.35">
      <c r="A885" s="39" t="s">
        <v>94</v>
      </c>
      <c r="B885" s="35" t="s">
        <v>27</v>
      </c>
      <c r="C885" s="36" t="s">
        <v>33</v>
      </c>
      <c r="D885" s="24">
        <v>10.388132477993219</v>
      </c>
      <c r="E885" s="24">
        <v>10.812772772001226</v>
      </c>
      <c r="F885" s="24">
        <v>11.282406869980191</v>
      </c>
      <c r="G885" s="24">
        <v>11.775810741574336</v>
      </c>
      <c r="H885" s="24">
        <v>12.297222076932158</v>
      </c>
      <c r="I885" s="24">
        <v>12.854632068434981</v>
      </c>
      <c r="J885" s="24">
        <v>13.459476755021489</v>
      </c>
      <c r="K885" s="24">
        <v>14.123050539501143</v>
      </c>
      <c r="L885" s="24">
        <v>14.832493440811927</v>
      </c>
      <c r="M885" s="24">
        <v>15.591666069563331</v>
      </c>
      <c r="N885" s="24">
        <v>16.420221900448443</v>
      </c>
      <c r="O885" s="24">
        <v>17.326261946442251</v>
      </c>
      <c r="P885" s="24">
        <v>18.319028977376508</v>
      </c>
      <c r="Q885" s="21"/>
      <c r="R885" s="21"/>
      <c r="S885" s="12"/>
      <c r="T885" s="12"/>
      <c r="U885" s="12"/>
      <c r="V885" s="12"/>
      <c r="W885" s="12"/>
      <c r="X885" s="12"/>
      <c r="Y885" s="12"/>
      <c r="Z885" s="12"/>
      <c r="AA885" s="12"/>
      <c r="AB885" s="12"/>
      <c r="AC885" s="12"/>
      <c r="AD885" s="12"/>
    </row>
    <row r="886" spans="1:30" x14ac:dyDescent="0.35">
      <c r="A886" s="39" t="s">
        <v>94</v>
      </c>
      <c r="B886" s="35" t="s">
        <v>34</v>
      </c>
      <c r="C886" s="36" t="s">
        <v>35</v>
      </c>
      <c r="D886" s="24">
        <v>69.568846242114688</v>
      </c>
      <c r="E886" s="24">
        <v>72.234724908114202</v>
      </c>
      <c r="F886" s="24">
        <v>75.367956344669921</v>
      </c>
      <c r="G886" s="24">
        <v>78.704140270378133</v>
      </c>
      <c r="H886" s="24">
        <v>82.198539422589334</v>
      </c>
      <c r="I886" s="24">
        <v>85.849064050590158</v>
      </c>
      <c r="J886" s="24">
        <v>89.621605465781101</v>
      </c>
      <c r="K886" s="24">
        <v>93.45823399634827</v>
      </c>
      <c r="L886" s="24">
        <v>97.485892401002985</v>
      </c>
      <c r="M886" s="24">
        <v>101.93399130421133</v>
      </c>
      <c r="N886" s="24">
        <v>106.5301947137464</v>
      </c>
      <c r="O886" s="24">
        <v>111.29712593549351</v>
      </c>
      <c r="P886" s="24">
        <v>116.26918127437926</v>
      </c>
      <c r="Q886" s="14"/>
      <c r="R886" s="14"/>
      <c r="S886" s="12"/>
      <c r="T886" s="12"/>
      <c r="U886" s="12"/>
      <c r="V886" s="12"/>
      <c r="W886" s="12"/>
      <c r="X886" s="12"/>
      <c r="Y886" s="12"/>
      <c r="Z886" s="12"/>
      <c r="AA886" s="12"/>
      <c r="AB886" s="12"/>
      <c r="AC886" s="12"/>
      <c r="AD886" s="12"/>
    </row>
    <row r="887" spans="1:30" x14ac:dyDescent="0.35">
      <c r="A887" s="39" t="s">
        <v>94</v>
      </c>
      <c r="B887" s="35" t="s">
        <v>34</v>
      </c>
      <c r="C887" s="36" t="s">
        <v>36</v>
      </c>
      <c r="D887" s="24">
        <v>69.715577370955742</v>
      </c>
      <c r="E887" s="24">
        <v>73.725710766754034</v>
      </c>
      <c r="F887" s="24">
        <v>77.986695055133566</v>
      </c>
      <c r="G887" s="24">
        <v>82.539337864636138</v>
      </c>
      <c r="H887" s="24">
        <v>87.432998514399529</v>
      </c>
      <c r="I887" s="24">
        <v>92.678299830080505</v>
      </c>
      <c r="J887" s="24">
        <v>98.26395043034951</v>
      </c>
      <c r="K887" s="24">
        <v>104.27432156420895</v>
      </c>
      <c r="L887" s="24">
        <v>110.81443119821886</v>
      </c>
      <c r="M887" s="24">
        <v>117.83608536311745</v>
      </c>
      <c r="N887" s="24">
        <v>125.45900205965017</v>
      </c>
      <c r="O887" s="24">
        <v>133.7043141907977</v>
      </c>
      <c r="P887" s="24">
        <v>142.63344980456938</v>
      </c>
      <c r="Q887" s="14"/>
      <c r="R887" s="14"/>
      <c r="S887" s="12"/>
      <c r="T887" s="12"/>
      <c r="U887" s="12"/>
      <c r="V887" s="12"/>
      <c r="W887" s="12"/>
      <c r="X887" s="12"/>
      <c r="Y887" s="12"/>
      <c r="Z887" s="12"/>
      <c r="AA887" s="12"/>
      <c r="AB887" s="12"/>
      <c r="AC887" s="12"/>
      <c r="AD887" s="12"/>
    </row>
    <row r="888" spans="1:30" x14ac:dyDescent="0.35">
      <c r="A888" s="39" t="s">
        <v>94</v>
      </c>
      <c r="B888" s="35" t="s">
        <v>34</v>
      </c>
      <c r="C888" s="36" t="s">
        <v>37</v>
      </c>
      <c r="D888" s="24">
        <v>48.541525522476682</v>
      </c>
      <c r="E888" s="24">
        <v>50.836305767683939</v>
      </c>
      <c r="F888" s="24">
        <v>53.297508544000536</v>
      </c>
      <c r="G888" s="24">
        <v>55.91329336566703</v>
      </c>
      <c r="H888" s="24">
        <v>58.731131915287008</v>
      </c>
      <c r="I888" s="24">
        <v>61.774509123962197</v>
      </c>
      <c r="J888" s="24">
        <v>65.030449759677808</v>
      </c>
      <c r="K888" s="24">
        <v>68.5987065704347</v>
      </c>
      <c r="L888" s="24">
        <v>72.455421331197542</v>
      </c>
      <c r="M888" s="24">
        <v>76.595858442346227</v>
      </c>
      <c r="N888" s="24">
        <v>81.118621968166806</v>
      </c>
      <c r="O888" s="24">
        <v>85.987939394914662</v>
      </c>
      <c r="P888" s="24">
        <v>91.279139231067134</v>
      </c>
      <c r="Q888" s="14"/>
      <c r="R888" s="14"/>
      <c r="S888" s="12"/>
      <c r="T888" s="12"/>
      <c r="U888" s="12"/>
      <c r="V888" s="12"/>
      <c r="W888" s="12"/>
      <c r="X888" s="12"/>
      <c r="Y888" s="12"/>
      <c r="Z888" s="12"/>
      <c r="AA888" s="12"/>
      <c r="AB888" s="12"/>
      <c r="AC888" s="12"/>
      <c r="AD888" s="12"/>
    </row>
    <row r="889" spans="1:30" x14ac:dyDescent="0.35">
      <c r="A889" s="39" t="s">
        <v>94</v>
      </c>
      <c r="B889" s="35" t="s">
        <v>34</v>
      </c>
      <c r="C889" s="36" t="s">
        <v>38</v>
      </c>
      <c r="D889" s="24">
        <v>18.759061878290058</v>
      </c>
      <c r="E889" s="24">
        <v>19.500146200192638</v>
      </c>
      <c r="F889" s="24">
        <v>20.32034639027658</v>
      </c>
      <c r="G889" s="24">
        <v>21.181118453037595</v>
      </c>
      <c r="H889" s="24">
        <v>22.089918272615407</v>
      </c>
      <c r="I889" s="24">
        <v>23.060904572508893</v>
      </c>
      <c r="J889" s="24">
        <v>24.114341114781368</v>
      </c>
      <c r="K889" s="24">
        <v>25.270130982405064</v>
      </c>
      <c r="L889" s="24">
        <v>26.504853339569475</v>
      </c>
      <c r="M889" s="24">
        <v>27.825087554880987</v>
      </c>
      <c r="N889" s="24">
        <v>29.265561832327162</v>
      </c>
      <c r="O889" s="24">
        <v>30.840232500850263</v>
      </c>
      <c r="P889" s="24">
        <v>32.565014380194803</v>
      </c>
      <c r="Q889" s="14"/>
      <c r="R889" s="14"/>
      <c r="S889" s="12"/>
      <c r="T889" s="12"/>
      <c r="U889" s="12"/>
      <c r="V889" s="12"/>
      <c r="W889" s="12"/>
      <c r="X889" s="12"/>
      <c r="Y889" s="12"/>
      <c r="Z889" s="12"/>
      <c r="AA889" s="12"/>
      <c r="AB889" s="12"/>
      <c r="AC889" s="12"/>
      <c r="AD889" s="12"/>
    </row>
    <row r="890" spans="1:30" x14ac:dyDescent="0.35">
      <c r="A890" s="39" t="s">
        <v>94</v>
      </c>
      <c r="B890" s="35" t="s">
        <v>22</v>
      </c>
      <c r="C890" s="36" t="s">
        <v>39</v>
      </c>
      <c r="D890" s="24">
        <v>53.446667016709682</v>
      </c>
      <c r="E890" s="24">
        <v>56.522629284336176</v>
      </c>
      <c r="F890" s="24">
        <v>59.918232839463371</v>
      </c>
      <c r="G890" s="24">
        <v>63.50832193925757</v>
      </c>
      <c r="H890" s="24">
        <v>67.321655687970775</v>
      </c>
      <c r="I890" s="24">
        <v>71.295795266302093</v>
      </c>
      <c r="J890" s="24">
        <v>75.395660905560817</v>
      </c>
      <c r="K890" s="24">
        <v>79.588269159429444</v>
      </c>
      <c r="L890" s="24">
        <v>84.064344442940609</v>
      </c>
      <c r="M890" s="24">
        <v>88.854064625040053</v>
      </c>
      <c r="N890" s="24">
        <v>93.910482217781066</v>
      </c>
      <c r="O890" s="24">
        <v>99.168968264322132</v>
      </c>
      <c r="P890" s="24">
        <v>104.55363003360634</v>
      </c>
      <c r="Q890" s="14"/>
      <c r="R890" s="14"/>
      <c r="S890" s="12"/>
      <c r="T890" s="12"/>
      <c r="U890" s="12"/>
      <c r="V890" s="12"/>
      <c r="W890" s="12"/>
      <c r="X890" s="12"/>
      <c r="Y890" s="12"/>
      <c r="Z890" s="12"/>
      <c r="AA890" s="12"/>
      <c r="AB890" s="12"/>
      <c r="AC890" s="12"/>
      <c r="AD890" s="12"/>
    </row>
    <row r="891" spans="1:30" x14ac:dyDescent="0.35">
      <c r="A891" s="39" t="s">
        <v>94</v>
      </c>
      <c r="B891" s="35" t="s">
        <v>22</v>
      </c>
      <c r="C891" s="36" t="s">
        <v>40</v>
      </c>
      <c r="D891" s="24">
        <v>51.841176612358964</v>
      </c>
      <c r="E891" s="24">
        <v>54.127068912918467</v>
      </c>
      <c r="F891" s="24">
        <v>56.535205268866555</v>
      </c>
      <c r="G891" s="24">
        <v>59.068989565892558</v>
      </c>
      <c r="H891" s="24">
        <v>61.736562972785698</v>
      </c>
      <c r="I891" s="24">
        <v>64.564626164360774</v>
      </c>
      <c r="J891" s="24">
        <v>67.594245317602727</v>
      </c>
      <c r="K891" s="24">
        <v>70.804995009701884</v>
      </c>
      <c r="L891" s="24">
        <v>74.273932891631731</v>
      </c>
      <c r="M891" s="24">
        <v>78.029332434717162</v>
      </c>
      <c r="N891" s="24">
        <v>82.077010352705202</v>
      </c>
      <c r="O891" s="24">
        <v>86.390141694599379</v>
      </c>
      <c r="P891" s="24">
        <v>91.081116422855942</v>
      </c>
      <c r="Q891" s="14"/>
      <c r="R891" s="14"/>
      <c r="S891" s="12"/>
      <c r="T891" s="12"/>
      <c r="U891" s="12"/>
      <c r="V891" s="12"/>
      <c r="W891" s="12"/>
      <c r="X891" s="12"/>
      <c r="Y891" s="12"/>
      <c r="Z891" s="12"/>
      <c r="AA891" s="12"/>
      <c r="AB891" s="12"/>
      <c r="AC891" s="12"/>
      <c r="AD891" s="12"/>
    </row>
    <row r="892" spans="1:30" x14ac:dyDescent="0.35">
      <c r="A892" s="39" t="s">
        <v>94</v>
      </c>
      <c r="B892" s="35" t="s">
        <v>22</v>
      </c>
      <c r="C892" s="36" t="s">
        <v>41</v>
      </c>
      <c r="D892" s="24">
        <v>39.460738731329641</v>
      </c>
      <c r="E892" s="24">
        <v>40.61663765341325</v>
      </c>
      <c r="F892" s="24">
        <v>41.86903984169804</v>
      </c>
      <c r="G892" s="24">
        <v>43.240426235437418</v>
      </c>
      <c r="H892" s="24">
        <v>44.705786980293091</v>
      </c>
      <c r="I892" s="24">
        <v>46.341969879612478</v>
      </c>
      <c r="J892" s="24">
        <v>48.063103842272369</v>
      </c>
      <c r="K892" s="24">
        <v>49.972676697718185</v>
      </c>
      <c r="L892" s="24">
        <v>52.038944604256194</v>
      </c>
      <c r="M892" s="24">
        <v>54.277367573646615</v>
      </c>
      <c r="N892" s="24">
        <v>56.736951563014415</v>
      </c>
      <c r="O892" s="24">
        <v>59.4438275323919</v>
      </c>
      <c r="P892" s="24">
        <v>62.390363236835178</v>
      </c>
      <c r="Q892" s="14"/>
      <c r="R892" s="14"/>
      <c r="S892" s="12"/>
      <c r="T892" s="12"/>
      <c r="U892" s="12"/>
      <c r="V892" s="12"/>
      <c r="W892" s="12"/>
      <c r="X892" s="12"/>
      <c r="Y892" s="12"/>
      <c r="Z892" s="12"/>
      <c r="AA892" s="12"/>
      <c r="AB892" s="12"/>
      <c r="AC892" s="12"/>
      <c r="AD892" s="12"/>
    </row>
    <row r="893" spans="1:30" x14ac:dyDescent="0.35">
      <c r="A893" s="39" t="s">
        <v>94</v>
      </c>
      <c r="B893" s="35" t="s">
        <v>22</v>
      </c>
      <c r="C893" s="36" t="s">
        <v>42</v>
      </c>
      <c r="D893" s="24">
        <v>61.83642865343888</v>
      </c>
      <c r="E893" s="24">
        <v>65.030551792076935</v>
      </c>
      <c r="F893" s="24">
        <v>68.650028384052618</v>
      </c>
      <c r="G893" s="24">
        <v>72.52015221313134</v>
      </c>
      <c r="H893" s="24">
        <v>76.688582483841699</v>
      </c>
      <c r="I893" s="24">
        <v>81.160386266866396</v>
      </c>
      <c r="J893" s="24">
        <v>85.977336705153903</v>
      </c>
      <c r="K893" s="24">
        <v>91.235452246547453</v>
      </c>
      <c r="L893" s="24">
        <v>96.883376331160321</v>
      </c>
      <c r="M893" s="24">
        <v>103.03025803115216</v>
      </c>
      <c r="N893" s="24">
        <v>109.64893644038985</v>
      </c>
      <c r="O893" s="24">
        <v>116.82667453074274</v>
      </c>
      <c r="P893" s="24">
        <v>124.72167499691314</v>
      </c>
      <c r="Q893" s="14"/>
      <c r="R893" s="14"/>
      <c r="S893" s="12"/>
      <c r="T893" s="12"/>
      <c r="U893" s="12"/>
      <c r="V893" s="12"/>
      <c r="W893" s="12"/>
      <c r="X893" s="12"/>
      <c r="Y893" s="12"/>
      <c r="Z893" s="12"/>
      <c r="AA893" s="12"/>
      <c r="AB893" s="12"/>
      <c r="AC893" s="12"/>
      <c r="AD893" s="12"/>
    </row>
    <row r="894" spans="1:30" x14ac:dyDescent="0.35">
      <c r="A894" s="39" t="s">
        <v>95</v>
      </c>
      <c r="B894" s="35" t="s">
        <v>24</v>
      </c>
      <c r="C894" s="36" t="s">
        <v>25</v>
      </c>
      <c r="D894" s="24">
        <v>22.791664651813562</v>
      </c>
      <c r="E894" s="24">
        <v>23.852330901270538</v>
      </c>
      <c r="F894" s="24">
        <v>25.012612762341941</v>
      </c>
      <c r="G894" s="24">
        <v>26.231545592787583</v>
      </c>
      <c r="H894" s="24">
        <v>27.522398943487001</v>
      </c>
      <c r="I894" s="24">
        <v>28.901897699929645</v>
      </c>
      <c r="J894" s="24">
        <v>30.373205641496945</v>
      </c>
      <c r="K894" s="24">
        <v>32.0034451217658</v>
      </c>
      <c r="L894" s="24">
        <v>33.747636723178502</v>
      </c>
      <c r="M894" s="24">
        <v>35.62978103366865</v>
      </c>
      <c r="N894" s="24">
        <v>37.679418145544787</v>
      </c>
      <c r="O894" s="24">
        <v>39.915767511710797</v>
      </c>
      <c r="P894" s="24">
        <v>42.360696925393881</v>
      </c>
      <c r="Q894" s="14"/>
      <c r="R894" s="14"/>
      <c r="S894" s="12"/>
      <c r="T894" s="12"/>
      <c r="U894" s="12"/>
      <c r="V894" s="12"/>
      <c r="W894" s="12"/>
      <c r="X894" s="12"/>
      <c r="Y894" s="12"/>
      <c r="Z894" s="12"/>
      <c r="AA894" s="12"/>
      <c r="AB894" s="12"/>
      <c r="AC894" s="12"/>
      <c r="AD894" s="12"/>
    </row>
    <row r="895" spans="1:30" x14ac:dyDescent="0.35">
      <c r="A895" s="39" t="s">
        <v>95</v>
      </c>
      <c r="B895" s="35" t="s">
        <v>24</v>
      </c>
      <c r="C895" s="36" t="s">
        <v>26</v>
      </c>
      <c r="D895" s="24">
        <v>254.83574098386646</v>
      </c>
      <c r="E895" s="24">
        <v>268.28052063858701</v>
      </c>
      <c r="F895" s="24">
        <v>283.12030723235591</v>
      </c>
      <c r="G895" s="24">
        <v>298.86556585543775</v>
      </c>
      <c r="H895" s="24">
        <v>315.64965770847061</v>
      </c>
      <c r="I895" s="24">
        <v>333.70775063088399</v>
      </c>
      <c r="J895" s="24">
        <v>353.37442710248951</v>
      </c>
      <c r="K895" s="24">
        <v>374.99485375541502</v>
      </c>
      <c r="L895" s="24">
        <v>398.28733909508315</v>
      </c>
      <c r="M895" s="24">
        <v>423.40502861040585</v>
      </c>
      <c r="N895" s="24">
        <v>450.93571703684341</v>
      </c>
      <c r="O895" s="24">
        <v>481.17522934470571</v>
      </c>
      <c r="P895" s="24">
        <v>514.46272209916003</v>
      </c>
      <c r="Q895" s="14"/>
      <c r="R895" s="14"/>
      <c r="S895" s="12"/>
      <c r="T895" s="12"/>
      <c r="U895" s="12"/>
      <c r="V895" s="12"/>
      <c r="W895" s="12"/>
      <c r="X895" s="12"/>
      <c r="Y895" s="12"/>
      <c r="Z895" s="12"/>
      <c r="AA895" s="12"/>
      <c r="AB895" s="12"/>
      <c r="AC895" s="12"/>
      <c r="AD895" s="12"/>
    </row>
    <row r="896" spans="1:30" x14ac:dyDescent="0.35">
      <c r="A896" s="39" t="s">
        <v>95</v>
      </c>
      <c r="B896" s="35" t="s">
        <v>27</v>
      </c>
      <c r="C896" s="36" t="s">
        <v>28</v>
      </c>
      <c r="D896" s="24">
        <v>99.061989925249293</v>
      </c>
      <c r="E896" s="24">
        <v>103.27140851359005</v>
      </c>
      <c r="F896" s="24">
        <v>107.88649917278372</v>
      </c>
      <c r="G896" s="24">
        <v>112.66329515245218</v>
      </c>
      <c r="H896" s="24">
        <v>117.60506381462588</v>
      </c>
      <c r="I896" s="24">
        <v>122.88078079255183</v>
      </c>
      <c r="J896" s="24">
        <v>128.76569052228584</v>
      </c>
      <c r="K896" s="24">
        <v>135.30750826273828</v>
      </c>
      <c r="L896" s="24">
        <v>142.26018448135238</v>
      </c>
      <c r="M896" s="24">
        <v>149.57327453576357</v>
      </c>
      <c r="N896" s="24">
        <v>157.70914204094686</v>
      </c>
      <c r="O896" s="24">
        <v>166.83389900167811</v>
      </c>
      <c r="P896" s="24">
        <v>176.9434372065308</v>
      </c>
      <c r="Q896" s="14"/>
      <c r="R896" s="14"/>
      <c r="S896" s="12"/>
      <c r="T896" s="12"/>
      <c r="U896" s="12"/>
      <c r="V896" s="12"/>
      <c r="W896" s="12"/>
      <c r="X896" s="12"/>
      <c r="Y896" s="12"/>
      <c r="Z896" s="12"/>
      <c r="AA896" s="12"/>
      <c r="AB896" s="12"/>
      <c r="AC896" s="12"/>
      <c r="AD896" s="12"/>
    </row>
    <row r="897" spans="1:30" x14ac:dyDescent="0.35">
      <c r="A897" s="39" t="s">
        <v>95</v>
      </c>
      <c r="B897" s="35" t="s">
        <v>27</v>
      </c>
      <c r="C897" s="36" t="s">
        <v>29</v>
      </c>
      <c r="D897" s="24">
        <v>55.170588317981135</v>
      </c>
      <c r="E897" s="24">
        <v>58.490624577014053</v>
      </c>
      <c r="F897" s="24">
        <v>62.244631853224028</v>
      </c>
      <c r="G897" s="24">
        <v>66.284180396873595</v>
      </c>
      <c r="H897" s="24">
        <v>70.659126464638078</v>
      </c>
      <c r="I897" s="24">
        <v>75.381591219777164</v>
      </c>
      <c r="J897" s="24">
        <v>80.498060972663694</v>
      </c>
      <c r="K897" s="24">
        <v>86.107186062517698</v>
      </c>
      <c r="L897" s="24">
        <v>92.171558795108567</v>
      </c>
      <c r="M897" s="24">
        <v>98.805095392948687</v>
      </c>
      <c r="N897" s="24">
        <v>105.99448988279467</v>
      </c>
      <c r="O897" s="24">
        <v>113.8364221237903</v>
      </c>
      <c r="P897" s="24">
        <v>122.49960204965512</v>
      </c>
      <c r="Q897" s="14"/>
      <c r="R897" s="14"/>
      <c r="S897" s="12"/>
      <c r="T897" s="12"/>
      <c r="U897" s="12"/>
      <c r="V897" s="12"/>
      <c r="W897" s="12"/>
      <c r="X897" s="12"/>
      <c r="Y897" s="12"/>
      <c r="Z897" s="12"/>
      <c r="AA897" s="12"/>
      <c r="AB897" s="12"/>
      <c r="AC897" s="12"/>
      <c r="AD897" s="12"/>
    </row>
    <row r="898" spans="1:30" x14ac:dyDescent="0.35">
      <c r="A898" s="39" t="s">
        <v>95</v>
      </c>
      <c r="B898" s="35" t="s">
        <v>27</v>
      </c>
      <c r="C898" s="36" t="s">
        <v>30</v>
      </c>
      <c r="D898" s="24">
        <v>43.656808249188508</v>
      </c>
      <c r="E898" s="24">
        <v>46.590843821972634</v>
      </c>
      <c r="F898" s="24">
        <v>49.82022968476636</v>
      </c>
      <c r="G898" s="24">
        <v>53.277857818718829</v>
      </c>
      <c r="H898" s="24">
        <v>57.000878609890165</v>
      </c>
      <c r="I898" s="24">
        <v>61.036092227010926</v>
      </c>
      <c r="J898" s="24">
        <v>65.404831765605365</v>
      </c>
      <c r="K898" s="24">
        <v>70.267221250929325</v>
      </c>
      <c r="L898" s="24">
        <v>75.549172043185322</v>
      </c>
      <c r="M898" s="24">
        <v>81.324189166649703</v>
      </c>
      <c r="N898" s="24">
        <v>87.683359953035165</v>
      </c>
      <c r="O898" s="24">
        <v>94.699903304840745</v>
      </c>
      <c r="P898" s="24">
        <v>102.457869517692</v>
      </c>
      <c r="Q898" s="14"/>
      <c r="R898" s="14"/>
      <c r="S898" s="12"/>
      <c r="T898" s="12"/>
      <c r="U898" s="12"/>
      <c r="V898" s="12"/>
      <c r="W898" s="12"/>
      <c r="X898" s="12"/>
      <c r="Y898" s="12"/>
      <c r="Z898" s="12"/>
      <c r="AA898" s="12"/>
      <c r="AB898" s="12"/>
      <c r="AC898" s="12"/>
      <c r="AD898" s="12"/>
    </row>
    <row r="899" spans="1:30" x14ac:dyDescent="0.35">
      <c r="A899" s="39" t="s">
        <v>95</v>
      </c>
      <c r="B899" s="35" t="s">
        <v>27</v>
      </c>
      <c r="C899" s="36" t="s">
        <v>31</v>
      </c>
      <c r="D899" s="24">
        <v>37.533292901227959</v>
      </c>
      <c r="E899" s="24">
        <v>39.628671790351447</v>
      </c>
      <c r="F899" s="24">
        <v>41.886194330579642</v>
      </c>
      <c r="G899" s="24">
        <v>44.300160991889392</v>
      </c>
      <c r="H899" s="24">
        <v>46.911620144322612</v>
      </c>
      <c r="I899" s="24">
        <v>49.743741896981867</v>
      </c>
      <c r="J899" s="24">
        <v>52.791018149189952</v>
      </c>
      <c r="K899" s="24">
        <v>56.139192405763097</v>
      </c>
      <c r="L899" s="24">
        <v>59.775553461260472</v>
      </c>
      <c r="M899" s="24">
        <v>63.702642371716095</v>
      </c>
      <c r="N899" s="24">
        <v>68.008923725235107</v>
      </c>
      <c r="O899" s="24">
        <v>72.672958591137572</v>
      </c>
      <c r="P899" s="24">
        <v>77.766376258215047</v>
      </c>
      <c r="Q899" s="14"/>
      <c r="R899" s="14"/>
      <c r="S899" s="12"/>
      <c r="T899" s="12"/>
      <c r="U899" s="12"/>
      <c r="V899" s="12"/>
      <c r="W899" s="12"/>
      <c r="X899" s="12"/>
      <c r="Y899" s="12"/>
      <c r="Z899" s="12"/>
      <c r="AA899" s="12"/>
      <c r="AB899" s="12"/>
      <c r="AC899" s="12"/>
      <c r="AD899" s="12"/>
    </row>
    <row r="900" spans="1:30" x14ac:dyDescent="0.35">
      <c r="A900" s="39" t="s">
        <v>95</v>
      </c>
      <c r="B900" s="35" t="s">
        <v>27</v>
      </c>
      <c r="C900" s="36" t="s">
        <v>32</v>
      </c>
      <c r="D900" s="24">
        <v>25.928202068672043</v>
      </c>
      <c r="E900" s="24">
        <v>27.006040272346922</v>
      </c>
      <c r="F900" s="24">
        <v>28.19371214882435</v>
      </c>
      <c r="G900" s="24">
        <v>29.449820616799027</v>
      </c>
      <c r="H900" s="24">
        <v>30.782533481680602</v>
      </c>
      <c r="I900" s="24">
        <v>32.191107474515348</v>
      </c>
      <c r="J900" s="24">
        <v>33.67440388306018</v>
      </c>
      <c r="K900" s="24">
        <v>35.243161599321631</v>
      </c>
      <c r="L900" s="24">
        <v>36.921911875096434</v>
      </c>
      <c r="M900" s="24">
        <v>38.731177638588917</v>
      </c>
      <c r="N900" s="24">
        <v>40.662208498314826</v>
      </c>
      <c r="O900" s="24">
        <v>42.713269879849385</v>
      </c>
      <c r="P900" s="24">
        <v>44.906162565401488</v>
      </c>
      <c r="Q900" s="14"/>
      <c r="R900" s="14"/>
      <c r="S900" s="12"/>
      <c r="T900" s="12"/>
      <c r="U900" s="12"/>
      <c r="V900" s="12"/>
      <c r="W900" s="12"/>
      <c r="X900" s="12"/>
      <c r="Y900" s="12"/>
      <c r="Z900" s="12"/>
      <c r="AA900" s="12"/>
      <c r="AB900" s="12"/>
      <c r="AC900" s="12"/>
      <c r="AD900" s="12"/>
    </row>
    <row r="901" spans="1:30" x14ac:dyDescent="0.35">
      <c r="A901" s="39" t="s">
        <v>95</v>
      </c>
      <c r="B901" s="35" t="s">
        <v>27</v>
      </c>
      <c r="C901" s="36" t="s">
        <v>33</v>
      </c>
      <c r="D901" s="24">
        <v>16.276524173361086</v>
      </c>
      <c r="E901" s="24">
        <v>17.145262564582453</v>
      </c>
      <c r="F901" s="24">
        <v>18.101652804519723</v>
      </c>
      <c r="G901" s="24">
        <v>19.121796471492321</v>
      </c>
      <c r="H901" s="24">
        <v>20.212834136800303</v>
      </c>
      <c r="I901" s="24">
        <v>21.376334719976498</v>
      </c>
      <c r="J901" s="24">
        <v>22.613627451181433</v>
      </c>
      <c r="K901" s="24">
        <v>23.93402929591084</v>
      </c>
      <c r="L901" s="24">
        <v>25.356595162258479</v>
      </c>
      <c r="M901" s="24">
        <v>26.898430538407524</v>
      </c>
      <c r="N901" s="24">
        <v>28.55701108206161</v>
      </c>
      <c r="O901" s="24">
        <v>30.334543955120328</v>
      </c>
      <c r="P901" s="24">
        <v>32.249971427059421</v>
      </c>
      <c r="Q901" s="21"/>
      <c r="R901" s="21"/>
      <c r="S901" s="12"/>
      <c r="T901" s="12"/>
      <c r="U901" s="12"/>
      <c r="V901" s="12"/>
      <c r="W901" s="12"/>
      <c r="X901" s="12"/>
      <c r="Y901" s="12"/>
      <c r="Z901" s="12"/>
      <c r="AA901" s="12"/>
      <c r="AB901" s="12"/>
      <c r="AC901" s="12"/>
      <c r="AD901" s="12"/>
    </row>
    <row r="902" spans="1:30" x14ac:dyDescent="0.35">
      <c r="A902" s="39" t="s">
        <v>95</v>
      </c>
      <c r="B902" s="35" t="s">
        <v>34</v>
      </c>
      <c r="C902" s="36" t="s">
        <v>35</v>
      </c>
      <c r="D902" s="24">
        <v>95.515232429359259</v>
      </c>
      <c r="E902" s="24">
        <v>99.161441062390679</v>
      </c>
      <c r="F902" s="24">
        <v>103.45216380953059</v>
      </c>
      <c r="G902" s="24">
        <v>107.85926761044789</v>
      </c>
      <c r="H902" s="24">
        <v>112.45748296484652</v>
      </c>
      <c r="I902" s="24">
        <v>117.36405405661364</v>
      </c>
      <c r="J902" s="24">
        <v>122.72255919886868</v>
      </c>
      <c r="K902" s="24">
        <v>128.82785228390259</v>
      </c>
      <c r="L902" s="24">
        <v>135.21868173227557</v>
      </c>
      <c r="M902" s="24">
        <v>142.02266164771845</v>
      </c>
      <c r="N902" s="24">
        <v>149.68993045171698</v>
      </c>
      <c r="O902" s="24">
        <v>158.29139629292354</v>
      </c>
      <c r="P902" s="24">
        <v>167.91698778794245</v>
      </c>
      <c r="Q902" s="21"/>
      <c r="R902" s="21"/>
      <c r="S902" s="12"/>
      <c r="T902" s="12"/>
      <c r="U902" s="12"/>
      <c r="V902" s="12"/>
      <c r="W902" s="12"/>
      <c r="X902" s="12"/>
      <c r="Y902" s="12"/>
      <c r="Z902" s="12"/>
      <c r="AA902" s="12"/>
      <c r="AB902" s="12"/>
      <c r="AC902" s="12"/>
      <c r="AD902" s="12"/>
    </row>
    <row r="903" spans="1:30" x14ac:dyDescent="0.35">
      <c r="A903" s="39" t="s">
        <v>95</v>
      </c>
      <c r="B903" s="35" t="s">
        <v>34</v>
      </c>
      <c r="C903" s="36" t="s">
        <v>36</v>
      </c>
      <c r="D903" s="24">
        <v>97.175398072256499</v>
      </c>
      <c r="E903" s="24">
        <v>103.43175010911051</v>
      </c>
      <c r="F903" s="24">
        <v>110.1914023337127</v>
      </c>
      <c r="G903" s="24">
        <v>117.46289816679273</v>
      </c>
      <c r="H903" s="24">
        <v>125.25780067796454</v>
      </c>
      <c r="I903" s="24">
        <v>133.65790480433046</v>
      </c>
      <c r="J903" s="24">
        <v>142.82636534078321</v>
      </c>
      <c r="K903" s="24">
        <v>152.75957838853961</v>
      </c>
      <c r="L903" s="24">
        <v>163.58419178786363</v>
      </c>
      <c r="M903" s="24">
        <v>175.34263353159199</v>
      </c>
      <c r="N903" s="24">
        <v>188.06845917214807</v>
      </c>
      <c r="O903" s="24">
        <v>201.98794995566698</v>
      </c>
      <c r="P903" s="24">
        <v>217.23949214308954</v>
      </c>
      <c r="Q903" s="21"/>
      <c r="R903" s="21"/>
      <c r="S903" s="12"/>
      <c r="T903" s="12"/>
      <c r="U903" s="12"/>
      <c r="V903" s="12"/>
      <c r="W903" s="12"/>
      <c r="X903" s="12"/>
      <c r="Y903" s="12"/>
      <c r="Z903" s="12"/>
      <c r="AA903" s="12"/>
      <c r="AB903" s="12"/>
      <c r="AC903" s="12"/>
      <c r="AD903" s="12"/>
    </row>
    <row r="904" spans="1:30" x14ac:dyDescent="0.35">
      <c r="A904" s="39" t="s">
        <v>95</v>
      </c>
      <c r="B904" s="35" t="s">
        <v>34</v>
      </c>
      <c r="C904" s="36" t="s">
        <v>37</v>
      </c>
      <c r="D904" s="24">
        <v>56.554801301506984</v>
      </c>
      <c r="E904" s="24">
        <v>59.699157929839949</v>
      </c>
      <c r="F904" s="24">
        <v>63.086374449466362</v>
      </c>
      <c r="G904" s="24">
        <v>66.707706149966072</v>
      </c>
      <c r="H904" s="24">
        <v>70.624809258972888</v>
      </c>
      <c r="I904" s="24">
        <v>74.872371026725403</v>
      </c>
      <c r="J904" s="24">
        <v>79.44188322030729</v>
      </c>
      <c r="K904" s="24">
        <v>84.462163514271211</v>
      </c>
      <c r="L904" s="24">
        <v>89.913791970260164</v>
      </c>
      <c r="M904" s="24">
        <v>95.800307394063637</v>
      </c>
      <c r="N904" s="24">
        <v>102.25446275605348</v>
      </c>
      <c r="O904" s="24">
        <v>109.24365188827335</v>
      </c>
      <c r="P904" s="24">
        <v>116.8751983779928</v>
      </c>
      <c r="Q904" s="21"/>
      <c r="R904" s="21"/>
      <c r="S904" s="12"/>
      <c r="T904" s="12"/>
      <c r="U904" s="12"/>
      <c r="V904" s="12"/>
      <c r="W904" s="12"/>
      <c r="X904" s="12"/>
      <c r="Y904" s="12"/>
      <c r="Z904" s="12"/>
      <c r="AA904" s="12"/>
      <c r="AB904" s="12"/>
      <c r="AC904" s="12"/>
      <c r="AD904" s="12"/>
    </row>
    <row r="905" spans="1:30" x14ac:dyDescent="0.35">
      <c r="A905" s="39" t="s">
        <v>95</v>
      </c>
      <c r="B905" s="35" t="s">
        <v>34</v>
      </c>
      <c r="C905" s="36" t="s">
        <v>38</v>
      </c>
      <c r="D905" s="24">
        <v>28.381973832557286</v>
      </c>
      <c r="E905" s="24">
        <v>29.84050243851642</v>
      </c>
      <c r="F905" s="24">
        <v>31.402979401988187</v>
      </c>
      <c r="G905" s="24">
        <v>33.067239521018685</v>
      </c>
      <c r="H905" s="24">
        <v>34.831963750173699</v>
      </c>
      <c r="I905" s="24">
        <v>36.71531844314412</v>
      </c>
      <c r="J905" s="24">
        <v>38.756824984027261</v>
      </c>
      <c r="K905" s="24">
        <v>40.948704690467423</v>
      </c>
      <c r="L905" s="24">
        <v>43.318310327862314</v>
      </c>
      <c r="M905" s="24">
        <v>45.869207070700362</v>
      </c>
      <c r="N905" s="24">
        <v>48.602282802469709</v>
      </c>
      <c r="O905" s="24">
        <v>51.567998719552627</v>
      </c>
      <c r="P905" s="24">
        <v>54.79174071552908</v>
      </c>
      <c r="Q905" s="21"/>
      <c r="R905" s="21"/>
      <c r="S905" s="12"/>
      <c r="T905" s="12"/>
      <c r="U905" s="12"/>
      <c r="V905" s="12"/>
      <c r="W905" s="12"/>
      <c r="X905" s="12"/>
      <c r="Y905" s="12"/>
      <c r="Z905" s="12"/>
      <c r="AA905" s="12"/>
      <c r="AB905" s="12"/>
      <c r="AC905" s="12"/>
      <c r="AD905" s="12"/>
    </row>
    <row r="906" spans="1:30" x14ac:dyDescent="0.35">
      <c r="A906" s="39" t="s">
        <v>95</v>
      </c>
      <c r="B906" s="35" t="s">
        <v>22</v>
      </c>
      <c r="C906" s="36" t="s">
        <v>39</v>
      </c>
      <c r="D906" s="24">
        <v>71.265130987618136</v>
      </c>
      <c r="E906" s="24">
        <v>74.857254892342496</v>
      </c>
      <c r="F906" s="24">
        <v>79.008408503421549</v>
      </c>
      <c r="G906" s="24">
        <v>83.303520203136202</v>
      </c>
      <c r="H906" s="24">
        <v>87.783412091570767</v>
      </c>
      <c r="I906" s="24">
        <v>92.548094878943061</v>
      </c>
      <c r="J906" s="24">
        <v>97.880686694920257</v>
      </c>
      <c r="K906" s="24">
        <v>103.97273628361432</v>
      </c>
      <c r="L906" s="24">
        <v>110.36980741024109</v>
      </c>
      <c r="M906" s="24">
        <v>117.2739340680979</v>
      </c>
      <c r="N906" s="24">
        <v>125.02896054272929</v>
      </c>
      <c r="O906" s="24">
        <v>133.82070606588672</v>
      </c>
      <c r="P906" s="24">
        <v>143.67837227478401</v>
      </c>
      <c r="Q906" s="21"/>
      <c r="R906" s="21"/>
      <c r="S906" s="12"/>
      <c r="T906" s="12"/>
      <c r="U906" s="12"/>
      <c r="V906" s="12"/>
      <c r="W906" s="12"/>
      <c r="X906" s="12"/>
      <c r="Y906" s="12"/>
      <c r="Z906" s="12"/>
      <c r="AA906" s="12"/>
      <c r="AB906" s="12"/>
      <c r="AC906" s="12"/>
      <c r="AD906" s="12"/>
    </row>
    <row r="907" spans="1:30" x14ac:dyDescent="0.35">
      <c r="A907" s="39" t="s">
        <v>95</v>
      </c>
      <c r="B907" s="35" t="s">
        <v>22</v>
      </c>
      <c r="C907" s="36" t="s">
        <v>40</v>
      </c>
      <c r="D907" s="24">
        <v>71.551024343535744</v>
      </c>
      <c r="E907" s="24">
        <v>75.054784874637363</v>
      </c>
      <c r="F907" s="24">
        <v>78.815659376470151</v>
      </c>
      <c r="G907" s="24">
        <v>82.817370835644397</v>
      </c>
      <c r="H907" s="24">
        <v>87.131385183932053</v>
      </c>
      <c r="I907" s="24">
        <v>91.794040502971058</v>
      </c>
      <c r="J907" s="24">
        <v>96.787726436083773</v>
      </c>
      <c r="K907" s="24">
        <v>102.26249245526044</v>
      </c>
      <c r="L907" s="24">
        <v>108.18507685379181</v>
      </c>
      <c r="M907" s="24">
        <v>114.55054965020078</v>
      </c>
      <c r="N907" s="24">
        <v>121.50848989024341</v>
      </c>
      <c r="O907" s="24">
        <v>129.0081445851749</v>
      </c>
      <c r="P907" s="24">
        <v>137.16511375478163</v>
      </c>
      <c r="Q907" s="21"/>
      <c r="R907" s="21"/>
      <c r="S907" s="12"/>
      <c r="T907" s="12"/>
      <c r="U907" s="12"/>
      <c r="V907" s="12"/>
      <c r="W907" s="12"/>
      <c r="X907" s="12"/>
      <c r="Y907" s="12"/>
      <c r="Z907" s="12"/>
      <c r="AA907" s="12"/>
      <c r="AB907" s="12"/>
      <c r="AC907" s="12"/>
      <c r="AD907" s="12"/>
    </row>
    <row r="908" spans="1:30" x14ac:dyDescent="0.35">
      <c r="A908" s="39" t="s">
        <v>95</v>
      </c>
      <c r="B908" s="35" t="s">
        <v>22</v>
      </c>
      <c r="C908" s="36" t="s">
        <v>41</v>
      </c>
      <c r="D908" s="24">
        <v>55.871240177345172</v>
      </c>
      <c r="E908" s="24">
        <v>58.362964090660768</v>
      </c>
      <c r="F908" s="24">
        <v>61.022523523321382</v>
      </c>
      <c r="G908" s="24">
        <v>63.842083826522</v>
      </c>
      <c r="H908" s="24">
        <v>66.815599430136146</v>
      </c>
      <c r="I908" s="24">
        <v>69.974512557970485</v>
      </c>
      <c r="J908" s="24">
        <v>73.39011026947837</v>
      </c>
      <c r="K908" s="24">
        <v>77.042224529939261</v>
      </c>
      <c r="L908" s="24">
        <v>80.977234060777462</v>
      </c>
      <c r="M908" s="24">
        <v>85.19579299635221</v>
      </c>
      <c r="N908" s="24">
        <v>89.693488499275404</v>
      </c>
      <c r="O908" s="24">
        <v>94.557427211993826</v>
      </c>
      <c r="P908" s="24">
        <v>99.826426481486223</v>
      </c>
      <c r="Q908" s="21"/>
      <c r="R908" s="21"/>
      <c r="S908" s="12"/>
      <c r="T908" s="12"/>
      <c r="U908" s="12"/>
      <c r="V908" s="12"/>
      <c r="W908" s="12"/>
      <c r="X908" s="12"/>
      <c r="Y908" s="12"/>
      <c r="Z908" s="12"/>
      <c r="AA908" s="12"/>
      <c r="AB908" s="12"/>
      <c r="AC908" s="12"/>
      <c r="AD908" s="12"/>
    </row>
    <row r="909" spans="1:30" x14ac:dyDescent="0.35">
      <c r="A909" s="39" t="s">
        <v>95</v>
      </c>
      <c r="B909" s="35" t="s">
        <v>22</v>
      </c>
      <c r="C909" s="36" t="s">
        <v>42</v>
      </c>
      <c r="D909" s="24">
        <v>78.940010127180983</v>
      </c>
      <c r="E909" s="24">
        <v>83.857847682216899</v>
      </c>
      <c r="F909" s="24">
        <v>89.286328591484732</v>
      </c>
      <c r="G909" s="24">
        <v>95.134136582922736</v>
      </c>
      <c r="H909" s="24">
        <v>101.44165994631867</v>
      </c>
      <c r="I909" s="24">
        <v>108.29300039092902</v>
      </c>
      <c r="J909" s="24">
        <v>115.68910934350406</v>
      </c>
      <c r="K909" s="24">
        <v>123.72084560836683</v>
      </c>
      <c r="L909" s="24">
        <v>132.5028574934513</v>
      </c>
      <c r="M909" s="24">
        <v>142.01453292942361</v>
      </c>
      <c r="N909" s="24">
        <v>152.38419625014009</v>
      </c>
      <c r="O909" s="24">
        <v>163.70471899336107</v>
      </c>
      <c r="P909" s="24">
        <v>176.15350651350209</v>
      </c>
      <c r="Q909" s="21"/>
      <c r="R909" s="21"/>
      <c r="S909" s="12"/>
      <c r="T909" s="12"/>
      <c r="U909" s="12"/>
      <c r="V909" s="12"/>
      <c r="W909" s="12"/>
      <c r="X909" s="12"/>
      <c r="Y909" s="12"/>
      <c r="Z909" s="12"/>
      <c r="AA909" s="12"/>
      <c r="AB909" s="12"/>
      <c r="AC909" s="12"/>
      <c r="AD909" s="12"/>
    </row>
    <row r="910" spans="1:30" x14ac:dyDescent="0.35">
      <c r="A910" s="39" t="s">
        <v>96</v>
      </c>
      <c r="B910" s="35" t="s">
        <v>24</v>
      </c>
      <c r="C910" s="36" t="s">
        <v>25</v>
      </c>
      <c r="D910" s="24">
        <v>17.235342582813182</v>
      </c>
      <c r="E910" s="24">
        <v>18.020654773667651</v>
      </c>
      <c r="F910" s="24">
        <v>18.848890240504144</v>
      </c>
      <c r="G910" s="24">
        <v>19.721362587229716</v>
      </c>
      <c r="H910" s="24">
        <v>20.640974034351657</v>
      </c>
      <c r="I910" s="24">
        <v>21.616847888641573</v>
      </c>
      <c r="J910" s="24">
        <v>22.662968016168993</v>
      </c>
      <c r="K910" s="24">
        <v>23.772779393168864</v>
      </c>
      <c r="L910" s="24">
        <v>24.972419402279364</v>
      </c>
      <c r="M910" s="24">
        <v>26.271769114435045</v>
      </c>
      <c r="N910" s="24">
        <v>27.67320289659266</v>
      </c>
      <c r="O910" s="24">
        <v>29.168101763905742</v>
      </c>
      <c r="P910" s="24">
        <v>30.794801000174676</v>
      </c>
      <c r="Q910" s="21"/>
      <c r="R910" s="21"/>
      <c r="S910" s="12"/>
      <c r="T910" s="12"/>
      <c r="U910" s="12"/>
      <c r="V910" s="12"/>
      <c r="W910" s="12"/>
      <c r="X910" s="12"/>
      <c r="Y910" s="12"/>
      <c r="Z910" s="12"/>
      <c r="AA910" s="12"/>
      <c r="AB910" s="12"/>
      <c r="AC910" s="12"/>
      <c r="AD910" s="12"/>
    </row>
    <row r="911" spans="1:30" x14ac:dyDescent="0.35">
      <c r="A911" s="39" t="s">
        <v>96</v>
      </c>
      <c r="B911" s="35" t="s">
        <v>24</v>
      </c>
      <c r="C911" s="36" t="s">
        <v>26</v>
      </c>
      <c r="D911" s="24">
        <v>189.50282032948385</v>
      </c>
      <c r="E911" s="24">
        <v>198.94581912918736</v>
      </c>
      <c r="F911" s="24">
        <v>209.34397960082947</v>
      </c>
      <c r="G911" s="24">
        <v>220.44485651231167</v>
      </c>
      <c r="H911" s="24">
        <v>232.3121391317226</v>
      </c>
      <c r="I911" s="24">
        <v>245.10595950465196</v>
      </c>
      <c r="J911" s="24">
        <v>258.79002259988039</v>
      </c>
      <c r="K911" s="24">
        <v>273.52996282474953</v>
      </c>
      <c r="L911" s="24">
        <v>289.53541719764513</v>
      </c>
      <c r="M911" s="24">
        <v>306.70968896793153</v>
      </c>
      <c r="N911" s="24">
        <v>325.28105143660895</v>
      </c>
      <c r="O911" s="24">
        <v>345.39035543530326</v>
      </c>
      <c r="P911" s="24">
        <v>367.34893725176966</v>
      </c>
      <c r="Q911" s="21"/>
      <c r="R911" s="21"/>
      <c r="S911" s="12"/>
      <c r="T911" s="12"/>
      <c r="U911" s="12"/>
      <c r="V911" s="12"/>
      <c r="W911" s="12"/>
      <c r="X911" s="12"/>
      <c r="Y911" s="12"/>
      <c r="Z911" s="12"/>
      <c r="AA911" s="12"/>
      <c r="AB911" s="12"/>
      <c r="AC911" s="12"/>
      <c r="AD911" s="12"/>
    </row>
    <row r="912" spans="1:30" x14ac:dyDescent="0.35">
      <c r="A912" s="39" t="s">
        <v>96</v>
      </c>
      <c r="B912" s="35" t="s">
        <v>27</v>
      </c>
      <c r="C912" s="36" t="s">
        <v>28</v>
      </c>
      <c r="D912" s="24">
        <v>69.532942697325126</v>
      </c>
      <c r="E912" s="24">
        <v>72.493573957604326</v>
      </c>
      <c r="F912" s="24">
        <v>75.747626150007278</v>
      </c>
      <c r="G912" s="24">
        <v>79.20449535411106</v>
      </c>
      <c r="H912" s="24">
        <v>82.842144561889342</v>
      </c>
      <c r="I912" s="24">
        <v>86.732519894025074</v>
      </c>
      <c r="J912" s="24">
        <v>90.797756264648029</v>
      </c>
      <c r="K912" s="24">
        <v>95.002861220359762</v>
      </c>
      <c r="L912" s="24">
        <v>99.585802928551885</v>
      </c>
      <c r="M912" s="24">
        <v>104.42705652966177</v>
      </c>
      <c r="N912" s="24">
        <v>109.54181733661619</v>
      </c>
      <c r="O912" s="24">
        <v>114.97606546097489</v>
      </c>
      <c r="P912" s="24">
        <v>120.84024045999075</v>
      </c>
      <c r="Q912" s="21"/>
      <c r="R912" s="21"/>
      <c r="S912" s="12"/>
      <c r="T912" s="12"/>
      <c r="U912" s="12"/>
      <c r="V912" s="12"/>
      <c r="W912" s="12"/>
      <c r="X912" s="12"/>
      <c r="Y912" s="12"/>
      <c r="Z912" s="12"/>
      <c r="AA912" s="12"/>
      <c r="AB912" s="12"/>
      <c r="AC912" s="12"/>
      <c r="AD912" s="12"/>
    </row>
    <row r="913" spans="1:30" x14ac:dyDescent="0.35">
      <c r="A913" s="39" t="s">
        <v>96</v>
      </c>
      <c r="B913" s="35" t="s">
        <v>27</v>
      </c>
      <c r="C913" s="36" t="s">
        <v>29</v>
      </c>
      <c r="D913" s="24">
        <v>41.802976717897941</v>
      </c>
      <c r="E913" s="24">
        <v>44.176642836356514</v>
      </c>
      <c r="F913" s="24">
        <v>46.735438793525866</v>
      </c>
      <c r="G913" s="24">
        <v>49.473508284336809</v>
      </c>
      <c r="H913" s="24">
        <v>52.437180359327201</v>
      </c>
      <c r="I913" s="24">
        <v>55.652966697389999</v>
      </c>
      <c r="J913" s="24">
        <v>59.115388783684907</v>
      </c>
      <c r="K913" s="24">
        <v>62.921131160867226</v>
      </c>
      <c r="L913" s="24">
        <v>67.056876624046851</v>
      </c>
      <c r="M913" s="24">
        <v>71.526369081168966</v>
      </c>
      <c r="N913" s="24">
        <v>76.429841404938884</v>
      </c>
      <c r="O913" s="24">
        <v>81.744372768700927</v>
      </c>
      <c r="P913" s="24">
        <v>87.551644716882194</v>
      </c>
      <c r="Q913" s="21"/>
      <c r="R913" s="21"/>
      <c r="S913" s="12"/>
      <c r="T913" s="12"/>
      <c r="U913" s="12"/>
      <c r="V913" s="12"/>
      <c r="W913" s="12"/>
      <c r="X913" s="12"/>
      <c r="Y913" s="12"/>
      <c r="Z913" s="12"/>
      <c r="AA913" s="12"/>
      <c r="AB913" s="12"/>
      <c r="AC913" s="12"/>
      <c r="AD913" s="12"/>
    </row>
    <row r="914" spans="1:30" x14ac:dyDescent="0.35">
      <c r="A914" s="39" t="s">
        <v>96</v>
      </c>
      <c r="B914" s="35" t="s">
        <v>27</v>
      </c>
      <c r="C914" s="36" t="s">
        <v>30</v>
      </c>
      <c r="D914" s="24">
        <v>36.689443620166763</v>
      </c>
      <c r="E914" s="24">
        <v>38.970474094705111</v>
      </c>
      <c r="F914" s="24">
        <v>41.488247630102471</v>
      </c>
      <c r="G914" s="24">
        <v>44.200246637931158</v>
      </c>
      <c r="H914" s="24">
        <v>47.125164982839635</v>
      </c>
      <c r="I914" s="24">
        <v>50.301994775346799</v>
      </c>
      <c r="J914" s="24">
        <v>53.731086214962914</v>
      </c>
      <c r="K914" s="24">
        <v>57.454546137209185</v>
      </c>
      <c r="L914" s="24">
        <v>61.525508787865036</v>
      </c>
      <c r="M914" s="24">
        <v>65.934277111677076</v>
      </c>
      <c r="N914" s="24">
        <v>70.740306437218052</v>
      </c>
      <c r="O914" s="24">
        <v>75.986565691607908</v>
      </c>
      <c r="P914" s="24">
        <v>81.755241167612496</v>
      </c>
      <c r="Q914" s="21"/>
      <c r="R914" s="21"/>
      <c r="S914" s="12"/>
      <c r="T914" s="12"/>
      <c r="U914" s="12"/>
      <c r="V914" s="12"/>
      <c r="W914" s="12"/>
      <c r="X914" s="12"/>
      <c r="Y914" s="12"/>
      <c r="Z914" s="12"/>
      <c r="AA914" s="12"/>
      <c r="AB914" s="12"/>
      <c r="AC914" s="12"/>
      <c r="AD914" s="12"/>
    </row>
    <row r="915" spans="1:30" x14ac:dyDescent="0.35">
      <c r="A915" s="39" t="s">
        <v>96</v>
      </c>
      <c r="B915" s="35" t="s">
        <v>27</v>
      </c>
      <c r="C915" s="36" t="s">
        <v>31</v>
      </c>
      <c r="D915" s="24">
        <v>30.716287190821667</v>
      </c>
      <c r="E915" s="24">
        <v>32.24982712846797</v>
      </c>
      <c r="F915" s="24">
        <v>33.942355542712967</v>
      </c>
      <c r="G915" s="24">
        <v>35.733855383246926</v>
      </c>
      <c r="H915" s="24">
        <v>37.639423239111856</v>
      </c>
      <c r="I915" s="24">
        <v>39.686128362987603</v>
      </c>
      <c r="J915" s="24">
        <v>41.912566797012126</v>
      </c>
      <c r="K915" s="24">
        <v>44.358169854842579</v>
      </c>
      <c r="L915" s="24">
        <v>46.98778824937402</v>
      </c>
      <c r="M915" s="24">
        <v>49.81793726352862</v>
      </c>
      <c r="N915" s="24">
        <v>52.916087549364789</v>
      </c>
      <c r="O915" s="24">
        <v>56.314719466526086</v>
      </c>
      <c r="P915" s="24">
        <v>60.051026952165188</v>
      </c>
      <c r="Q915" s="21"/>
      <c r="R915" s="21"/>
      <c r="S915" s="12"/>
      <c r="T915" s="12"/>
      <c r="U915" s="12"/>
      <c r="V915" s="12"/>
      <c r="W915" s="12"/>
      <c r="X915" s="12"/>
      <c r="Y915" s="12"/>
      <c r="Z915" s="12"/>
      <c r="AA915" s="12"/>
      <c r="AB915" s="12"/>
      <c r="AC915" s="12"/>
      <c r="AD915" s="12"/>
    </row>
    <row r="916" spans="1:30" x14ac:dyDescent="0.35">
      <c r="A916" s="39" t="s">
        <v>96</v>
      </c>
      <c r="B916" s="35" t="s">
        <v>27</v>
      </c>
      <c r="C916" s="36" t="s">
        <v>32</v>
      </c>
      <c r="D916" s="24">
        <v>16.683603608577766</v>
      </c>
      <c r="E916" s="24">
        <v>17.219121262946715</v>
      </c>
      <c r="F916" s="24">
        <v>17.840768432636239</v>
      </c>
      <c r="G916" s="24">
        <v>18.497642950539706</v>
      </c>
      <c r="H916" s="24">
        <v>19.199141289305036</v>
      </c>
      <c r="I916" s="24">
        <v>19.943208901199725</v>
      </c>
      <c r="J916" s="24">
        <v>20.736849945129663</v>
      </c>
      <c r="K916" s="24">
        <v>21.599524530835144</v>
      </c>
      <c r="L916" s="24">
        <v>22.514242274440811</v>
      </c>
      <c r="M916" s="24">
        <v>23.502397867012412</v>
      </c>
      <c r="N916" s="24">
        <v>24.552583481450533</v>
      </c>
      <c r="O916" s="24">
        <v>25.679673035953055</v>
      </c>
      <c r="P916" s="24">
        <v>26.91288275272553</v>
      </c>
      <c r="Q916" s="21"/>
      <c r="R916" s="21"/>
      <c r="S916" s="12"/>
      <c r="T916" s="12"/>
      <c r="U916" s="12"/>
      <c r="V916" s="12"/>
      <c r="W916" s="12"/>
      <c r="X916" s="12"/>
      <c r="Y916" s="12"/>
      <c r="Z916" s="12"/>
      <c r="AA916" s="12"/>
      <c r="AB916" s="12"/>
      <c r="AC916" s="12"/>
      <c r="AD916" s="12"/>
    </row>
    <row r="917" spans="1:30" x14ac:dyDescent="0.35">
      <c r="A917" s="39" t="s">
        <v>96</v>
      </c>
      <c r="B917" s="35" t="s">
        <v>27</v>
      </c>
      <c r="C917" s="36" t="s">
        <v>33</v>
      </c>
      <c r="D917" s="24">
        <v>11.312909077507776</v>
      </c>
      <c r="E917" s="24">
        <v>11.856834622774386</v>
      </c>
      <c r="F917" s="24">
        <v>12.438433292348769</v>
      </c>
      <c r="G917" s="24">
        <v>13.056470489375744</v>
      </c>
      <c r="H917" s="24">
        <v>13.710058733601226</v>
      </c>
      <c r="I917" s="24">
        <v>14.405988762344284</v>
      </c>
      <c r="J917" s="24">
        <v>15.159342610611722</v>
      </c>
      <c r="K917" s="24">
        <v>15.966509313804529</v>
      </c>
      <c r="L917" s="24">
        <v>16.837617735645825</v>
      </c>
      <c r="M917" s="24">
        <v>17.773420229317711</v>
      </c>
      <c r="N917" s="24">
        <v>18.773618123613144</v>
      </c>
      <c r="O917" s="24">
        <v>19.857060775446143</v>
      </c>
      <c r="P917" s="24">
        <v>21.032702202568146</v>
      </c>
      <c r="Q917" s="14"/>
      <c r="R917" s="14"/>
      <c r="S917" s="12"/>
      <c r="T917" s="12"/>
      <c r="U917" s="12"/>
      <c r="V917" s="12"/>
      <c r="W917" s="12"/>
      <c r="X917" s="12"/>
      <c r="Y917" s="12"/>
      <c r="Z917" s="12"/>
      <c r="AA917" s="12"/>
      <c r="AB917" s="12"/>
      <c r="AC917" s="12"/>
      <c r="AD917" s="12"/>
    </row>
    <row r="918" spans="1:30" x14ac:dyDescent="0.35">
      <c r="A918" s="39" t="s">
        <v>96</v>
      </c>
      <c r="B918" s="35" t="s">
        <v>34</v>
      </c>
      <c r="C918" s="36" t="s">
        <v>35</v>
      </c>
      <c r="D918" s="24">
        <v>69.840248787957876</v>
      </c>
      <c r="E918" s="24">
        <v>72.547141494089828</v>
      </c>
      <c r="F918" s="24">
        <v>75.586883719811738</v>
      </c>
      <c r="G918" s="24">
        <v>78.813291440406886</v>
      </c>
      <c r="H918" s="24">
        <v>82.184466467657529</v>
      </c>
      <c r="I918" s="24">
        <v>85.817501466695262</v>
      </c>
      <c r="J918" s="24">
        <v>89.694449543622682</v>
      </c>
      <c r="K918" s="24">
        <v>93.769496711527466</v>
      </c>
      <c r="L918" s="24">
        <v>98.22675394747759</v>
      </c>
      <c r="M918" s="24">
        <v>102.90598691882951</v>
      </c>
      <c r="N918" s="24">
        <v>107.87319665980442</v>
      </c>
      <c r="O918" s="24">
        <v>113.29195647703483</v>
      </c>
      <c r="P918" s="24">
        <v>119.29532200351105</v>
      </c>
      <c r="Q918" s="14"/>
      <c r="R918" s="14"/>
      <c r="S918" s="12"/>
      <c r="T918" s="12"/>
      <c r="U918" s="12"/>
      <c r="V918" s="12"/>
      <c r="W918" s="12"/>
      <c r="X918" s="12"/>
      <c r="Y918" s="12"/>
      <c r="Z918" s="12"/>
      <c r="AA918" s="12"/>
      <c r="AB918" s="12"/>
      <c r="AC918" s="12"/>
      <c r="AD918" s="12"/>
    </row>
    <row r="919" spans="1:30" x14ac:dyDescent="0.35">
      <c r="A919" s="39" t="s">
        <v>96</v>
      </c>
      <c r="B919" s="35" t="s">
        <v>34</v>
      </c>
      <c r="C919" s="36" t="s">
        <v>36</v>
      </c>
      <c r="D919" s="24">
        <v>72.551443183151051</v>
      </c>
      <c r="E919" s="24">
        <v>76.714737553302811</v>
      </c>
      <c r="F919" s="24">
        <v>81.204369756406905</v>
      </c>
      <c r="G919" s="24">
        <v>86.010725226793966</v>
      </c>
      <c r="H919" s="24">
        <v>91.21489260768638</v>
      </c>
      <c r="I919" s="24">
        <v>96.863672147200489</v>
      </c>
      <c r="J919" s="24">
        <v>102.94829117847235</v>
      </c>
      <c r="K919" s="24">
        <v>109.63787178363873</v>
      </c>
      <c r="L919" s="24">
        <v>116.91024435322646</v>
      </c>
      <c r="M919" s="24">
        <v>124.77293370685125</v>
      </c>
      <c r="N919" s="24">
        <v>133.40179995323555</v>
      </c>
      <c r="O919" s="24">
        <v>142.75814520599843</v>
      </c>
      <c r="P919" s="24">
        <v>152.98586139414465</v>
      </c>
      <c r="Q919" s="14"/>
      <c r="R919" s="14"/>
      <c r="S919" s="12"/>
      <c r="T919" s="12"/>
      <c r="U919" s="12"/>
      <c r="V919" s="12"/>
      <c r="W919" s="12"/>
      <c r="X919" s="12"/>
      <c r="Y919" s="12"/>
      <c r="Z919" s="12"/>
      <c r="AA919" s="12"/>
      <c r="AB919" s="12"/>
      <c r="AC919" s="12"/>
      <c r="AD919" s="12"/>
    </row>
    <row r="920" spans="1:30" x14ac:dyDescent="0.35">
      <c r="A920" s="39" t="s">
        <v>96</v>
      </c>
      <c r="B920" s="35" t="s">
        <v>34</v>
      </c>
      <c r="C920" s="36" t="s">
        <v>37</v>
      </c>
      <c r="D920" s="24">
        <v>45.672610536629143</v>
      </c>
      <c r="E920" s="24">
        <v>48.146645907159673</v>
      </c>
      <c r="F920" s="24">
        <v>50.870629334451635</v>
      </c>
      <c r="G920" s="24">
        <v>53.777966400560999</v>
      </c>
      <c r="H920" s="24">
        <v>56.889155151050105</v>
      </c>
      <c r="I920" s="24">
        <v>60.209073597368359</v>
      </c>
      <c r="J920" s="24">
        <v>63.741938998961579</v>
      </c>
      <c r="K920" s="24">
        <v>67.514496375359187</v>
      </c>
      <c r="L920" s="24">
        <v>71.581040247613402</v>
      </c>
      <c r="M920" s="24">
        <v>75.99052472347185</v>
      </c>
      <c r="N920" s="24">
        <v>80.736594169488214</v>
      </c>
      <c r="O920" s="24">
        <v>85.826250235397339</v>
      </c>
      <c r="P920" s="24">
        <v>91.31386417103603</v>
      </c>
      <c r="Q920" s="14"/>
      <c r="R920" s="14"/>
      <c r="S920" s="12"/>
      <c r="T920" s="12"/>
      <c r="U920" s="12"/>
      <c r="V920" s="12"/>
      <c r="W920" s="12"/>
      <c r="X920" s="12"/>
      <c r="Y920" s="12"/>
      <c r="Z920" s="12"/>
      <c r="AA920" s="12"/>
      <c r="AB920" s="12"/>
      <c r="AC920" s="12"/>
      <c r="AD920" s="12"/>
    </row>
    <row r="921" spans="1:30" x14ac:dyDescent="0.35">
      <c r="A921" s="39" t="s">
        <v>96</v>
      </c>
      <c r="B921" s="35" t="s">
        <v>34</v>
      </c>
      <c r="C921" s="36" t="s">
        <v>38</v>
      </c>
      <c r="D921" s="24">
        <v>18.673860404558969</v>
      </c>
      <c r="E921" s="24">
        <v>19.55794894830267</v>
      </c>
      <c r="F921" s="24">
        <v>20.530987030663344</v>
      </c>
      <c r="G921" s="24">
        <v>21.564236031779526</v>
      </c>
      <c r="H921" s="24">
        <v>22.664598939680253</v>
      </c>
      <c r="I921" s="24">
        <v>23.832560182029383</v>
      </c>
      <c r="J921" s="24">
        <v>25.068310894992749</v>
      </c>
      <c r="K921" s="24">
        <v>26.380877347393035</v>
      </c>
      <c r="L921" s="24">
        <v>27.789798051607011</v>
      </c>
      <c r="M921" s="24">
        <v>29.312012733213908</v>
      </c>
      <c r="N921" s="24">
        <v>30.942663550673455</v>
      </c>
      <c r="O921" s="24">
        <v>32.682105280778366</v>
      </c>
      <c r="P921" s="24">
        <v>34.54869068325263</v>
      </c>
      <c r="Q921" s="14"/>
      <c r="R921" s="14"/>
      <c r="S921" s="12"/>
      <c r="T921" s="12"/>
      <c r="U921" s="12"/>
      <c r="V921" s="12"/>
      <c r="W921" s="12"/>
      <c r="X921" s="12"/>
      <c r="Y921" s="12"/>
      <c r="Z921" s="12"/>
      <c r="AA921" s="12"/>
      <c r="AB921" s="12"/>
      <c r="AC921" s="12"/>
      <c r="AD921" s="12"/>
    </row>
    <row r="922" spans="1:30" x14ac:dyDescent="0.35">
      <c r="A922" s="39" t="s">
        <v>96</v>
      </c>
      <c r="B922" s="35" t="s">
        <v>22</v>
      </c>
      <c r="C922" s="36" t="s">
        <v>39</v>
      </c>
      <c r="D922" s="24">
        <v>56.546558532753807</v>
      </c>
      <c r="E922" s="24">
        <v>59.355166310368105</v>
      </c>
      <c r="F922" s="24">
        <v>62.332736712449957</v>
      </c>
      <c r="G922" s="24">
        <v>65.510120776297498</v>
      </c>
      <c r="H922" s="24">
        <v>68.879132715122012</v>
      </c>
      <c r="I922" s="24">
        <v>72.599762481208245</v>
      </c>
      <c r="J922" s="24">
        <v>76.619125019883228</v>
      </c>
      <c r="K922" s="24">
        <v>80.979966439168038</v>
      </c>
      <c r="L922" s="24">
        <v>85.827330855405478</v>
      </c>
      <c r="M922" s="24">
        <v>90.898876527897016</v>
      </c>
      <c r="N922" s="24">
        <v>96.464789771070798</v>
      </c>
      <c r="O922" s="24">
        <v>102.59766420345045</v>
      </c>
      <c r="P922" s="24">
        <v>109.43619429234798</v>
      </c>
      <c r="Q922" s="14"/>
      <c r="R922" s="14"/>
      <c r="S922" s="12"/>
      <c r="T922" s="12"/>
      <c r="U922" s="12"/>
      <c r="V922" s="12"/>
      <c r="W922" s="12"/>
      <c r="X922" s="12"/>
      <c r="Y922" s="12"/>
      <c r="Z922" s="12"/>
      <c r="AA922" s="12"/>
      <c r="AB922" s="12"/>
      <c r="AC922" s="12"/>
      <c r="AD922" s="12"/>
    </row>
    <row r="923" spans="1:30" x14ac:dyDescent="0.35">
      <c r="A923" s="39" t="s">
        <v>96</v>
      </c>
      <c r="B923" s="35" t="s">
        <v>22</v>
      </c>
      <c r="C923" s="36" t="s">
        <v>40</v>
      </c>
      <c r="D923" s="24">
        <v>49.089082615875959</v>
      </c>
      <c r="E923" s="24">
        <v>51.416593070505179</v>
      </c>
      <c r="F923" s="24">
        <v>53.978266107552059</v>
      </c>
      <c r="G923" s="24">
        <v>56.698592157859544</v>
      </c>
      <c r="H923" s="24">
        <v>59.595753461927103</v>
      </c>
      <c r="I923" s="24">
        <v>62.671059770753963</v>
      </c>
      <c r="J923" s="24">
        <v>65.92504995143652</v>
      </c>
      <c r="K923" s="24">
        <v>69.381497810719395</v>
      </c>
      <c r="L923" s="24">
        <v>73.091830655680184</v>
      </c>
      <c r="M923" s="24">
        <v>77.100654317177103</v>
      </c>
      <c r="N923" s="24">
        <v>81.395251467330255</v>
      </c>
      <c r="O923" s="24">
        <v>85.976613293988223</v>
      </c>
      <c r="P923" s="24">
        <v>90.893078465149912</v>
      </c>
      <c r="Q923" s="14"/>
      <c r="R923" s="14"/>
      <c r="S923" s="12"/>
      <c r="T923" s="12"/>
      <c r="U923" s="12"/>
      <c r="V923" s="12"/>
      <c r="W923" s="12"/>
      <c r="X923" s="12"/>
      <c r="Y923" s="12"/>
      <c r="Z923" s="12"/>
      <c r="AA923" s="12"/>
      <c r="AB923" s="12"/>
      <c r="AC923" s="12"/>
      <c r="AD923" s="12"/>
    </row>
    <row r="924" spans="1:30" x14ac:dyDescent="0.35">
      <c r="A924" s="39" t="s">
        <v>96</v>
      </c>
      <c r="B924" s="35" t="s">
        <v>22</v>
      </c>
      <c r="C924" s="36" t="s">
        <v>41</v>
      </c>
      <c r="D924" s="24">
        <v>41.2627081033256</v>
      </c>
      <c r="E924" s="24">
        <v>42.744554239950176</v>
      </c>
      <c r="F924" s="24">
        <v>44.4507536110779</v>
      </c>
      <c r="G924" s="24">
        <v>46.256911003765559</v>
      </c>
      <c r="H924" s="24">
        <v>48.187568058137153</v>
      </c>
      <c r="I924" s="24">
        <v>50.238878782317343</v>
      </c>
      <c r="J924" s="24">
        <v>52.429750623795307</v>
      </c>
      <c r="K924" s="24">
        <v>54.810852028603307</v>
      </c>
      <c r="L924" s="24">
        <v>57.341086188538121</v>
      </c>
      <c r="M924" s="24">
        <v>60.076501586766419</v>
      </c>
      <c r="N924" s="24">
        <v>62.990105504922958</v>
      </c>
      <c r="O924" s="24">
        <v>66.12192123072218</v>
      </c>
      <c r="P924" s="24">
        <v>69.549472373548184</v>
      </c>
      <c r="Q924" s="21"/>
      <c r="R924" s="21"/>
      <c r="S924" s="12"/>
      <c r="T924" s="12"/>
      <c r="U924" s="12"/>
      <c r="V924" s="12"/>
      <c r="W924" s="12"/>
      <c r="X924" s="12"/>
      <c r="Y924" s="12"/>
      <c r="Z924" s="12"/>
      <c r="AA924" s="12"/>
      <c r="AB924" s="12"/>
      <c r="AC924" s="12"/>
      <c r="AD924" s="12"/>
    </row>
    <row r="925" spans="1:30" x14ac:dyDescent="0.35">
      <c r="A925" s="39" t="s">
        <v>96</v>
      </c>
      <c r="B925" s="35" t="s">
        <v>22</v>
      </c>
      <c r="C925" s="36" t="s">
        <v>42</v>
      </c>
      <c r="D925" s="24">
        <v>59.839813660341676</v>
      </c>
      <c r="E925" s="24">
        <v>63.450160282031533</v>
      </c>
      <c r="F925" s="24">
        <v>67.431113410253715</v>
      </c>
      <c r="G925" s="24">
        <v>71.700595161618807</v>
      </c>
      <c r="H925" s="24">
        <v>76.290658930888</v>
      </c>
      <c r="I925" s="24">
        <v>81.213106359013992</v>
      </c>
      <c r="J925" s="24">
        <v>86.479065020934314</v>
      </c>
      <c r="K925" s="24">
        <v>92.130425939427681</v>
      </c>
      <c r="L925" s="24">
        <v>98.247588900300698</v>
      </c>
      <c r="M925" s="24">
        <v>104.90542565052603</v>
      </c>
      <c r="N925" s="24">
        <v>112.10410758987757</v>
      </c>
      <c r="O925" s="24">
        <v>119.86225847104812</v>
      </c>
      <c r="P925" s="24">
        <v>128.26499312089825</v>
      </c>
      <c r="Q925" s="21"/>
      <c r="R925" s="21"/>
      <c r="S925" s="12"/>
      <c r="T925" s="12"/>
      <c r="U925" s="12"/>
      <c r="V925" s="12"/>
      <c r="W925" s="12"/>
      <c r="X925" s="12"/>
      <c r="Y925" s="12"/>
      <c r="Z925" s="12"/>
      <c r="AA925" s="12"/>
      <c r="AB925" s="12"/>
      <c r="AC925" s="12"/>
      <c r="AD925" s="12"/>
    </row>
    <row r="926" spans="1:30" x14ac:dyDescent="0.35">
      <c r="A926" s="39" t="s">
        <v>97</v>
      </c>
      <c r="B926" s="35" t="s">
        <v>24</v>
      </c>
      <c r="C926" s="36" t="s">
        <v>25</v>
      </c>
      <c r="D926" s="24">
        <v>44.300160070879876</v>
      </c>
      <c r="E926" s="24">
        <v>46.816157935986901</v>
      </c>
      <c r="F926" s="24">
        <v>49.587778796816046</v>
      </c>
      <c r="G926" s="24">
        <v>52.55198779070151</v>
      </c>
      <c r="H926" s="24">
        <v>55.730221807062755</v>
      </c>
      <c r="I926" s="24">
        <v>59.128822982146865</v>
      </c>
      <c r="J926" s="24">
        <v>62.753541060782581</v>
      </c>
      <c r="K926" s="24">
        <v>66.632354805760158</v>
      </c>
      <c r="L926" s="24">
        <v>70.820703468196484</v>
      </c>
      <c r="M926" s="24">
        <v>75.369284483036608</v>
      </c>
      <c r="N926" s="24">
        <v>80.274429918633089</v>
      </c>
      <c r="O926" s="24">
        <v>85.545705320843851</v>
      </c>
      <c r="P926" s="24">
        <v>91.239975212199369</v>
      </c>
      <c r="Q926" s="21"/>
      <c r="R926" s="21"/>
      <c r="S926" s="12"/>
      <c r="T926" s="12"/>
      <c r="U926" s="12"/>
      <c r="V926" s="12"/>
      <c r="W926" s="12"/>
      <c r="X926" s="12"/>
      <c r="Y926" s="12"/>
      <c r="Z926" s="12"/>
      <c r="AA926" s="12"/>
      <c r="AB926" s="12"/>
      <c r="AC926" s="12"/>
      <c r="AD926" s="12"/>
    </row>
    <row r="927" spans="1:30" x14ac:dyDescent="0.35">
      <c r="A927" s="39" t="s">
        <v>97</v>
      </c>
      <c r="B927" s="35" t="s">
        <v>24</v>
      </c>
      <c r="C927" s="36" t="s">
        <v>26</v>
      </c>
      <c r="D927" s="24">
        <v>462.77148679426745</v>
      </c>
      <c r="E927" s="24">
        <v>491.41962674627842</v>
      </c>
      <c r="F927" s="24">
        <v>523.03829878866736</v>
      </c>
      <c r="G927" s="24">
        <v>557.08922654244043</v>
      </c>
      <c r="H927" s="24">
        <v>593.80616289063835</v>
      </c>
      <c r="I927" s="24">
        <v>633.67839503704943</v>
      </c>
      <c r="J927" s="24">
        <v>676.70792878881889</v>
      </c>
      <c r="K927" s="24">
        <v>723.42266179232638</v>
      </c>
      <c r="L927" s="24">
        <v>774.48881112219749</v>
      </c>
      <c r="M927" s="24">
        <v>829.78100152823549</v>
      </c>
      <c r="N927" s="24">
        <v>890.04425765712438</v>
      </c>
      <c r="O927" s="24">
        <v>955.81543024727284</v>
      </c>
      <c r="P927" s="24">
        <v>1028.1241370603318</v>
      </c>
      <c r="Q927" s="21"/>
      <c r="R927" s="21"/>
      <c r="S927" s="12"/>
      <c r="T927" s="12"/>
      <c r="U927" s="12"/>
      <c r="V927" s="12"/>
      <c r="W927" s="12"/>
      <c r="X927" s="12"/>
      <c r="Y927" s="12"/>
      <c r="Z927" s="12"/>
      <c r="AA927" s="12"/>
      <c r="AB927" s="12"/>
      <c r="AC927" s="12"/>
      <c r="AD927" s="12"/>
    </row>
    <row r="928" spans="1:30" x14ac:dyDescent="0.35">
      <c r="A928" s="39" t="s">
        <v>97</v>
      </c>
      <c r="B928" s="35" t="s">
        <v>27</v>
      </c>
      <c r="C928" s="36" t="s">
        <v>28</v>
      </c>
      <c r="D928" s="24">
        <v>167.44197988832497</v>
      </c>
      <c r="E928" s="24">
        <v>176.25378969194634</v>
      </c>
      <c r="F928" s="24">
        <v>186.43687713762353</v>
      </c>
      <c r="G928" s="24">
        <v>197.33764101169942</v>
      </c>
      <c r="H928" s="24">
        <v>208.89090131878072</v>
      </c>
      <c r="I928" s="24">
        <v>221.26860138544993</v>
      </c>
      <c r="J928" s="24">
        <v>234.38853294294358</v>
      </c>
      <c r="K928" s="24">
        <v>248.14910648695002</v>
      </c>
      <c r="L928" s="24">
        <v>263.08361843762873</v>
      </c>
      <c r="M928" s="24">
        <v>278.8896890094552</v>
      </c>
      <c r="N928" s="24">
        <v>295.55166417519206</v>
      </c>
      <c r="O928" s="24">
        <v>313.62735662561192</v>
      </c>
      <c r="P928" s="24">
        <v>333.29471669177758</v>
      </c>
      <c r="Q928" s="21"/>
      <c r="R928" s="21"/>
      <c r="S928" s="12"/>
      <c r="T928" s="12"/>
      <c r="U928" s="12"/>
      <c r="V928" s="12"/>
      <c r="W928" s="12"/>
      <c r="X928" s="12"/>
      <c r="Y928" s="12"/>
      <c r="Z928" s="12"/>
      <c r="AA928" s="12"/>
      <c r="AB928" s="12"/>
      <c r="AC928" s="12"/>
      <c r="AD928" s="12"/>
    </row>
    <row r="929" spans="1:30" x14ac:dyDescent="0.35">
      <c r="A929" s="39" t="s">
        <v>97</v>
      </c>
      <c r="B929" s="35" t="s">
        <v>27</v>
      </c>
      <c r="C929" s="36" t="s">
        <v>29</v>
      </c>
      <c r="D929" s="24">
        <v>115.7138473393632</v>
      </c>
      <c r="E929" s="24">
        <v>123.64951476262981</v>
      </c>
      <c r="F929" s="24">
        <v>132.27033349407316</v>
      </c>
      <c r="G929" s="24">
        <v>141.58010868580931</v>
      </c>
      <c r="H929" s="24">
        <v>151.73169946538297</v>
      </c>
      <c r="I929" s="24">
        <v>162.82697814420584</v>
      </c>
      <c r="J929" s="24">
        <v>174.87819117351927</v>
      </c>
      <c r="K929" s="24">
        <v>188.19972547572854</v>
      </c>
      <c r="L929" s="24">
        <v>202.79026927296928</v>
      </c>
      <c r="M929" s="24">
        <v>218.69919344297733</v>
      </c>
      <c r="N929" s="24">
        <v>236.27224755496863</v>
      </c>
      <c r="O929" s="24">
        <v>255.48889405231205</v>
      </c>
      <c r="P929" s="24">
        <v>276.6535251770249</v>
      </c>
      <c r="Q929" s="21"/>
      <c r="R929" s="21"/>
      <c r="S929" s="12"/>
      <c r="T929" s="12"/>
      <c r="U929" s="12"/>
      <c r="V929" s="12"/>
      <c r="W929" s="12"/>
      <c r="X929" s="12"/>
      <c r="Y929" s="12"/>
      <c r="Z929" s="12"/>
      <c r="AA929" s="12"/>
      <c r="AB929" s="12"/>
      <c r="AC929" s="12"/>
      <c r="AD929" s="12"/>
    </row>
    <row r="930" spans="1:30" x14ac:dyDescent="0.35">
      <c r="A930" s="39" t="s">
        <v>97</v>
      </c>
      <c r="B930" s="35" t="s">
        <v>27</v>
      </c>
      <c r="C930" s="36" t="s">
        <v>30</v>
      </c>
      <c r="D930" s="24">
        <v>92.862946533897698</v>
      </c>
      <c r="E930" s="24">
        <v>100.0464807616268</v>
      </c>
      <c r="F930" s="24">
        <v>107.8253532743138</v>
      </c>
      <c r="G930" s="24">
        <v>116.24435392455464</v>
      </c>
      <c r="H930" s="24">
        <v>125.36052224665632</v>
      </c>
      <c r="I930" s="24">
        <v>135.27286917648556</v>
      </c>
      <c r="J930" s="24">
        <v>146.11985717475318</v>
      </c>
      <c r="K930" s="24">
        <v>157.92086213231551</v>
      </c>
      <c r="L930" s="24">
        <v>170.91064270584252</v>
      </c>
      <c r="M930" s="24">
        <v>185.23699375014749</v>
      </c>
      <c r="N930" s="24">
        <v>201.00732271483287</v>
      </c>
      <c r="O930" s="24">
        <v>218.25615698424508</v>
      </c>
      <c r="P930" s="24">
        <v>237.36711214878866</v>
      </c>
      <c r="Q930" s="21"/>
      <c r="R930" s="21"/>
      <c r="S930" s="12"/>
      <c r="T930" s="12"/>
      <c r="U930" s="12"/>
      <c r="V930" s="12"/>
      <c r="W930" s="12"/>
      <c r="X930" s="12"/>
      <c r="Y930" s="12"/>
      <c r="Z930" s="12"/>
      <c r="AA930" s="12"/>
      <c r="AB930" s="12"/>
      <c r="AC930" s="12"/>
      <c r="AD930" s="12"/>
    </row>
    <row r="931" spans="1:30" x14ac:dyDescent="0.35">
      <c r="A931" s="39" t="s">
        <v>97</v>
      </c>
      <c r="B931" s="35" t="s">
        <v>27</v>
      </c>
      <c r="C931" s="36" t="s">
        <v>31</v>
      </c>
      <c r="D931" s="24">
        <v>63.762140083116101</v>
      </c>
      <c r="E931" s="24">
        <v>67.757969241983247</v>
      </c>
      <c r="F931" s="24">
        <v>72.081431231768704</v>
      </c>
      <c r="G931" s="24">
        <v>76.728671844793638</v>
      </c>
      <c r="H931" s="24">
        <v>81.776630833440578</v>
      </c>
      <c r="I931" s="24">
        <v>87.272998976061146</v>
      </c>
      <c r="J931" s="24">
        <v>93.216292175814601</v>
      </c>
      <c r="K931" s="24">
        <v>99.766014966960753</v>
      </c>
      <c r="L931" s="24">
        <v>106.91071329796935</v>
      </c>
      <c r="M931" s="24">
        <v>114.66577837050293</v>
      </c>
      <c r="N931" s="24">
        <v>123.20152890822096</v>
      </c>
      <c r="O931" s="24">
        <v>132.49342282962874</v>
      </c>
      <c r="P931" s="24">
        <v>142.68579310376137</v>
      </c>
      <c r="Q931" s="21"/>
      <c r="R931" s="21"/>
      <c r="S931" s="12"/>
      <c r="T931" s="12"/>
      <c r="U931" s="12"/>
      <c r="V931" s="12"/>
      <c r="W931" s="12"/>
      <c r="X931" s="12"/>
      <c r="Y931" s="12"/>
      <c r="Z931" s="12"/>
      <c r="AA931" s="12"/>
      <c r="AB931" s="12"/>
      <c r="AC931" s="12"/>
      <c r="AD931" s="12"/>
    </row>
    <row r="932" spans="1:30" x14ac:dyDescent="0.35">
      <c r="A932" s="39" t="s">
        <v>97</v>
      </c>
      <c r="B932" s="35" t="s">
        <v>27</v>
      </c>
      <c r="C932" s="36" t="s">
        <v>32</v>
      </c>
      <c r="D932" s="24">
        <v>44.381586918538098</v>
      </c>
      <c r="E932" s="24">
        <v>46.399095555936505</v>
      </c>
      <c r="F932" s="24">
        <v>48.561197279262373</v>
      </c>
      <c r="G932" s="24">
        <v>50.856325131215229</v>
      </c>
      <c r="H932" s="24">
        <v>53.326937183681267</v>
      </c>
      <c r="I932" s="24">
        <v>55.99341537172991</v>
      </c>
      <c r="J932" s="24">
        <v>58.84294934833423</v>
      </c>
      <c r="K932" s="24">
        <v>61.964815509049501</v>
      </c>
      <c r="L932" s="24">
        <v>65.336014222278635</v>
      </c>
      <c r="M932" s="24">
        <v>68.950942842157588</v>
      </c>
      <c r="N932" s="24">
        <v>72.897057577207107</v>
      </c>
      <c r="O932" s="24">
        <v>77.14045197643749</v>
      </c>
      <c r="P932" s="24">
        <v>81.747115028059582</v>
      </c>
      <c r="Q932" s="21"/>
      <c r="R932" s="21"/>
      <c r="S932" s="12"/>
      <c r="T932" s="12"/>
      <c r="U932" s="12"/>
      <c r="V932" s="12"/>
      <c r="W932" s="12"/>
      <c r="X932" s="12"/>
      <c r="Y932" s="12"/>
      <c r="Z932" s="12"/>
      <c r="AA932" s="12"/>
      <c r="AB932" s="12"/>
      <c r="AC932" s="12"/>
      <c r="AD932" s="12"/>
    </row>
    <row r="933" spans="1:30" x14ac:dyDescent="0.35">
      <c r="A933" s="39" t="s">
        <v>97</v>
      </c>
      <c r="B933" s="35" t="s">
        <v>27</v>
      </c>
      <c r="C933" s="36" t="s">
        <v>33</v>
      </c>
      <c r="D933" s="24">
        <v>22.909146101907247</v>
      </c>
      <c r="E933" s="24">
        <v>24.128934668142673</v>
      </c>
      <c r="F933" s="24">
        <v>25.450885168441822</v>
      </c>
      <c r="G933" s="24">
        <v>26.894113735069716</v>
      </c>
      <c r="H933" s="24">
        <v>28.449693649759311</v>
      </c>
      <c r="I933" s="24">
        <v>30.172354965263903</v>
      </c>
      <c r="J933" s="24">
        <v>32.015647034236615</v>
      </c>
      <c r="K933" s="24">
        <v>34.054492027082276</v>
      </c>
      <c r="L933" s="24">
        <v>36.278256653705377</v>
      </c>
      <c r="M933" s="24">
        <v>38.707688596031517</v>
      </c>
      <c r="N933" s="24">
        <v>41.388866645335796</v>
      </c>
      <c r="O933" s="24">
        <v>44.354853099881403</v>
      </c>
      <c r="P933" s="24">
        <v>47.61585012311896</v>
      </c>
      <c r="Q933" s="14"/>
      <c r="R933" s="14"/>
      <c r="S933" s="12"/>
      <c r="T933" s="12"/>
      <c r="U933" s="12"/>
      <c r="V933" s="12"/>
      <c r="W933" s="12"/>
      <c r="X933" s="12"/>
      <c r="Y933" s="12"/>
      <c r="Z933" s="12"/>
      <c r="AA933" s="12"/>
      <c r="AB933" s="12"/>
      <c r="AC933" s="12"/>
      <c r="AD933" s="12"/>
    </row>
    <row r="934" spans="1:30" x14ac:dyDescent="0.35">
      <c r="A934" s="39" t="s">
        <v>97</v>
      </c>
      <c r="B934" s="35" t="s">
        <v>34</v>
      </c>
      <c r="C934" s="36" t="s">
        <v>35</v>
      </c>
      <c r="D934" s="24">
        <v>169.31794870850052</v>
      </c>
      <c r="E934" s="24">
        <v>177.38241395633514</v>
      </c>
      <c r="F934" s="24">
        <v>186.5124632657753</v>
      </c>
      <c r="G934" s="24">
        <v>196.29254622584932</v>
      </c>
      <c r="H934" s="24">
        <v>206.74743124927829</v>
      </c>
      <c r="I934" s="24">
        <v>218.17521464171102</v>
      </c>
      <c r="J934" s="24">
        <v>230.37633714481024</v>
      </c>
      <c r="K934" s="24">
        <v>243.63575889540562</v>
      </c>
      <c r="L934" s="24">
        <v>258.1363369073307</v>
      </c>
      <c r="M934" s="24">
        <v>273.36027171098988</v>
      </c>
      <c r="N934" s="24">
        <v>289.80081782343927</v>
      </c>
      <c r="O934" s="24">
        <v>307.89812461290785</v>
      </c>
      <c r="P934" s="24">
        <v>327.91501868407988</v>
      </c>
      <c r="Q934" s="14"/>
      <c r="R934" s="14"/>
      <c r="S934" s="12"/>
      <c r="T934" s="12"/>
      <c r="U934" s="12"/>
      <c r="V934" s="12"/>
      <c r="W934" s="12"/>
      <c r="X934" s="12"/>
      <c r="Y934" s="12"/>
      <c r="Z934" s="12"/>
      <c r="AA934" s="12"/>
      <c r="AB934" s="12"/>
      <c r="AC934" s="12"/>
      <c r="AD934" s="12"/>
    </row>
    <row r="935" spans="1:30" x14ac:dyDescent="0.35">
      <c r="A935" s="39" t="s">
        <v>97</v>
      </c>
      <c r="B935" s="35" t="s">
        <v>34</v>
      </c>
      <c r="C935" s="36" t="s">
        <v>36</v>
      </c>
      <c r="D935" s="24">
        <v>183.52499749497122</v>
      </c>
      <c r="E935" s="24">
        <v>196.76413663470899</v>
      </c>
      <c r="F935" s="24">
        <v>211.43210991256822</v>
      </c>
      <c r="G935" s="24">
        <v>227.31504816396742</v>
      </c>
      <c r="H935" s="24">
        <v>244.55044883868447</v>
      </c>
      <c r="I935" s="24">
        <v>263.2162098419376</v>
      </c>
      <c r="J935" s="24">
        <v>283.39062455758659</v>
      </c>
      <c r="K935" s="24">
        <v>305.25534989846125</v>
      </c>
      <c r="L935" s="24">
        <v>329.12672195783153</v>
      </c>
      <c r="M935" s="24">
        <v>355.31548478237181</v>
      </c>
      <c r="N935" s="24">
        <v>383.89181525257248</v>
      </c>
      <c r="O935" s="24">
        <v>414.99067078185107</v>
      </c>
      <c r="P935" s="24">
        <v>448.98164620556031</v>
      </c>
      <c r="Q935" s="14"/>
      <c r="R935" s="14"/>
      <c r="S935" s="12"/>
      <c r="T935" s="12"/>
      <c r="U935" s="12"/>
      <c r="V935" s="12"/>
      <c r="W935" s="12"/>
      <c r="X935" s="12"/>
      <c r="Y935" s="12"/>
      <c r="Z935" s="12"/>
      <c r="AA935" s="12"/>
      <c r="AB935" s="12"/>
      <c r="AC935" s="12"/>
      <c r="AD935" s="12"/>
    </row>
    <row r="936" spans="1:30" x14ac:dyDescent="0.35">
      <c r="A936" s="39" t="s">
        <v>97</v>
      </c>
      <c r="B936" s="35" t="s">
        <v>34</v>
      </c>
      <c r="C936" s="36" t="s">
        <v>37</v>
      </c>
      <c r="D936" s="24">
        <v>112.40002639425332</v>
      </c>
      <c r="E936" s="24">
        <v>119.91008676604704</v>
      </c>
      <c r="F936" s="24">
        <v>127.96945356394347</v>
      </c>
      <c r="G936" s="24">
        <v>136.61240012997195</v>
      </c>
      <c r="H936" s="24">
        <v>145.88587200310366</v>
      </c>
      <c r="I936" s="24">
        <v>155.88341424907478</v>
      </c>
      <c r="J936" s="24">
        <v>166.73993772691728</v>
      </c>
      <c r="K936" s="24">
        <v>178.44869377828186</v>
      </c>
      <c r="L936" s="24">
        <v>191.24599292592671</v>
      </c>
      <c r="M936" s="24">
        <v>205.26103446696746</v>
      </c>
      <c r="N936" s="24">
        <v>220.57250664294315</v>
      </c>
      <c r="O936" s="24">
        <v>237.17524949729889</v>
      </c>
      <c r="P936" s="24">
        <v>255.44277391227371</v>
      </c>
      <c r="Q936" s="14"/>
      <c r="R936" s="14"/>
      <c r="S936" s="12"/>
      <c r="T936" s="12"/>
      <c r="U936" s="12"/>
      <c r="V936" s="12"/>
      <c r="W936" s="12"/>
      <c r="X936" s="12"/>
      <c r="Y936" s="12"/>
      <c r="Z936" s="12"/>
      <c r="AA936" s="12"/>
      <c r="AB936" s="12"/>
      <c r="AC936" s="12"/>
      <c r="AD936" s="12"/>
    </row>
    <row r="937" spans="1:30" x14ac:dyDescent="0.35">
      <c r="A937" s="39" t="s">
        <v>97</v>
      </c>
      <c r="B937" s="35" t="s">
        <v>34</v>
      </c>
      <c r="C937" s="36" t="s">
        <v>38</v>
      </c>
      <c r="D937" s="24">
        <v>41.828674267422272</v>
      </c>
      <c r="E937" s="24">
        <v>44.179147325174178</v>
      </c>
      <c r="F937" s="24">
        <v>46.712050843196387</v>
      </c>
      <c r="G937" s="24">
        <v>49.421219813353268</v>
      </c>
      <c r="H937" s="24">
        <v>52.352632606634714</v>
      </c>
      <c r="I937" s="24">
        <v>55.532379286472839</v>
      </c>
      <c r="J937" s="24">
        <v>58.954570420287368</v>
      </c>
      <c r="K937" s="24">
        <v>62.715214025937833</v>
      </c>
      <c r="L937" s="24">
        <v>66.800462799305038</v>
      </c>
      <c r="M937" s="24">
        <v>71.213495050942896</v>
      </c>
      <c r="N937" s="24">
        <v>76.053547856802496</v>
      </c>
      <c r="O937" s="24">
        <v>81.297090676058772</v>
      </c>
      <c r="P937" s="24">
        <v>87.024673470617401</v>
      </c>
      <c r="Q937" s="14"/>
      <c r="R937" s="14"/>
      <c r="S937" s="12"/>
      <c r="T937" s="12"/>
      <c r="U937" s="12"/>
      <c r="V937" s="12"/>
      <c r="W937" s="12"/>
      <c r="X937" s="12"/>
      <c r="Y937" s="12"/>
      <c r="Z937" s="12"/>
      <c r="AA937" s="12"/>
      <c r="AB937" s="12"/>
      <c r="AC937" s="12"/>
      <c r="AD937" s="12"/>
    </row>
    <row r="938" spans="1:30" x14ac:dyDescent="0.35">
      <c r="A938" s="39" t="s">
        <v>97</v>
      </c>
      <c r="B938" s="35" t="s">
        <v>22</v>
      </c>
      <c r="C938" s="36" t="s">
        <v>39</v>
      </c>
      <c r="D938" s="24">
        <v>127.6789741381188</v>
      </c>
      <c r="E938" s="24">
        <v>134.82914900121284</v>
      </c>
      <c r="F938" s="24">
        <v>143.42128178241614</v>
      </c>
      <c r="G938" s="24">
        <v>152.74179234576957</v>
      </c>
      <c r="H938" s="24">
        <v>162.90372528218342</v>
      </c>
      <c r="I938" s="24">
        <v>174.14588891125663</v>
      </c>
      <c r="J938" s="24">
        <v>186.06659429891045</v>
      </c>
      <c r="K938" s="24">
        <v>199.11659572386543</v>
      </c>
      <c r="L938" s="24">
        <v>213.39713902784115</v>
      </c>
      <c r="M938" s="24">
        <v>228.67593361721367</v>
      </c>
      <c r="N938" s="24">
        <v>245.38859991267589</v>
      </c>
      <c r="O938" s="24">
        <v>263.67142723940265</v>
      </c>
      <c r="P938" s="24">
        <v>283.87250353245372</v>
      </c>
      <c r="Q938" s="14"/>
      <c r="R938" s="14"/>
      <c r="S938" s="12"/>
      <c r="T938" s="12"/>
      <c r="U938" s="12"/>
      <c r="V938" s="12"/>
      <c r="W938" s="12"/>
      <c r="X938" s="12"/>
      <c r="Y938" s="12"/>
      <c r="Z938" s="12"/>
      <c r="AA938" s="12"/>
      <c r="AB938" s="12"/>
      <c r="AC938" s="12"/>
      <c r="AD938" s="12"/>
    </row>
    <row r="939" spans="1:30" x14ac:dyDescent="0.35">
      <c r="A939" s="39" t="s">
        <v>97</v>
      </c>
      <c r="B939" s="35" t="s">
        <v>22</v>
      </c>
      <c r="C939" s="36" t="s">
        <v>40</v>
      </c>
      <c r="D939" s="24">
        <v>131.79871098106392</v>
      </c>
      <c r="E939" s="24">
        <v>139.73380383680492</v>
      </c>
      <c r="F939" s="24">
        <v>148.20201208940821</v>
      </c>
      <c r="G939" s="24">
        <v>157.23193386137982</v>
      </c>
      <c r="H939" s="24">
        <v>166.86589722883943</v>
      </c>
      <c r="I939" s="24">
        <v>177.19832830006939</v>
      </c>
      <c r="J939" s="24">
        <v>188.36817187142302</v>
      </c>
      <c r="K939" s="24">
        <v>200.35071322478385</v>
      </c>
      <c r="L939" s="24">
        <v>213.39451567094255</v>
      </c>
      <c r="M939" s="24">
        <v>227.62227054178666</v>
      </c>
      <c r="N939" s="24">
        <v>243.09735371444935</v>
      </c>
      <c r="O939" s="24">
        <v>259.7888594417268</v>
      </c>
      <c r="P939" s="24">
        <v>278.08108402181449</v>
      </c>
      <c r="Q939" s="14"/>
      <c r="R939" s="14"/>
      <c r="S939" s="12"/>
      <c r="T939" s="12"/>
      <c r="U939" s="12"/>
      <c r="V939" s="12"/>
      <c r="W939" s="12"/>
      <c r="X939" s="12"/>
      <c r="Y939" s="12"/>
      <c r="Z939" s="12"/>
      <c r="AA939" s="12"/>
      <c r="AB939" s="12"/>
      <c r="AC939" s="12"/>
      <c r="AD939" s="12"/>
    </row>
    <row r="940" spans="1:30" x14ac:dyDescent="0.35">
      <c r="A940" s="39" t="s">
        <v>97</v>
      </c>
      <c r="B940" s="35" t="s">
        <v>22</v>
      </c>
      <c r="C940" s="36" t="s">
        <v>41</v>
      </c>
      <c r="D940" s="24">
        <v>94.0238322171205</v>
      </c>
      <c r="E940" s="24">
        <v>99.054185358421918</v>
      </c>
      <c r="F940" s="24">
        <v>104.38078297068758</v>
      </c>
      <c r="G940" s="24">
        <v>110.05457417840708</v>
      </c>
      <c r="H940" s="24">
        <v>116.13710558394895</v>
      </c>
      <c r="I940" s="24">
        <v>122.63750029972377</v>
      </c>
      <c r="J940" s="24">
        <v>129.53570397673198</v>
      </c>
      <c r="K940" s="24">
        <v>136.93803050690667</v>
      </c>
      <c r="L940" s="24">
        <v>144.97625499999751</v>
      </c>
      <c r="M940" s="24">
        <v>153.57966330966761</v>
      </c>
      <c r="N940" s="24">
        <v>162.89739412711097</v>
      </c>
      <c r="O940" s="24">
        <v>172.94827071798269</v>
      </c>
      <c r="P940" s="24">
        <v>183.80288383153251</v>
      </c>
      <c r="Q940" s="14"/>
      <c r="R940" s="14"/>
      <c r="S940" s="12"/>
      <c r="T940" s="12"/>
      <c r="U940" s="12"/>
      <c r="V940" s="12"/>
      <c r="W940" s="12"/>
      <c r="X940" s="12"/>
      <c r="Y940" s="12"/>
      <c r="Z940" s="12"/>
      <c r="AA940" s="12"/>
      <c r="AB940" s="12"/>
      <c r="AC940" s="12"/>
      <c r="AD940" s="12"/>
    </row>
    <row r="941" spans="1:30" x14ac:dyDescent="0.35">
      <c r="A941" s="39" t="s">
        <v>97</v>
      </c>
      <c r="B941" s="35" t="s">
        <v>22</v>
      </c>
      <c r="C941" s="36" t="s">
        <v>42</v>
      </c>
      <c r="D941" s="24">
        <v>153.57012952884409</v>
      </c>
      <c r="E941" s="24">
        <v>164.61864648582568</v>
      </c>
      <c r="F941" s="24">
        <v>176.62200074297138</v>
      </c>
      <c r="G941" s="24">
        <v>189.6129139475855</v>
      </c>
      <c r="H941" s="24">
        <v>203.62965660272931</v>
      </c>
      <c r="I941" s="24">
        <v>218.82550050814646</v>
      </c>
      <c r="J941" s="24">
        <v>235.4909997025361</v>
      </c>
      <c r="K941" s="24">
        <v>253.64967714253063</v>
      </c>
      <c r="L941" s="24">
        <v>273.54160489161274</v>
      </c>
      <c r="M941" s="24">
        <v>295.27241854260416</v>
      </c>
      <c r="N941" s="24">
        <v>318.93533982152138</v>
      </c>
      <c r="O941" s="24">
        <v>344.95257816900443</v>
      </c>
      <c r="P941" s="24">
        <v>373.60764088673039</v>
      </c>
      <c r="Q941" s="14"/>
      <c r="R941" s="14"/>
      <c r="S941" s="12"/>
      <c r="T941" s="12"/>
      <c r="U941" s="12"/>
      <c r="V941" s="12"/>
      <c r="W941" s="12"/>
      <c r="X941" s="12"/>
      <c r="Y941" s="12"/>
      <c r="Z941" s="12"/>
      <c r="AA941" s="12"/>
      <c r="AB941" s="12"/>
      <c r="AC941" s="12"/>
      <c r="AD941" s="12"/>
    </row>
    <row r="942" spans="1:30" x14ac:dyDescent="0.35">
      <c r="A942" s="39" t="s">
        <v>98</v>
      </c>
      <c r="B942" s="35" t="s">
        <v>24</v>
      </c>
      <c r="C942" s="36" t="s">
        <v>25</v>
      </c>
      <c r="D942" s="24">
        <v>3.1521888111064507</v>
      </c>
      <c r="E942" s="24">
        <v>3.2042939116260301</v>
      </c>
      <c r="F942" s="24">
        <v>3.2654499260700112</v>
      </c>
      <c r="G942" s="24">
        <v>3.3287491034837791</v>
      </c>
      <c r="H942" s="24">
        <v>3.3950928757163275</v>
      </c>
      <c r="I942" s="24">
        <v>3.4663236064727259</v>
      </c>
      <c r="J942" s="24">
        <v>3.5450266121958491</v>
      </c>
      <c r="K942" s="24">
        <v>3.6334891216398084</v>
      </c>
      <c r="L942" s="24">
        <v>3.7275432657065606</v>
      </c>
      <c r="M942" s="24">
        <v>3.8275735594257347</v>
      </c>
      <c r="N942" s="24">
        <v>3.9377820918002051</v>
      </c>
      <c r="O942" s="24">
        <v>4.0591865906679327</v>
      </c>
      <c r="P942" s="24">
        <v>4.1929399123523554</v>
      </c>
      <c r="Q942" s="14"/>
      <c r="R942" s="14"/>
      <c r="S942" s="12"/>
      <c r="T942" s="12"/>
      <c r="U942" s="12"/>
      <c r="V942" s="12"/>
      <c r="W942" s="12"/>
      <c r="X942" s="12"/>
      <c r="Y942" s="12"/>
      <c r="Z942" s="12"/>
      <c r="AA942" s="12"/>
      <c r="AB942" s="12"/>
      <c r="AC942" s="12"/>
      <c r="AD942" s="12"/>
    </row>
    <row r="943" spans="1:30" x14ac:dyDescent="0.35">
      <c r="A943" s="39" t="s">
        <v>98</v>
      </c>
      <c r="B943" s="35" t="s">
        <v>24</v>
      </c>
      <c r="C943" s="36" t="s">
        <v>26</v>
      </c>
      <c r="D943" s="24">
        <v>34.189331454818841</v>
      </c>
      <c r="E943" s="24">
        <v>35.137856360271343</v>
      </c>
      <c r="F943" s="24">
        <v>36.146839504939486</v>
      </c>
      <c r="G943" s="24">
        <v>37.207782777444706</v>
      </c>
      <c r="H943" s="24">
        <v>38.313664811216441</v>
      </c>
      <c r="I943" s="24">
        <v>39.479310801896034</v>
      </c>
      <c r="J943" s="24">
        <v>40.74097933171133</v>
      </c>
      <c r="K943" s="24">
        <v>42.081712747483841</v>
      </c>
      <c r="L943" s="24">
        <v>43.521820482861884</v>
      </c>
      <c r="M943" s="24">
        <v>45.055586229572341</v>
      </c>
      <c r="N943" s="24">
        <v>46.674800577189615</v>
      </c>
      <c r="O943" s="24">
        <v>48.419230957626219</v>
      </c>
      <c r="P943" s="24">
        <v>50.30121054090138</v>
      </c>
      <c r="Q943" s="14"/>
      <c r="R943" s="14"/>
      <c r="S943" s="12"/>
      <c r="T943" s="12"/>
      <c r="U943" s="12"/>
      <c r="V943" s="12"/>
      <c r="W943" s="12"/>
      <c r="X943" s="12"/>
      <c r="Y943" s="12"/>
      <c r="Z943" s="12"/>
      <c r="AA943" s="12"/>
      <c r="AB943" s="12"/>
      <c r="AC943" s="12"/>
      <c r="AD943" s="12"/>
    </row>
    <row r="944" spans="1:30" x14ac:dyDescent="0.35">
      <c r="A944" s="39" t="s">
        <v>98</v>
      </c>
      <c r="B944" s="35" t="s">
        <v>27</v>
      </c>
      <c r="C944" s="36" t="s">
        <v>28</v>
      </c>
      <c r="D944" s="24">
        <v>12.657786936737214</v>
      </c>
      <c r="E944" s="24">
        <v>12.921712335099944</v>
      </c>
      <c r="F944" s="24">
        <v>13.170837604282717</v>
      </c>
      <c r="G944" s="24">
        <v>13.433843607907534</v>
      </c>
      <c r="H944" s="24">
        <v>13.697156024388725</v>
      </c>
      <c r="I944" s="24">
        <v>13.968366244319419</v>
      </c>
      <c r="J944" s="24">
        <v>14.28484583625448</v>
      </c>
      <c r="K944" s="24">
        <v>14.605776154032505</v>
      </c>
      <c r="L944" s="24">
        <v>14.955260473652586</v>
      </c>
      <c r="M944" s="24">
        <v>15.319748239208032</v>
      </c>
      <c r="N944" s="24">
        <v>15.68173354621922</v>
      </c>
      <c r="O944" s="24">
        <v>16.076215768297487</v>
      </c>
      <c r="P944" s="24">
        <v>16.499687561203551</v>
      </c>
      <c r="Q944" s="14"/>
      <c r="R944" s="14"/>
      <c r="S944" s="12"/>
      <c r="T944" s="12"/>
      <c r="U944" s="12"/>
      <c r="V944" s="12"/>
      <c r="W944" s="12"/>
      <c r="X944" s="12"/>
      <c r="Y944" s="12"/>
      <c r="Z944" s="12"/>
      <c r="AA944" s="12"/>
      <c r="AB944" s="12"/>
      <c r="AC944" s="12"/>
      <c r="AD944" s="12"/>
    </row>
    <row r="945" spans="1:30" x14ac:dyDescent="0.35">
      <c r="A945" s="39" t="s">
        <v>98</v>
      </c>
      <c r="B945" s="35" t="s">
        <v>27</v>
      </c>
      <c r="C945" s="36" t="s">
        <v>29</v>
      </c>
      <c r="D945" s="24">
        <v>8.5397740700586624</v>
      </c>
      <c r="E945" s="24">
        <v>8.8440934569027139</v>
      </c>
      <c r="F945" s="24">
        <v>9.180553111611232</v>
      </c>
      <c r="G945" s="24">
        <v>9.535089632860192</v>
      </c>
      <c r="H945" s="24">
        <v>9.9100008264152262</v>
      </c>
      <c r="I945" s="24">
        <v>10.304659604591901</v>
      </c>
      <c r="J945" s="24">
        <v>10.718322158688851</v>
      </c>
      <c r="K945" s="24">
        <v>11.154037809242455</v>
      </c>
      <c r="L945" s="24">
        <v>11.619147619683702</v>
      </c>
      <c r="M945" s="24">
        <v>12.119560089405065</v>
      </c>
      <c r="N945" s="24">
        <v>12.651883815450919</v>
      </c>
      <c r="O945" s="24">
        <v>13.214979779604024</v>
      </c>
      <c r="P945" s="24">
        <v>13.815009470413328</v>
      </c>
      <c r="Q945" s="14"/>
      <c r="R945" s="14"/>
      <c r="S945" s="12"/>
      <c r="T945" s="12"/>
      <c r="U945" s="12"/>
      <c r="V945" s="12"/>
      <c r="W945" s="12"/>
      <c r="X945" s="12"/>
      <c r="Y945" s="12"/>
      <c r="Z945" s="12"/>
      <c r="AA945" s="12"/>
      <c r="AB945" s="12"/>
      <c r="AC945" s="12"/>
      <c r="AD945" s="12"/>
    </row>
    <row r="946" spans="1:30" x14ac:dyDescent="0.35">
      <c r="A946" s="39" t="s">
        <v>98</v>
      </c>
      <c r="B946" s="35" t="s">
        <v>27</v>
      </c>
      <c r="C946" s="36" t="s">
        <v>30</v>
      </c>
      <c r="D946" s="24">
        <v>6.1026960137055219</v>
      </c>
      <c r="E946" s="24">
        <v>6.3355162035799353</v>
      </c>
      <c r="F946" s="24">
        <v>6.5905669833269176</v>
      </c>
      <c r="G946" s="24">
        <v>6.8564676725403135</v>
      </c>
      <c r="H946" s="24">
        <v>7.1363684402341967</v>
      </c>
      <c r="I946" s="24">
        <v>7.4342096710572649</v>
      </c>
      <c r="J946" s="24">
        <v>7.7503114232634447</v>
      </c>
      <c r="K946" s="24">
        <v>8.101296104859685</v>
      </c>
      <c r="L946" s="24">
        <v>8.4748714965109162</v>
      </c>
      <c r="M946" s="24">
        <v>8.8764453505196226</v>
      </c>
      <c r="N946" s="24">
        <v>9.312623871800616</v>
      </c>
      <c r="O946" s="24">
        <v>9.7872411357981637</v>
      </c>
      <c r="P946" s="24">
        <v>10.304645018419695</v>
      </c>
      <c r="Q946" s="14"/>
      <c r="R946" s="14"/>
      <c r="S946" s="12"/>
      <c r="T946" s="12"/>
      <c r="U946" s="12"/>
      <c r="V946" s="12"/>
      <c r="W946" s="12"/>
      <c r="X946" s="12"/>
      <c r="Y946" s="12"/>
      <c r="Z946" s="12"/>
      <c r="AA946" s="12"/>
      <c r="AB946" s="12"/>
      <c r="AC946" s="12"/>
      <c r="AD946" s="12"/>
    </row>
    <row r="947" spans="1:30" x14ac:dyDescent="0.35">
      <c r="A947" s="39" t="s">
        <v>98</v>
      </c>
      <c r="B947" s="35" t="s">
        <v>27</v>
      </c>
      <c r="C947" s="36" t="s">
        <v>31</v>
      </c>
      <c r="D947" s="24">
        <v>4.6753098668401618</v>
      </c>
      <c r="E947" s="24">
        <v>4.7960584000977677</v>
      </c>
      <c r="F947" s="24">
        <v>4.9321833912882713</v>
      </c>
      <c r="G947" s="24">
        <v>5.0736460803709944</v>
      </c>
      <c r="H947" s="24">
        <v>5.221936462403983</v>
      </c>
      <c r="I947" s="24">
        <v>5.3800438058906082</v>
      </c>
      <c r="J947" s="24">
        <v>5.5522163582433519</v>
      </c>
      <c r="K947" s="24">
        <v>5.7423853857375464</v>
      </c>
      <c r="L947" s="24">
        <v>5.9444162127113325</v>
      </c>
      <c r="M947" s="24">
        <v>6.1592027343192521</v>
      </c>
      <c r="N947" s="24">
        <v>6.393808927701448</v>
      </c>
      <c r="O947" s="24">
        <v>6.6503778726862217</v>
      </c>
      <c r="P947" s="24">
        <v>6.931341740745248</v>
      </c>
      <c r="Q947" s="14"/>
      <c r="R947" s="14"/>
      <c r="S947" s="12"/>
      <c r="T947" s="12"/>
      <c r="U947" s="12"/>
      <c r="V947" s="12"/>
      <c r="W947" s="12"/>
      <c r="X947" s="12"/>
      <c r="Y947" s="12"/>
      <c r="Z947" s="12"/>
      <c r="AA947" s="12"/>
      <c r="AB947" s="12"/>
      <c r="AC947" s="12"/>
      <c r="AD947" s="12"/>
    </row>
    <row r="948" spans="1:30" x14ac:dyDescent="0.35">
      <c r="A948" s="39" t="s">
        <v>98</v>
      </c>
      <c r="B948" s="35" t="s">
        <v>27</v>
      </c>
      <c r="C948" s="36" t="s">
        <v>32</v>
      </c>
      <c r="D948" s="24">
        <v>3.5198915052413957</v>
      </c>
      <c r="E948" s="24">
        <v>3.5585098870975953</v>
      </c>
      <c r="F948" s="24">
        <v>3.6062201663019504</v>
      </c>
      <c r="G948" s="24">
        <v>3.6573132836729165</v>
      </c>
      <c r="H948" s="24">
        <v>3.7120794341370162</v>
      </c>
      <c r="I948" s="24">
        <v>3.7722625067628148</v>
      </c>
      <c r="J948" s="24">
        <v>3.8362787675499597</v>
      </c>
      <c r="K948" s="24">
        <v>3.9057086053338108</v>
      </c>
      <c r="L948" s="24">
        <v>3.9824773751083189</v>
      </c>
      <c r="M948" s="24">
        <v>4.0639498435484365</v>
      </c>
      <c r="N948" s="24">
        <v>4.1521025191185776</v>
      </c>
      <c r="O948" s="24">
        <v>4.2474447698658162</v>
      </c>
      <c r="P948" s="24">
        <v>4.3524297620235091</v>
      </c>
      <c r="Q948" s="21"/>
      <c r="R948" s="21"/>
      <c r="S948" s="12"/>
      <c r="T948" s="12"/>
      <c r="U948" s="12"/>
      <c r="V948" s="12"/>
      <c r="W948" s="12"/>
      <c r="X948" s="12"/>
      <c r="Y948" s="12"/>
      <c r="Z948" s="12"/>
      <c r="AA948" s="12"/>
      <c r="AB948" s="12"/>
      <c r="AC948" s="12"/>
      <c r="AD948" s="12"/>
    </row>
    <row r="949" spans="1:30" x14ac:dyDescent="0.35">
      <c r="A949" s="39" t="s">
        <v>98</v>
      </c>
      <c r="B949" s="35" t="s">
        <v>27</v>
      </c>
      <c r="C949" s="36" t="s">
        <v>33</v>
      </c>
      <c r="D949" s="24">
        <v>1.8460618733423333</v>
      </c>
      <c r="E949" s="24">
        <v>1.8862599891194174</v>
      </c>
      <c r="F949" s="24">
        <v>1.9319281741984127</v>
      </c>
      <c r="G949" s="24">
        <v>1.9801716035765367</v>
      </c>
      <c r="H949" s="24">
        <v>2.0312164993536266</v>
      </c>
      <c r="I949" s="24">
        <v>2.0860925757467559</v>
      </c>
      <c r="J949" s="24">
        <v>2.1440313999070888</v>
      </c>
      <c r="K949" s="24">
        <v>2.2059978099176485</v>
      </c>
      <c r="L949" s="24">
        <v>2.2731905709015874</v>
      </c>
      <c r="M949" s="24">
        <v>2.3442535319976736</v>
      </c>
      <c r="N949" s="24">
        <v>2.4204299886990324</v>
      </c>
      <c r="O949" s="24">
        <v>2.5021582220424405</v>
      </c>
      <c r="P949" s="24">
        <v>2.5910369004484064</v>
      </c>
      <c r="Q949" s="21"/>
      <c r="R949" s="21"/>
      <c r="S949" s="12"/>
      <c r="T949" s="12"/>
      <c r="U949" s="12"/>
      <c r="V949" s="12"/>
      <c r="W949" s="12"/>
      <c r="X949" s="12"/>
      <c r="Y949" s="12"/>
      <c r="Z949" s="12"/>
      <c r="AA949" s="12"/>
      <c r="AB949" s="12"/>
      <c r="AC949" s="12"/>
      <c r="AD949" s="12"/>
    </row>
    <row r="950" spans="1:30" x14ac:dyDescent="0.35">
      <c r="A950" s="39" t="s">
        <v>98</v>
      </c>
      <c r="B950" s="35" t="s">
        <v>34</v>
      </c>
      <c r="C950" s="36" t="s">
        <v>35</v>
      </c>
      <c r="D950" s="24">
        <v>12.320308124175924</v>
      </c>
      <c r="E950" s="24">
        <v>12.531077367470697</v>
      </c>
      <c r="F950" s="24">
        <v>12.759572716799845</v>
      </c>
      <c r="G950" s="24">
        <v>13.000920744705105</v>
      </c>
      <c r="H950" s="24">
        <v>13.238359689832464</v>
      </c>
      <c r="I950" s="24">
        <v>13.484759083586116</v>
      </c>
      <c r="J950" s="24">
        <v>13.777773826067261</v>
      </c>
      <c r="K950" s="24">
        <v>14.081333896006992</v>
      </c>
      <c r="L950" s="24">
        <v>14.404673951882792</v>
      </c>
      <c r="M950" s="24">
        <v>14.756290056895246</v>
      </c>
      <c r="N950" s="24">
        <v>15.100756262123767</v>
      </c>
      <c r="O950" s="24">
        <v>15.476994376110795</v>
      </c>
      <c r="P950" s="24">
        <v>15.888504257034654</v>
      </c>
      <c r="Q950" s="21"/>
      <c r="R950" s="21"/>
      <c r="S950" s="12"/>
      <c r="T950" s="12"/>
      <c r="U950" s="12"/>
      <c r="V950" s="12"/>
      <c r="W950" s="12"/>
      <c r="X950" s="12"/>
      <c r="Y950" s="12"/>
      <c r="Z950" s="12"/>
      <c r="AA950" s="12"/>
      <c r="AB950" s="12"/>
      <c r="AC950" s="12"/>
      <c r="AD950" s="12"/>
    </row>
    <row r="951" spans="1:30" x14ac:dyDescent="0.35">
      <c r="A951" s="39" t="s">
        <v>98</v>
      </c>
      <c r="B951" s="35" t="s">
        <v>34</v>
      </c>
      <c r="C951" s="36" t="s">
        <v>36</v>
      </c>
      <c r="D951" s="24">
        <v>13.329917443006016</v>
      </c>
      <c r="E951" s="24">
        <v>13.823879726635433</v>
      </c>
      <c r="F951" s="24">
        <v>14.339930936153383</v>
      </c>
      <c r="G951" s="24">
        <v>14.883593548103965</v>
      </c>
      <c r="H951" s="24">
        <v>15.461436474545977</v>
      </c>
      <c r="I951" s="24">
        <v>16.072589395070548</v>
      </c>
      <c r="J951" s="24">
        <v>16.712351813755919</v>
      </c>
      <c r="K951" s="24">
        <v>17.392559597479462</v>
      </c>
      <c r="L951" s="24">
        <v>18.127491896247143</v>
      </c>
      <c r="M951" s="24">
        <v>18.905150467216899</v>
      </c>
      <c r="N951" s="24">
        <v>19.741252994948702</v>
      </c>
      <c r="O951" s="24">
        <v>20.634672876928693</v>
      </c>
      <c r="P951" s="24">
        <v>21.590430257416305</v>
      </c>
      <c r="Q951" s="21"/>
      <c r="R951" s="21"/>
      <c r="S951" s="12"/>
      <c r="T951" s="12"/>
      <c r="U951" s="12"/>
      <c r="V951" s="12"/>
      <c r="W951" s="12"/>
      <c r="X951" s="12"/>
      <c r="Y951" s="12"/>
      <c r="Z951" s="12"/>
      <c r="AA951" s="12"/>
      <c r="AB951" s="12"/>
      <c r="AC951" s="12"/>
      <c r="AD951" s="12"/>
    </row>
    <row r="952" spans="1:30" x14ac:dyDescent="0.35">
      <c r="A952" s="39" t="s">
        <v>98</v>
      </c>
      <c r="B952" s="35" t="s">
        <v>34</v>
      </c>
      <c r="C952" s="36" t="s">
        <v>37</v>
      </c>
      <c r="D952" s="24">
        <v>8.0797362343545096</v>
      </c>
      <c r="E952" s="24">
        <v>8.2887266517583029</v>
      </c>
      <c r="F952" s="24">
        <v>8.5243073793802218</v>
      </c>
      <c r="G952" s="24">
        <v>8.7691314424247402</v>
      </c>
      <c r="H952" s="24">
        <v>9.0257751634522521</v>
      </c>
      <c r="I952" s="24">
        <v>9.2994066529854962</v>
      </c>
      <c r="J952" s="24">
        <v>9.5973709521525432</v>
      </c>
      <c r="K952" s="24">
        <v>9.9264662929284366</v>
      </c>
      <c r="L952" s="24">
        <v>10.276091633006041</v>
      </c>
      <c r="M952" s="24">
        <v>10.647794589423304</v>
      </c>
      <c r="N952" s="24">
        <v>11.053789614905515</v>
      </c>
      <c r="O952" s="24">
        <v>11.497785624118833</v>
      </c>
      <c r="P952" s="24">
        <v>11.983991895042072</v>
      </c>
      <c r="Q952" s="21"/>
      <c r="R952" s="21"/>
      <c r="S952" s="12"/>
      <c r="T952" s="12"/>
      <c r="U952" s="12"/>
      <c r="V952" s="12"/>
      <c r="W952" s="12"/>
      <c r="X952" s="12"/>
      <c r="Y952" s="12"/>
      <c r="Z952" s="12"/>
      <c r="AA952" s="12"/>
      <c r="AB952" s="12"/>
      <c r="AC952" s="12"/>
      <c r="AD952" s="12"/>
    </row>
    <row r="953" spans="1:30" x14ac:dyDescent="0.35">
      <c r="A953" s="39" t="s">
        <v>98</v>
      </c>
      <c r="B953" s="35" t="s">
        <v>34</v>
      </c>
      <c r="C953" s="36" t="s">
        <v>38</v>
      </c>
      <c r="D953" s="24">
        <v>3.6115584643888434</v>
      </c>
      <c r="E953" s="24">
        <v>3.6984665260329401</v>
      </c>
      <c r="F953" s="24">
        <v>3.78847839867605</v>
      </c>
      <c r="G953" s="24">
        <v>3.8828861456946768</v>
      </c>
      <c r="H953" s="24">
        <v>3.9831863591020795</v>
      </c>
      <c r="I953" s="24">
        <v>4.0888792767266002</v>
      </c>
      <c r="J953" s="24">
        <v>4.198509351931456</v>
      </c>
      <c r="K953" s="24">
        <v>4.3148420827087541</v>
      </c>
      <c r="L953" s="24">
        <v>4.4411062674324677</v>
      </c>
      <c r="M953" s="24">
        <v>4.5739246754626244</v>
      </c>
      <c r="N953" s="24">
        <v>4.7167837970118347</v>
      </c>
      <c r="O953" s="24">
        <v>4.8689646711358359</v>
      </c>
      <c r="P953" s="24">
        <v>5.0312240437607052</v>
      </c>
      <c r="Q953" s="21"/>
      <c r="R953" s="21"/>
      <c r="S953" s="12"/>
      <c r="T953" s="12"/>
      <c r="U953" s="12"/>
      <c r="V953" s="12"/>
      <c r="W953" s="12"/>
      <c r="X953" s="12"/>
      <c r="Y953" s="12"/>
      <c r="Z953" s="12"/>
      <c r="AA953" s="12"/>
      <c r="AB953" s="12"/>
      <c r="AC953" s="12"/>
      <c r="AD953" s="12"/>
    </row>
    <row r="954" spans="1:30" x14ac:dyDescent="0.35">
      <c r="A954" s="39" t="s">
        <v>98</v>
      </c>
      <c r="B954" s="35" t="s">
        <v>22</v>
      </c>
      <c r="C954" s="36" t="s">
        <v>39</v>
      </c>
      <c r="D954" s="24">
        <v>9.6204593313185143</v>
      </c>
      <c r="E954" s="24">
        <v>9.9392954394009081</v>
      </c>
      <c r="F954" s="24">
        <v>10.274745760790378</v>
      </c>
      <c r="G954" s="24">
        <v>10.627896179209856</v>
      </c>
      <c r="H954" s="24">
        <v>10.977745023200704</v>
      </c>
      <c r="I954" s="24">
        <v>11.334750961472238</v>
      </c>
      <c r="J954" s="24">
        <v>11.740025238755003</v>
      </c>
      <c r="K954" s="24">
        <v>12.147930786717019</v>
      </c>
      <c r="L954" s="24">
        <v>12.582301136309773</v>
      </c>
      <c r="M954" s="24">
        <v>13.049139097211217</v>
      </c>
      <c r="N954" s="24">
        <v>13.508512389925755</v>
      </c>
      <c r="O954" s="24">
        <v>14.010287912608973</v>
      </c>
      <c r="P954" s="24">
        <v>14.551776215879912</v>
      </c>
      <c r="Q954" s="21"/>
      <c r="R954" s="21"/>
      <c r="S954" s="12"/>
      <c r="T954" s="12"/>
      <c r="U954" s="12"/>
      <c r="V954" s="12"/>
      <c r="W954" s="12"/>
      <c r="X954" s="12"/>
      <c r="Y954" s="12"/>
      <c r="Z954" s="12"/>
      <c r="AA954" s="12"/>
      <c r="AB954" s="12"/>
      <c r="AC954" s="12"/>
      <c r="AD954" s="12"/>
    </row>
    <row r="955" spans="1:30" x14ac:dyDescent="0.35">
      <c r="A955" s="39" t="s">
        <v>98</v>
      </c>
      <c r="B955" s="35" t="s">
        <v>22</v>
      </c>
      <c r="C955" s="36" t="s">
        <v>40</v>
      </c>
      <c r="D955" s="24">
        <v>9.9134938709526761</v>
      </c>
      <c r="E955" s="24">
        <v>10.156492066094691</v>
      </c>
      <c r="F955" s="24">
        <v>10.408226971530015</v>
      </c>
      <c r="G955" s="24">
        <v>10.67225970808553</v>
      </c>
      <c r="H955" s="24">
        <v>10.952719768588546</v>
      </c>
      <c r="I955" s="24">
        <v>11.248254391782575</v>
      </c>
      <c r="J955" s="24">
        <v>11.55487912492077</v>
      </c>
      <c r="K955" s="24">
        <v>11.880219441838793</v>
      </c>
      <c r="L955" s="24">
        <v>12.233189725867364</v>
      </c>
      <c r="M955" s="24">
        <v>12.604523303650408</v>
      </c>
      <c r="N955" s="24">
        <v>13.003851921776601</v>
      </c>
      <c r="O955" s="24">
        <v>13.429229900668682</v>
      </c>
      <c r="P955" s="24">
        <v>13.882778323057481</v>
      </c>
      <c r="Q955" s="21"/>
      <c r="R955" s="21"/>
      <c r="S955" s="12"/>
      <c r="T955" s="12"/>
      <c r="U955" s="12"/>
      <c r="V955" s="12"/>
      <c r="W955" s="12"/>
      <c r="X955" s="12"/>
      <c r="Y955" s="12"/>
      <c r="Z955" s="12"/>
      <c r="AA955" s="12"/>
      <c r="AB955" s="12"/>
      <c r="AC955" s="12"/>
      <c r="AD955" s="12"/>
    </row>
    <row r="956" spans="1:30" x14ac:dyDescent="0.35">
      <c r="A956" s="39" t="s">
        <v>98</v>
      </c>
      <c r="B956" s="35" t="s">
        <v>22</v>
      </c>
      <c r="C956" s="36" t="s">
        <v>41</v>
      </c>
      <c r="D956" s="24">
        <v>7.4398155547416831</v>
      </c>
      <c r="E956" s="24">
        <v>7.532824537655352</v>
      </c>
      <c r="F956" s="24">
        <v>7.6462488828095765</v>
      </c>
      <c r="G956" s="24">
        <v>7.7636663694385932</v>
      </c>
      <c r="H956" s="24">
        <v>7.8871260785989863</v>
      </c>
      <c r="I956" s="24">
        <v>8.0208301933304629</v>
      </c>
      <c r="J956" s="24">
        <v>8.1706331411509527</v>
      </c>
      <c r="K956" s="24">
        <v>8.3416091760358082</v>
      </c>
      <c r="L956" s="24">
        <v>8.5239321719300847</v>
      </c>
      <c r="M956" s="24">
        <v>8.7183387676321438</v>
      </c>
      <c r="N956" s="24">
        <v>8.9342485735453288</v>
      </c>
      <c r="O956" s="24">
        <v>9.1737077103673617</v>
      </c>
      <c r="P956" s="24">
        <v>9.439034005285043</v>
      </c>
      <c r="Q956" s="21"/>
      <c r="R956" s="21"/>
      <c r="S956" s="12"/>
      <c r="T956" s="12"/>
      <c r="U956" s="12"/>
      <c r="V956" s="12"/>
      <c r="W956" s="12"/>
      <c r="X956" s="12"/>
      <c r="Y956" s="12"/>
      <c r="Z956" s="12"/>
      <c r="AA956" s="12"/>
      <c r="AB956" s="12"/>
      <c r="AC956" s="12"/>
      <c r="AD956" s="12"/>
    </row>
    <row r="957" spans="1:30" x14ac:dyDescent="0.35">
      <c r="A957" s="39" t="s">
        <v>98</v>
      </c>
      <c r="B957" s="35" t="s">
        <v>22</v>
      </c>
      <c r="C957" s="36" t="s">
        <v>42</v>
      </c>
      <c r="D957" s="24">
        <v>10.367751508912415</v>
      </c>
      <c r="E957" s="24">
        <v>10.713538228746422</v>
      </c>
      <c r="F957" s="24">
        <v>11.083067815879527</v>
      </c>
      <c r="G957" s="24">
        <v>11.472709624194508</v>
      </c>
      <c r="H957" s="24">
        <v>11.891166816544532</v>
      </c>
      <c r="I957" s="24">
        <v>12.341798861783486</v>
      </c>
      <c r="J957" s="24">
        <v>12.820468439080454</v>
      </c>
      <c r="K957" s="24">
        <v>13.345442464532027</v>
      </c>
      <c r="L957" s="24">
        <v>13.909940714461223</v>
      </c>
      <c r="M957" s="24">
        <v>14.511158620504313</v>
      </c>
      <c r="N957" s="24">
        <v>15.165969783742131</v>
      </c>
      <c r="O957" s="24">
        <v>15.865192024649135</v>
      </c>
      <c r="P957" s="24">
        <v>16.620561909031299</v>
      </c>
      <c r="Q957" s="21"/>
      <c r="R957" s="21"/>
      <c r="S957" s="12"/>
      <c r="T957" s="12"/>
      <c r="U957" s="12"/>
      <c r="V957" s="12"/>
      <c r="W957" s="12"/>
      <c r="X957" s="12"/>
      <c r="Y957" s="12"/>
      <c r="Z957" s="12"/>
      <c r="AA957" s="12"/>
      <c r="AB957" s="12"/>
      <c r="AC957" s="12"/>
      <c r="AD957" s="12"/>
    </row>
    <row r="958" spans="1:30" x14ac:dyDescent="0.35">
      <c r="B958" s="17"/>
      <c r="C958" s="18"/>
      <c r="D958"/>
      <c r="E958"/>
      <c r="F958"/>
      <c r="G958"/>
      <c r="H958"/>
      <c r="I958"/>
      <c r="J958"/>
      <c r="K958"/>
      <c r="Q958" s="21"/>
      <c r="R958" s="21"/>
      <c r="S958" s="12"/>
      <c r="T958" s="12"/>
      <c r="U958" s="12"/>
      <c r="V958" s="12"/>
      <c r="W958" s="12"/>
      <c r="X958" s="12"/>
      <c r="Y958" s="12"/>
      <c r="Z958" s="12"/>
      <c r="AA958" s="12"/>
      <c r="AB958" s="12"/>
      <c r="AC958" s="12"/>
      <c r="AD958" s="12"/>
    </row>
    <row r="959" spans="1:30" x14ac:dyDescent="0.35">
      <c r="B959" s="17"/>
      <c r="C959" s="18"/>
      <c r="D959"/>
      <c r="E959"/>
      <c r="F959"/>
      <c r="G959"/>
      <c r="H959"/>
      <c r="I959"/>
      <c r="J959"/>
      <c r="K959"/>
      <c r="Q959" s="21"/>
      <c r="R959" s="21"/>
      <c r="S959" s="12"/>
      <c r="T959" s="12"/>
      <c r="U959" s="12"/>
      <c r="V959" s="12"/>
      <c r="W959" s="12"/>
      <c r="X959" s="12"/>
      <c r="Y959" s="12"/>
      <c r="Z959" s="12"/>
      <c r="AA959" s="12"/>
      <c r="AB959" s="12"/>
      <c r="AC959" s="12"/>
      <c r="AD959" s="12"/>
    </row>
    <row r="960" spans="1:30" x14ac:dyDescent="0.35">
      <c r="B960" s="17"/>
      <c r="C960" s="18"/>
      <c r="D960"/>
      <c r="E960"/>
      <c r="F960"/>
      <c r="G960"/>
      <c r="H960"/>
      <c r="I960"/>
      <c r="J960"/>
      <c r="K960"/>
      <c r="Q960" s="21"/>
      <c r="R960" s="21"/>
      <c r="S960" s="12"/>
      <c r="T960" s="12"/>
      <c r="U960" s="12"/>
      <c r="V960" s="12"/>
      <c r="W960" s="12"/>
      <c r="X960" s="12"/>
      <c r="Y960" s="12"/>
      <c r="Z960" s="12"/>
      <c r="AA960" s="12"/>
      <c r="AB960" s="12"/>
      <c r="AC960" s="12"/>
      <c r="AD960" s="12"/>
    </row>
    <row r="961" spans="2:30" x14ac:dyDescent="0.35">
      <c r="B961" s="17"/>
      <c r="C961" s="18"/>
      <c r="D961"/>
      <c r="E961"/>
      <c r="F961"/>
      <c r="G961"/>
      <c r="H961"/>
      <c r="I961"/>
      <c r="J961"/>
      <c r="K961"/>
      <c r="Q961" s="21"/>
      <c r="R961" s="21"/>
      <c r="S961" s="12"/>
      <c r="T961" s="12"/>
      <c r="U961" s="12"/>
      <c r="V961" s="12"/>
      <c r="W961" s="12"/>
      <c r="X961" s="12"/>
      <c r="Y961" s="12"/>
      <c r="Z961" s="12"/>
      <c r="AA961" s="12"/>
      <c r="AB961" s="12"/>
      <c r="AC961" s="12"/>
      <c r="AD961" s="12"/>
    </row>
    <row r="962" spans="2:30" x14ac:dyDescent="0.35">
      <c r="B962" s="17"/>
      <c r="C962" s="18"/>
      <c r="D962"/>
      <c r="E962"/>
      <c r="F962"/>
      <c r="G962"/>
      <c r="H962"/>
      <c r="I962"/>
      <c r="J962"/>
      <c r="K962"/>
      <c r="Q962" s="21"/>
      <c r="R962" s="21"/>
      <c r="S962" s="12"/>
      <c r="T962" s="12"/>
      <c r="U962" s="12"/>
      <c r="V962" s="12"/>
      <c r="W962" s="12"/>
      <c r="X962" s="12"/>
      <c r="Y962" s="12"/>
      <c r="Z962" s="12"/>
      <c r="AA962" s="12"/>
      <c r="AB962" s="12"/>
      <c r="AC962" s="12"/>
      <c r="AD962" s="12"/>
    </row>
    <row r="963" spans="2:30" x14ac:dyDescent="0.35">
      <c r="B963" s="17"/>
      <c r="C963" s="18"/>
      <c r="D963"/>
      <c r="E963"/>
      <c r="F963"/>
      <c r="G963"/>
      <c r="H963"/>
      <c r="I963"/>
      <c r="J963"/>
      <c r="K963"/>
      <c r="Q963" s="21"/>
      <c r="R963" s="21"/>
      <c r="S963" s="12"/>
      <c r="T963" s="12"/>
      <c r="U963" s="12"/>
      <c r="V963" s="12"/>
      <c r="W963" s="12"/>
      <c r="X963" s="12"/>
      <c r="Y963" s="12"/>
      <c r="Z963" s="12"/>
      <c r="AA963" s="12"/>
      <c r="AB963" s="12"/>
      <c r="AC963" s="12"/>
      <c r="AD963" s="12"/>
    </row>
    <row r="964" spans="2:30" x14ac:dyDescent="0.35">
      <c r="B964" s="17"/>
      <c r="C964" s="18"/>
      <c r="D964"/>
      <c r="E964"/>
      <c r="F964"/>
      <c r="G964"/>
      <c r="H964"/>
      <c r="I964"/>
      <c r="J964"/>
      <c r="K964"/>
      <c r="Q964" s="14"/>
      <c r="R964" s="14"/>
      <c r="S964" s="12"/>
      <c r="T964" s="12"/>
      <c r="U964" s="12"/>
      <c r="V964" s="12"/>
      <c r="W964" s="12"/>
      <c r="X964" s="12"/>
      <c r="Y964" s="12"/>
      <c r="Z964" s="12"/>
      <c r="AA964" s="12"/>
      <c r="AB964" s="12"/>
      <c r="AC964" s="12"/>
      <c r="AD964" s="12"/>
    </row>
    <row r="965" spans="2:30" x14ac:dyDescent="0.35">
      <c r="B965" s="17"/>
      <c r="C965" s="13"/>
      <c r="D965"/>
      <c r="E965"/>
      <c r="F965"/>
      <c r="G965"/>
      <c r="H965"/>
      <c r="I965"/>
      <c r="J965"/>
      <c r="K965"/>
      <c r="Q965" s="14"/>
      <c r="R965" s="14"/>
      <c r="S965" s="12"/>
      <c r="T965" s="12"/>
      <c r="U965" s="12"/>
      <c r="V965" s="12"/>
      <c r="W965" s="12"/>
      <c r="X965" s="12"/>
      <c r="Y965" s="12"/>
      <c r="Z965" s="12"/>
      <c r="AA965" s="12"/>
      <c r="AB965" s="12"/>
      <c r="AC965" s="12"/>
      <c r="AD965" s="12"/>
    </row>
    <row r="966" spans="2:30" x14ac:dyDescent="0.35">
      <c r="B966" s="17"/>
      <c r="C966" s="13"/>
      <c r="D966"/>
      <c r="E966"/>
      <c r="F966"/>
      <c r="G966"/>
      <c r="H966"/>
      <c r="I966"/>
      <c r="J966"/>
      <c r="K966"/>
      <c r="Q966" s="14"/>
      <c r="R966" s="14"/>
      <c r="S966" s="12"/>
      <c r="T966" s="12"/>
      <c r="U966" s="12"/>
      <c r="V966" s="12"/>
      <c r="W966" s="12"/>
      <c r="X966" s="12"/>
      <c r="Y966" s="12"/>
      <c r="Z966" s="12"/>
      <c r="AA966" s="12"/>
      <c r="AB966" s="12"/>
      <c r="AC966" s="12"/>
      <c r="AD966" s="12"/>
    </row>
    <row r="967" spans="2:30" x14ac:dyDescent="0.35">
      <c r="B967" s="17"/>
      <c r="C967" s="13"/>
      <c r="D967"/>
      <c r="E967"/>
      <c r="F967"/>
      <c r="G967"/>
      <c r="H967"/>
      <c r="I967"/>
      <c r="J967"/>
      <c r="K967"/>
      <c r="Q967" s="14"/>
      <c r="R967" s="14"/>
      <c r="S967" s="12"/>
      <c r="T967" s="12"/>
      <c r="U967" s="12"/>
      <c r="V967" s="12"/>
      <c r="W967" s="12"/>
      <c r="X967" s="12"/>
      <c r="Y967" s="12"/>
      <c r="Z967" s="12"/>
      <c r="AA967" s="12"/>
      <c r="AB967" s="12"/>
      <c r="AC967" s="12"/>
      <c r="AD967" s="12"/>
    </row>
    <row r="968" spans="2:30" x14ac:dyDescent="0.35">
      <c r="B968" s="17"/>
      <c r="C968" s="13"/>
      <c r="D968"/>
      <c r="E968"/>
      <c r="F968"/>
      <c r="G968"/>
      <c r="H968"/>
      <c r="I968"/>
      <c r="J968"/>
      <c r="K968"/>
      <c r="Q968" s="14"/>
      <c r="R968" s="14"/>
      <c r="S968" s="12"/>
      <c r="T968" s="12"/>
      <c r="U968" s="12"/>
      <c r="V968" s="12"/>
      <c r="W968" s="12"/>
      <c r="X968" s="12"/>
      <c r="Y968" s="12"/>
      <c r="Z968" s="12"/>
      <c r="AA968" s="12"/>
      <c r="AB968" s="12"/>
      <c r="AC968" s="12"/>
      <c r="AD968" s="12"/>
    </row>
    <row r="969" spans="2:30" x14ac:dyDescent="0.35">
      <c r="B969" s="17"/>
      <c r="C969" s="32"/>
      <c r="D969"/>
      <c r="E969"/>
      <c r="F969"/>
      <c r="G969"/>
      <c r="H969"/>
      <c r="I969"/>
      <c r="J969"/>
      <c r="K969"/>
      <c r="Q969" s="14"/>
      <c r="R969" s="14"/>
      <c r="S969" s="12"/>
      <c r="T969" s="12"/>
      <c r="U969" s="12"/>
      <c r="V969" s="12"/>
      <c r="W969" s="12"/>
      <c r="X969" s="12"/>
      <c r="Y969" s="12"/>
      <c r="Z969" s="12"/>
      <c r="AA969" s="12"/>
      <c r="AB969" s="12"/>
      <c r="AC969" s="12"/>
      <c r="AD969" s="12"/>
    </row>
    <row r="970" spans="2:30" x14ac:dyDescent="0.35">
      <c r="B970" s="17"/>
      <c r="C970" s="13"/>
      <c r="D970"/>
      <c r="E970"/>
      <c r="F970"/>
      <c r="G970"/>
      <c r="H970"/>
      <c r="I970"/>
      <c r="J970"/>
      <c r="K970"/>
      <c r="Q970" s="14"/>
      <c r="R970" s="14"/>
      <c r="S970" s="12"/>
      <c r="T970" s="12"/>
      <c r="U970" s="12"/>
      <c r="V970" s="12"/>
      <c r="W970" s="12"/>
      <c r="X970" s="12"/>
      <c r="Y970" s="12"/>
      <c r="Z970" s="12"/>
      <c r="AA970" s="12"/>
      <c r="AB970" s="12"/>
      <c r="AC970" s="12"/>
      <c r="AD970" s="12"/>
    </row>
    <row r="971" spans="2:30" x14ac:dyDescent="0.35">
      <c r="B971" s="17"/>
      <c r="C971" s="13"/>
      <c r="D971"/>
      <c r="E971"/>
      <c r="F971"/>
      <c r="G971"/>
      <c r="H971"/>
      <c r="I971"/>
      <c r="J971"/>
      <c r="K971"/>
      <c r="Q971" s="21"/>
      <c r="R971" s="21"/>
      <c r="S971" s="12"/>
      <c r="T971" s="12"/>
      <c r="U971" s="12"/>
      <c r="V971" s="12"/>
      <c r="W971" s="12"/>
      <c r="X971" s="12"/>
      <c r="Y971" s="12"/>
      <c r="Z971" s="12"/>
      <c r="AA971" s="12"/>
      <c r="AB971" s="12"/>
      <c r="AC971" s="12"/>
      <c r="AD971" s="12"/>
    </row>
    <row r="972" spans="2:30" x14ac:dyDescent="0.35">
      <c r="B972" s="17"/>
      <c r="C972" s="13"/>
      <c r="D972"/>
      <c r="E972"/>
      <c r="F972"/>
      <c r="G972"/>
      <c r="H972"/>
      <c r="I972"/>
      <c r="J972"/>
      <c r="K972"/>
      <c r="Q972" s="21"/>
      <c r="R972" s="21"/>
      <c r="S972" s="12"/>
      <c r="T972" s="12"/>
      <c r="U972" s="12"/>
      <c r="V972" s="12"/>
      <c r="W972" s="12"/>
      <c r="X972" s="12"/>
      <c r="Y972" s="12"/>
      <c r="Z972" s="12"/>
      <c r="AA972" s="12"/>
      <c r="AB972" s="12"/>
      <c r="AC972" s="12"/>
      <c r="AD972" s="12"/>
    </row>
    <row r="973" spans="2:30" x14ac:dyDescent="0.35">
      <c r="B973" s="17"/>
      <c r="C973" s="13"/>
      <c r="D973"/>
      <c r="E973"/>
      <c r="F973"/>
      <c r="G973"/>
      <c r="H973"/>
      <c r="I973"/>
      <c r="J973"/>
      <c r="K973"/>
      <c r="Q973" s="21"/>
      <c r="R973" s="21"/>
      <c r="S973" s="12"/>
      <c r="T973" s="12"/>
      <c r="U973" s="12"/>
      <c r="V973" s="12"/>
      <c r="W973" s="12"/>
      <c r="X973" s="12"/>
      <c r="Y973" s="12"/>
      <c r="Z973" s="12"/>
      <c r="AA973" s="12"/>
      <c r="AB973" s="12"/>
      <c r="AC973" s="12"/>
      <c r="AD973" s="12"/>
    </row>
    <row r="974" spans="2:30" x14ac:dyDescent="0.35">
      <c r="B974" s="17"/>
      <c r="C974" s="13"/>
      <c r="D974" s="14"/>
      <c r="E974" s="14"/>
      <c r="F974" s="14"/>
      <c r="G974" s="14"/>
      <c r="H974" s="14"/>
      <c r="I974" s="14"/>
      <c r="J974" s="14"/>
      <c r="K974" s="14"/>
      <c r="L974" s="14"/>
      <c r="M974" s="14"/>
      <c r="N974" s="14"/>
      <c r="O974" s="14"/>
      <c r="P974" s="14"/>
      <c r="Q974" s="21"/>
      <c r="R974" s="21"/>
      <c r="S974" s="12"/>
      <c r="T974" s="12"/>
      <c r="U974" s="12"/>
      <c r="V974" s="12"/>
      <c r="W974" s="12"/>
      <c r="X974" s="12"/>
      <c r="Y974" s="12"/>
      <c r="Z974" s="12"/>
      <c r="AA974" s="12"/>
      <c r="AB974" s="12"/>
      <c r="AC974" s="12"/>
      <c r="AD974" s="12"/>
    </row>
    <row r="975" spans="2:30" x14ac:dyDescent="0.35">
      <c r="B975" s="17"/>
      <c r="C975" s="13"/>
      <c r="D975" s="14"/>
      <c r="E975" s="14"/>
      <c r="F975" s="14"/>
      <c r="G975" s="14"/>
      <c r="H975" s="14"/>
      <c r="I975" s="14"/>
      <c r="J975" s="14"/>
      <c r="K975" s="14"/>
      <c r="L975" s="14"/>
      <c r="M975" s="14"/>
      <c r="N975" s="14"/>
      <c r="O975" s="14"/>
      <c r="P975" s="14"/>
      <c r="Q975" s="21"/>
      <c r="R975" s="21"/>
      <c r="S975" s="12"/>
      <c r="T975" s="12"/>
      <c r="U975" s="12"/>
      <c r="V975" s="12"/>
      <c r="W975" s="12"/>
      <c r="X975" s="12"/>
      <c r="Y975" s="12"/>
      <c r="Z975" s="12"/>
      <c r="AA975" s="12"/>
      <c r="AB975" s="12"/>
      <c r="AC975" s="12"/>
      <c r="AD975" s="12"/>
    </row>
    <row r="976" spans="2:30" x14ac:dyDescent="0.35">
      <c r="B976" s="17"/>
      <c r="C976" s="32"/>
      <c r="D976" s="34"/>
      <c r="E976" s="34"/>
      <c r="F976" s="34"/>
      <c r="G976" s="34"/>
      <c r="H976" s="34"/>
      <c r="I976" s="34"/>
      <c r="J976" s="34"/>
      <c r="K976" s="34"/>
      <c r="L976" s="34"/>
      <c r="M976" s="34"/>
      <c r="N976" s="34"/>
      <c r="O976" s="34"/>
      <c r="P976" s="34"/>
      <c r="Q976" s="21"/>
      <c r="R976" s="21"/>
      <c r="S976" s="12"/>
      <c r="T976" s="12"/>
      <c r="U976" s="12"/>
      <c r="V976" s="12"/>
      <c r="W976" s="12"/>
      <c r="X976" s="12"/>
      <c r="Y976" s="12"/>
      <c r="Z976" s="12"/>
      <c r="AA976" s="12"/>
      <c r="AB976" s="12"/>
      <c r="AC976" s="12"/>
      <c r="AD976" s="12"/>
    </row>
    <row r="977" spans="1:30" x14ac:dyDescent="0.35">
      <c r="B977" s="17"/>
      <c r="C977" s="13"/>
      <c r="D977" s="14"/>
      <c r="E977" s="14"/>
      <c r="F977" s="14"/>
      <c r="G977" s="14"/>
      <c r="H977" s="14"/>
      <c r="I977" s="14"/>
      <c r="J977" s="14"/>
      <c r="K977" s="14"/>
      <c r="L977" s="14"/>
      <c r="M977" s="14"/>
      <c r="N977" s="14"/>
      <c r="O977" s="14"/>
      <c r="P977" s="14"/>
      <c r="Q977" s="21"/>
      <c r="R977" s="21"/>
      <c r="S977" s="12"/>
      <c r="T977" s="12"/>
      <c r="U977" s="12"/>
      <c r="V977" s="12"/>
      <c r="W977" s="12"/>
      <c r="X977" s="12"/>
      <c r="Y977" s="12"/>
      <c r="Z977" s="12"/>
      <c r="AA977" s="12"/>
      <c r="AB977" s="12"/>
      <c r="AC977" s="12"/>
      <c r="AD977" s="12"/>
    </row>
    <row r="978" spans="1:30" x14ac:dyDescent="0.35">
      <c r="B978" s="17"/>
      <c r="C978" s="13"/>
      <c r="D978" s="14"/>
      <c r="E978" s="14"/>
      <c r="F978" s="14"/>
      <c r="G978" s="14"/>
      <c r="H978" s="14"/>
      <c r="I978" s="14"/>
      <c r="J978" s="14"/>
      <c r="K978" s="14"/>
      <c r="L978" s="14"/>
      <c r="M978" s="14"/>
      <c r="N978" s="14"/>
      <c r="O978" s="14"/>
      <c r="P978" s="14"/>
      <c r="Q978" s="21"/>
      <c r="R978" s="21"/>
      <c r="S978" s="12"/>
      <c r="T978" s="12"/>
      <c r="U978" s="12"/>
      <c r="V978" s="12"/>
      <c r="W978" s="12"/>
      <c r="X978" s="12"/>
      <c r="Y978" s="12"/>
      <c r="Z978" s="12"/>
      <c r="AA978" s="12"/>
      <c r="AB978" s="12"/>
      <c r="AC978" s="12"/>
      <c r="AD978" s="12"/>
    </row>
    <row r="979" spans="1:30" x14ac:dyDescent="0.35">
      <c r="B979" s="17"/>
      <c r="C979" s="13"/>
      <c r="D979" s="14"/>
      <c r="E979" s="14"/>
      <c r="F979" s="14"/>
      <c r="G979" s="14"/>
      <c r="H979" s="14"/>
      <c r="I979" s="14"/>
      <c r="J979" s="14"/>
      <c r="K979" s="14"/>
      <c r="L979" s="14"/>
      <c r="M979" s="14"/>
      <c r="N979" s="14"/>
      <c r="O979" s="14"/>
      <c r="P979" s="14"/>
      <c r="Q979" s="21"/>
      <c r="R979" s="21"/>
      <c r="S979" s="12"/>
      <c r="T979" s="12"/>
      <c r="U979" s="12"/>
      <c r="V979" s="12"/>
      <c r="W979" s="12"/>
      <c r="X979" s="12"/>
      <c r="Y979" s="12"/>
      <c r="Z979" s="12"/>
      <c r="AA979" s="12"/>
      <c r="AB979" s="12"/>
      <c r="AC979" s="12"/>
      <c r="AD979" s="12"/>
    </row>
    <row r="980" spans="1:30" x14ac:dyDescent="0.35">
      <c r="B980" s="17"/>
      <c r="C980" s="13"/>
      <c r="D980" s="14"/>
      <c r="E980" s="14"/>
      <c r="F980" s="14"/>
      <c r="G980" s="14"/>
      <c r="H980" s="14"/>
      <c r="I980" s="14"/>
      <c r="J980" s="14"/>
      <c r="K980" s="14"/>
      <c r="L980" s="14"/>
      <c r="M980" s="14"/>
      <c r="N980" s="14"/>
      <c r="O980" s="14"/>
      <c r="P980" s="14"/>
      <c r="Q980" s="14"/>
      <c r="R980" s="14"/>
      <c r="S980" s="12"/>
      <c r="T980" s="12"/>
      <c r="U980" s="12"/>
      <c r="V980" s="12"/>
      <c r="W980" s="12"/>
      <c r="X980" s="12"/>
      <c r="Y980" s="12"/>
      <c r="Z980" s="12"/>
      <c r="AA980" s="12"/>
      <c r="AB980" s="12"/>
      <c r="AC980" s="12"/>
      <c r="AD980" s="12"/>
    </row>
    <row r="981" spans="1:30" x14ac:dyDescent="0.35">
      <c r="B981" s="17"/>
      <c r="C981" s="13"/>
      <c r="D981" s="14"/>
      <c r="E981" s="14"/>
      <c r="F981" s="14"/>
      <c r="G981" s="14"/>
      <c r="H981" s="14"/>
      <c r="I981" s="14"/>
      <c r="J981" s="14"/>
      <c r="K981" s="14"/>
      <c r="L981" s="14"/>
      <c r="M981" s="14"/>
      <c r="N981" s="14"/>
      <c r="O981" s="14"/>
      <c r="P981" s="14"/>
      <c r="Q981" s="14"/>
      <c r="R981" s="14"/>
      <c r="S981" s="12"/>
      <c r="T981" s="12"/>
      <c r="U981" s="12"/>
      <c r="V981" s="12"/>
      <c r="W981" s="12"/>
      <c r="X981" s="12"/>
      <c r="Y981" s="12"/>
      <c r="Z981" s="12"/>
      <c r="AA981" s="12"/>
      <c r="AB981" s="12"/>
      <c r="AC981" s="12"/>
      <c r="AD981" s="12"/>
    </row>
    <row r="982" spans="1:30" x14ac:dyDescent="0.35">
      <c r="A982" s="20"/>
      <c r="B982" s="17"/>
      <c r="C982" s="13"/>
      <c r="D982" s="14"/>
      <c r="E982" s="14"/>
      <c r="F982" s="14"/>
      <c r="G982" s="14"/>
      <c r="H982" s="14"/>
      <c r="I982" s="14"/>
      <c r="J982" s="14"/>
      <c r="K982" s="14"/>
      <c r="L982" s="14"/>
      <c r="M982" s="14"/>
      <c r="N982" s="14"/>
      <c r="O982" s="14"/>
      <c r="P982" s="14"/>
      <c r="Q982" s="14"/>
      <c r="R982" s="14"/>
      <c r="S982" s="12"/>
      <c r="T982" s="12"/>
      <c r="U982" s="12"/>
      <c r="V982" s="12"/>
      <c r="W982" s="12"/>
      <c r="X982" s="12"/>
      <c r="Y982" s="12"/>
      <c r="Z982" s="12"/>
      <c r="AA982" s="12"/>
      <c r="AB982" s="12"/>
      <c r="AC982" s="12"/>
      <c r="AD982" s="12"/>
    </row>
    <row r="983" spans="1:30" x14ac:dyDescent="0.35">
      <c r="A983" s="20"/>
      <c r="B983" s="17"/>
      <c r="C983" s="13"/>
      <c r="D983" s="14"/>
      <c r="E983" s="14"/>
      <c r="F983" s="14"/>
      <c r="G983" s="14"/>
      <c r="H983" s="14"/>
      <c r="I983" s="14"/>
      <c r="J983" s="14"/>
      <c r="K983" s="14"/>
      <c r="L983" s="14"/>
      <c r="M983" s="14"/>
      <c r="N983" s="14"/>
      <c r="O983" s="14"/>
      <c r="P983" s="14"/>
      <c r="Q983" s="14"/>
      <c r="R983" s="14"/>
      <c r="S983" s="12"/>
      <c r="T983" s="12"/>
      <c r="U983" s="12"/>
      <c r="V983" s="12"/>
      <c r="W983" s="12"/>
      <c r="X983" s="12"/>
      <c r="Y983" s="12"/>
      <c r="Z983" s="12"/>
      <c r="AA983" s="12"/>
      <c r="AB983" s="12"/>
      <c r="AC983" s="12"/>
      <c r="AD983" s="12"/>
    </row>
    <row r="984" spans="1:30" x14ac:dyDescent="0.35">
      <c r="A984" s="20"/>
      <c r="B984" s="17"/>
      <c r="C984" s="13"/>
      <c r="D984" s="14"/>
      <c r="E984" s="14"/>
      <c r="F984" s="14"/>
      <c r="G984" s="14"/>
      <c r="H984" s="14"/>
      <c r="I984" s="14"/>
      <c r="J984" s="14"/>
      <c r="K984" s="14"/>
      <c r="L984" s="14"/>
      <c r="M984" s="14"/>
      <c r="N984" s="14"/>
      <c r="O984" s="14"/>
      <c r="P984" s="14"/>
      <c r="Q984" s="14"/>
      <c r="R984" s="14"/>
      <c r="S984" s="12"/>
      <c r="T984" s="12"/>
      <c r="U984" s="12"/>
      <c r="V984" s="12"/>
      <c r="W984" s="12"/>
      <c r="X984" s="12"/>
      <c r="Y984" s="12"/>
      <c r="Z984" s="12"/>
      <c r="AA984" s="12"/>
      <c r="AB984" s="12"/>
      <c r="AC984" s="12"/>
      <c r="AD984" s="12"/>
    </row>
    <row r="985" spans="1:30" x14ac:dyDescent="0.35">
      <c r="A985" s="20"/>
      <c r="B985" s="17"/>
      <c r="C985" s="18"/>
      <c r="D985" s="21"/>
      <c r="E985" s="21"/>
      <c r="F985" s="21"/>
      <c r="G985" s="21"/>
      <c r="H985" s="21"/>
      <c r="I985" s="21"/>
      <c r="J985" s="21"/>
      <c r="K985" s="21"/>
      <c r="L985" s="21"/>
      <c r="M985" s="21"/>
      <c r="N985" s="21"/>
      <c r="O985" s="21"/>
      <c r="P985" s="21"/>
      <c r="Q985" s="14"/>
      <c r="R985" s="14"/>
      <c r="S985" s="12"/>
      <c r="T985" s="12"/>
      <c r="U985" s="12"/>
      <c r="V985" s="12"/>
      <c r="W985" s="12"/>
      <c r="X985" s="12"/>
      <c r="Y985" s="12"/>
      <c r="Z985" s="12"/>
      <c r="AA985" s="12"/>
      <c r="AB985" s="12"/>
      <c r="AC985" s="12"/>
      <c r="AD985" s="12"/>
    </row>
    <row r="986" spans="1:30" x14ac:dyDescent="0.35">
      <c r="A986" s="20"/>
      <c r="B986" s="17"/>
      <c r="C986" s="18"/>
      <c r="D986" s="21"/>
      <c r="E986" s="21"/>
      <c r="F986" s="21"/>
      <c r="G986" s="21"/>
      <c r="H986" s="21"/>
      <c r="I986" s="21"/>
      <c r="J986" s="21"/>
      <c r="K986" s="21"/>
      <c r="L986" s="21"/>
      <c r="M986" s="21"/>
      <c r="N986" s="21"/>
      <c r="O986" s="21"/>
      <c r="P986" s="21"/>
      <c r="Q986" s="14"/>
      <c r="R986" s="14"/>
      <c r="S986" s="12"/>
      <c r="T986" s="12"/>
      <c r="U986" s="12"/>
      <c r="V986" s="12"/>
      <c r="W986" s="12"/>
      <c r="X986" s="12"/>
      <c r="Y986" s="12"/>
      <c r="Z986" s="12"/>
      <c r="AA986" s="12"/>
      <c r="AB986" s="12"/>
      <c r="AC986" s="12"/>
      <c r="AD986" s="12"/>
    </row>
    <row r="987" spans="1:30" x14ac:dyDescent="0.35">
      <c r="A987" s="20"/>
      <c r="B987" s="17"/>
      <c r="C987" s="18"/>
      <c r="D987" s="21"/>
      <c r="E987" s="21"/>
      <c r="F987" s="21"/>
      <c r="G987" s="21"/>
      <c r="H987" s="21"/>
      <c r="I987" s="21"/>
      <c r="J987" s="21"/>
      <c r="K987" s="21"/>
      <c r="L987" s="21"/>
      <c r="M987" s="21"/>
      <c r="N987" s="21"/>
      <c r="O987" s="21"/>
      <c r="P987" s="21"/>
      <c r="Q987" s="14"/>
      <c r="R987" s="14"/>
      <c r="S987" s="12"/>
      <c r="T987" s="12"/>
      <c r="U987" s="12"/>
      <c r="V987" s="12"/>
      <c r="W987" s="12"/>
      <c r="X987" s="12"/>
      <c r="Y987" s="12"/>
      <c r="Z987" s="12"/>
      <c r="AA987" s="12"/>
      <c r="AB987" s="12"/>
      <c r="AC987" s="12"/>
      <c r="AD987" s="12"/>
    </row>
    <row r="988" spans="1:30" x14ac:dyDescent="0.35">
      <c r="A988" s="20"/>
      <c r="B988" s="17"/>
      <c r="C988" s="18"/>
      <c r="D988" s="33"/>
      <c r="E988" s="33"/>
      <c r="F988" s="33"/>
      <c r="G988" s="33"/>
      <c r="H988" s="33"/>
      <c r="I988" s="33"/>
      <c r="J988" s="33"/>
      <c r="K988" s="33"/>
      <c r="L988" s="33"/>
      <c r="M988" s="33"/>
      <c r="N988" s="33"/>
      <c r="O988" s="33"/>
      <c r="P988" s="33"/>
      <c r="Q988" s="14"/>
      <c r="R988" s="14"/>
      <c r="S988" s="12"/>
      <c r="T988" s="12"/>
      <c r="U988" s="12"/>
      <c r="V988" s="12"/>
      <c r="W988" s="12"/>
      <c r="X988" s="12"/>
      <c r="Y988" s="12"/>
      <c r="Z988" s="12"/>
      <c r="AA988" s="12"/>
      <c r="AB988" s="12"/>
      <c r="AC988" s="12"/>
      <c r="AD988" s="12"/>
    </row>
    <row r="989" spans="1:30" x14ac:dyDescent="0.35">
      <c r="A989" s="20"/>
      <c r="B989" s="17"/>
      <c r="C989" s="18"/>
      <c r="D989" s="33"/>
      <c r="E989" s="33"/>
      <c r="F989" s="33"/>
      <c r="G989" s="33"/>
      <c r="H989" s="33"/>
      <c r="I989" s="33"/>
      <c r="J989" s="33"/>
      <c r="K989" s="33"/>
      <c r="L989" s="33"/>
      <c r="M989" s="33"/>
      <c r="N989" s="33"/>
      <c r="O989" s="33"/>
      <c r="P989" s="33"/>
      <c r="Q989" s="14"/>
      <c r="R989" s="14"/>
      <c r="S989" s="12"/>
      <c r="T989" s="12"/>
      <c r="U989" s="12"/>
      <c r="V989" s="12"/>
      <c r="W989" s="12"/>
      <c r="X989" s="12"/>
      <c r="Y989" s="12"/>
      <c r="Z989" s="12"/>
      <c r="AA989" s="12"/>
      <c r="AB989" s="12"/>
      <c r="AC989" s="12"/>
      <c r="AD989" s="12"/>
    </row>
    <row r="990" spans="1:30" x14ac:dyDescent="0.35">
      <c r="A990" s="20"/>
      <c r="B990" s="17"/>
      <c r="C990" s="18"/>
      <c r="D990" s="33"/>
      <c r="E990" s="33"/>
      <c r="F990" s="33"/>
      <c r="G990" s="33"/>
      <c r="H990" s="33"/>
      <c r="I990" s="33"/>
      <c r="J990" s="33"/>
      <c r="K990" s="33"/>
      <c r="L990" s="33"/>
      <c r="M990" s="33"/>
      <c r="N990" s="33"/>
      <c r="O990" s="33"/>
      <c r="P990" s="33"/>
      <c r="Q990" s="14"/>
      <c r="R990" s="14"/>
      <c r="S990" s="12"/>
      <c r="T990" s="12"/>
      <c r="U990" s="12"/>
      <c r="V990" s="12"/>
      <c r="W990" s="12"/>
      <c r="X990" s="12"/>
      <c r="Y990" s="12"/>
      <c r="Z990" s="12"/>
      <c r="AA990" s="12"/>
      <c r="AB990" s="12"/>
      <c r="AC990" s="12"/>
      <c r="AD990" s="12"/>
    </row>
    <row r="991" spans="1:30" x14ac:dyDescent="0.35">
      <c r="A991" s="20"/>
      <c r="B991" s="17"/>
      <c r="C991" s="18"/>
      <c r="D991" s="33"/>
      <c r="E991" s="33"/>
      <c r="F991" s="33"/>
      <c r="G991" s="33"/>
      <c r="H991" s="33"/>
      <c r="I991" s="33"/>
      <c r="J991" s="33"/>
      <c r="K991" s="33"/>
      <c r="L991" s="33"/>
      <c r="M991" s="33"/>
      <c r="N991" s="33"/>
      <c r="O991" s="33"/>
      <c r="P991" s="33"/>
      <c r="Q991" s="14"/>
      <c r="R991" s="14"/>
      <c r="S991" s="12"/>
      <c r="T991" s="12"/>
      <c r="U991" s="12"/>
      <c r="V991" s="12"/>
      <c r="W991" s="12"/>
      <c r="X991" s="12"/>
      <c r="Y991" s="12"/>
      <c r="Z991" s="12"/>
      <c r="AA991" s="12"/>
      <c r="AB991" s="12"/>
      <c r="AC991" s="12"/>
      <c r="AD991" s="12"/>
    </row>
    <row r="992" spans="1:30" x14ac:dyDescent="0.35">
      <c r="A992" s="20"/>
      <c r="B992" s="17"/>
      <c r="C992" s="18"/>
      <c r="D992" s="33"/>
      <c r="E992" s="33"/>
      <c r="F992" s="33"/>
      <c r="G992" s="33"/>
      <c r="H992" s="33"/>
      <c r="I992" s="33"/>
      <c r="J992" s="33"/>
      <c r="K992" s="33"/>
      <c r="L992" s="33"/>
      <c r="M992" s="33"/>
      <c r="N992" s="33"/>
      <c r="O992" s="33"/>
      <c r="P992" s="33"/>
      <c r="Q992" s="14"/>
      <c r="R992" s="14"/>
      <c r="S992" s="12"/>
      <c r="T992" s="12"/>
      <c r="U992" s="12"/>
      <c r="V992" s="12"/>
      <c r="W992" s="12"/>
      <c r="X992" s="12"/>
      <c r="Y992" s="12"/>
      <c r="Z992" s="12"/>
      <c r="AA992" s="12"/>
      <c r="AB992" s="12"/>
      <c r="AC992" s="12"/>
      <c r="AD992" s="12"/>
    </row>
    <row r="993" spans="1:30" x14ac:dyDescent="0.35">
      <c r="A993" s="20"/>
      <c r="B993" s="17"/>
      <c r="C993" s="18"/>
      <c r="D993" s="21"/>
      <c r="E993" s="21"/>
      <c r="F993" s="21"/>
      <c r="G993" s="21"/>
      <c r="H993" s="21"/>
      <c r="I993" s="21"/>
      <c r="J993" s="21"/>
      <c r="K993" s="21"/>
      <c r="L993" s="21"/>
      <c r="M993" s="21"/>
      <c r="N993" s="21"/>
      <c r="O993" s="21"/>
      <c r="P993" s="21"/>
      <c r="Q993" s="14"/>
      <c r="R993" s="14"/>
      <c r="S993" s="12"/>
      <c r="T993" s="12"/>
      <c r="U993" s="12"/>
      <c r="V993" s="12"/>
      <c r="W993" s="12"/>
      <c r="X993" s="12"/>
      <c r="Y993" s="12"/>
      <c r="Z993" s="12"/>
      <c r="AA993" s="12"/>
      <c r="AB993" s="12"/>
      <c r="AC993" s="12"/>
      <c r="AD993" s="12"/>
    </row>
    <row r="994" spans="1:30" x14ac:dyDescent="0.35">
      <c r="A994" s="20"/>
      <c r="B994" s="17"/>
      <c r="C994" s="18"/>
      <c r="D994" s="21"/>
      <c r="E994" s="21"/>
      <c r="F994" s="21"/>
      <c r="G994" s="21"/>
      <c r="H994" s="21"/>
      <c r="I994" s="21"/>
      <c r="J994" s="21"/>
      <c r="K994" s="21"/>
      <c r="L994" s="21"/>
      <c r="M994" s="21"/>
      <c r="N994" s="21"/>
      <c r="O994" s="21"/>
      <c r="P994" s="21"/>
      <c r="Q994" s="14"/>
      <c r="R994" s="14"/>
      <c r="S994" s="12"/>
      <c r="T994" s="12"/>
      <c r="U994" s="12"/>
      <c r="V994" s="12"/>
      <c r="W994" s="12"/>
      <c r="X994" s="12"/>
      <c r="Y994" s="12"/>
      <c r="Z994" s="12"/>
      <c r="AA994" s="12"/>
      <c r="AB994" s="12"/>
      <c r="AC994" s="12"/>
      <c r="AD994" s="12"/>
    </row>
    <row r="995" spans="1:30" x14ac:dyDescent="0.35">
      <c r="A995" s="20"/>
      <c r="B995" s="17"/>
      <c r="C995" s="18"/>
      <c r="D995" s="21"/>
      <c r="E995" s="21"/>
      <c r="F995" s="21"/>
      <c r="G995" s="21"/>
      <c r="H995" s="21"/>
      <c r="I995" s="21"/>
      <c r="J995" s="21"/>
      <c r="K995" s="21"/>
      <c r="L995" s="21"/>
      <c r="M995" s="21"/>
      <c r="N995" s="21"/>
      <c r="O995" s="21"/>
      <c r="P995" s="21"/>
      <c r="Q995" s="21"/>
      <c r="R995" s="21"/>
      <c r="S995" s="12"/>
      <c r="T995" s="12"/>
      <c r="U995" s="12"/>
      <c r="V995" s="12"/>
      <c r="W995" s="12"/>
      <c r="X995" s="12"/>
      <c r="Y995" s="12"/>
      <c r="Z995" s="12"/>
      <c r="AA995" s="12"/>
      <c r="AB995" s="12"/>
      <c r="AC995" s="12"/>
      <c r="AD995" s="12"/>
    </row>
    <row r="996" spans="1:30" x14ac:dyDescent="0.35">
      <c r="A996" s="20"/>
      <c r="B996" s="17"/>
      <c r="C996" s="18"/>
      <c r="D996" s="21"/>
      <c r="E996" s="21"/>
      <c r="F996" s="21"/>
      <c r="G996" s="21"/>
      <c r="H996" s="21"/>
      <c r="I996" s="21"/>
      <c r="J996" s="21"/>
      <c r="K996" s="21"/>
      <c r="L996" s="21"/>
      <c r="M996" s="21"/>
      <c r="N996" s="21"/>
      <c r="O996" s="21"/>
      <c r="P996" s="21"/>
      <c r="Q996" s="21"/>
      <c r="R996" s="21"/>
      <c r="S996" s="12"/>
      <c r="T996" s="12"/>
      <c r="U996" s="12"/>
      <c r="V996" s="12"/>
      <c r="W996" s="12"/>
      <c r="X996" s="12"/>
      <c r="Y996" s="12"/>
      <c r="Z996" s="12"/>
      <c r="AA996" s="12"/>
      <c r="AB996" s="12"/>
      <c r="AC996" s="12"/>
      <c r="AD996" s="12"/>
    </row>
    <row r="997" spans="1:30" x14ac:dyDescent="0.35">
      <c r="A997" s="20"/>
      <c r="B997" s="17"/>
      <c r="C997" s="18"/>
      <c r="D997" s="21"/>
      <c r="E997" s="21"/>
      <c r="F997" s="21"/>
      <c r="G997" s="21"/>
      <c r="H997" s="21"/>
      <c r="I997" s="21"/>
      <c r="J997" s="21"/>
      <c r="K997" s="21"/>
      <c r="L997" s="21"/>
      <c r="M997" s="21"/>
      <c r="N997" s="21"/>
      <c r="O997" s="21"/>
      <c r="P997" s="21"/>
      <c r="Q997" s="21"/>
      <c r="R997" s="21"/>
      <c r="S997" s="12"/>
      <c r="T997" s="12"/>
      <c r="U997" s="12"/>
      <c r="V997" s="12"/>
      <c r="W997" s="12"/>
      <c r="X997" s="12"/>
      <c r="Y997" s="12"/>
      <c r="Z997" s="12"/>
      <c r="AA997" s="12"/>
      <c r="AB997" s="12"/>
      <c r="AC997" s="12"/>
      <c r="AD997" s="12"/>
    </row>
    <row r="998" spans="1:30" x14ac:dyDescent="0.35">
      <c r="A998" s="20"/>
      <c r="B998" s="17"/>
      <c r="C998" s="18"/>
      <c r="D998" s="21"/>
      <c r="E998" s="21"/>
      <c r="F998" s="21"/>
      <c r="G998" s="21"/>
      <c r="H998" s="21"/>
      <c r="I998" s="21"/>
      <c r="J998" s="21"/>
      <c r="K998" s="21"/>
      <c r="L998" s="21"/>
      <c r="M998" s="21"/>
      <c r="N998" s="21"/>
      <c r="O998" s="21"/>
      <c r="P998" s="21"/>
      <c r="Q998" s="21"/>
      <c r="R998" s="21"/>
      <c r="S998" s="12"/>
      <c r="T998" s="12"/>
      <c r="U998" s="12"/>
      <c r="V998" s="12"/>
      <c r="W998" s="12"/>
      <c r="X998" s="12"/>
      <c r="Y998" s="12"/>
      <c r="Z998" s="12"/>
      <c r="AA998" s="12"/>
      <c r="AB998" s="12"/>
      <c r="AC998" s="12"/>
      <c r="AD998" s="12"/>
    </row>
    <row r="999" spans="1:30" x14ac:dyDescent="0.35">
      <c r="A999" s="20"/>
      <c r="B999" s="17"/>
      <c r="C999" s="18"/>
      <c r="D999" s="21"/>
      <c r="E999" s="21"/>
      <c r="F999" s="21"/>
      <c r="G999" s="21"/>
      <c r="H999" s="21"/>
      <c r="I999" s="21"/>
      <c r="J999" s="21"/>
      <c r="K999" s="21"/>
      <c r="L999" s="21"/>
      <c r="M999" s="21"/>
      <c r="N999" s="21"/>
      <c r="O999" s="21"/>
      <c r="P999" s="21"/>
      <c r="Q999" s="21"/>
      <c r="R999" s="21"/>
      <c r="S999" s="12"/>
      <c r="T999" s="12"/>
      <c r="U999" s="12"/>
      <c r="V999" s="12"/>
      <c r="W999" s="12"/>
      <c r="X999" s="12"/>
      <c r="Y999" s="12"/>
      <c r="Z999" s="12"/>
      <c r="AA999" s="12"/>
      <c r="AB999" s="12"/>
      <c r="AC999" s="12"/>
      <c r="AD999" s="12"/>
    </row>
    <row r="1000" spans="1:30" x14ac:dyDescent="0.35">
      <c r="A1000" s="20"/>
      <c r="B1000" s="17"/>
      <c r="C1000" s="18"/>
      <c r="D1000" s="21"/>
      <c r="E1000" s="21"/>
      <c r="F1000" s="21"/>
      <c r="G1000" s="21"/>
      <c r="H1000" s="21"/>
      <c r="I1000" s="21"/>
      <c r="J1000" s="21"/>
      <c r="K1000" s="21"/>
      <c r="L1000" s="21"/>
      <c r="M1000" s="21"/>
      <c r="N1000" s="21"/>
      <c r="O1000" s="21"/>
      <c r="P1000" s="21"/>
      <c r="Q1000" s="21"/>
      <c r="R1000" s="21"/>
      <c r="S1000" s="12"/>
      <c r="T1000" s="12"/>
      <c r="U1000" s="12"/>
      <c r="V1000" s="12"/>
      <c r="W1000" s="12"/>
      <c r="X1000" s="12"/>
      <c r="Y1000" s="12"/>
      <c r="Z1000" s="12"/>
      <c r="AA1000" s="12"/>
      <c r="AB1000" s="12"/>
      <c r="AC1000" s="12"/>
      <c r="AD1000" s="12"/>
    </row>
    <row r="1001" spans="1:30" x14ac:dyDescent="0.35">
      <c r="A1001" s="20"/>
      <c r="B1001" s="17"/>
      <c r="C1001" s="18"/>
      <c r="D1001" s="21"/>
      <c r="E1001" s="21"/>
      <c r="F1001" s="21"/>
      <c r="G1001" s="21"/>
      <c r="H1001" s="21"/>
      <c r="I1001" s="21"/>
      <c r="J1001" s="21"/>
      <c r="K1001" s="21"/>
      <c r="L1001" s="21"/>
      <c r="M1001" s="21"/>
      <c r="N1001" s="21"/>
      <c r="O1001" s="21"/>
      <c r="P1001" s="21"/>
      <c r="Q1001" s="21"/>
      <c r="R1001" s="21"/>
      <c r="S1001" s="12"/>
      <c r="T1001" s="12"/>
      <c r="U1001" s="12"/>
      <c r="V1001" s="12"/>
      <c r="W1001" s="12"/>
      <c r="X1001" s="12"/>
      <c r="Y1001" s="12"/>
      <c r="Z1001" s="12"/>
      <c r="AA1001" s="12"/>
      <c r="AB1001" s="12"/>
      <c r="AC1001" s="12"/>
      <c r="AD1001" s="12"/>
    </row>
    <row r="1002" spans="1:30" x14ac:dyDescent="0.35">
      <c r="A1002" s="20"/>
      <c r="B1002" s="17"/>
      <c r="C1002" s="18"/>
      <c r="D1002" s="21"/>
      <c r="E1002" s="21"/>
      <c r="F1002" s="21"/>
      <c r="G1002" s="21"/>
      <c r="H1002" s="21"/>
      <c r="I1002" s="21"/>
      <c r="J1002" s="21"/>
      <c r="K1002" s="21"/>
      <c r="L1002" s="21"/>
      <c r="M1002" s="21"/>
      <c r="N1002" s="21"/>
      <c r="O1002" s="21"/>
      <c r="P1002" s="21"/>
      <c r="Q1002" s="21"/>
      <c r="R1002" s="21"/>
      <c r="S1002" s="12"/>
      <c r="T1002" s="12"/>
      <c r="U1002" s="12"/>
      <c r="V1002" s="12"/>
      <c r="W1002" s="12"/>
      <c r="X1002" s="12"/>
      <c r="Y1002" s="12"/>
      <c r="Z1002" s="12"/>
      <c r="AA1002" s="12"/>
      <c r="AB1002" s="12"/>
      <c r="AC1002" s="12"/>
      <c r="AD1002" s="12"/>
    </row>
    <row r="1003" spans="1:30" x14ac:dyDescent="0.35">
      <c r="A1003" s="20"/>
      <c r="B1003" s="17"/>
      <c r="C1003" s="13"/>
      <c r="D1003" s="14"/>
      <c r="E1003" s="14"/>
      <c r="F1003" s="14"/>
      <c r="G1003" s="14"/>
      <c r="H1003" s="14"/>
      <c r="I1003" s="14"/>
      <c r="J1003" s="14"/>
      <c r="K1003" s="14"/>
      <c r="L1003" s="14"/>
      <c r="M1003" s="14"/>
      <c r="N1003" s="14"/>
      <c r="O1003" s="14"/>
      <c r="P1003" s="14"/>
      <c r="Q1003" s="21"/>
      <c r="R1003" s="21"/>
      <c r="S1003" s="12"/>
      <c r="T1003" s="12"/>
      <c r="U1003" s="12"/>
      <c r="V1003" s="12"/>
      <c r="W1003" s="12"/>
      <c r="X1003" s="12"/>
      <c r="Y1003" s="12"/>
      <c r="Z1003" s="12"/>
      <c r="AA1003" s="12"/>
      <c r="AB1003" s="12"/>
      <c r="AC1003" s="12"/>
      <c r="AD1003" s="12"/>
    </row>
    <row r="1004" spans="1:30" x14ac:dyDescent="0.35">
      <c r="A1004" s="20"/>
      <c r="B1004" s="17"/>
      <c r="C1004" s="13"/>
      <c r="D1004" s="14"/>
      <c r="E1004" s="14"/>
      <c r="F1004" s="14"/>
      <c r="G1004" s="14"/>
      <c r="H1004" s="14"/>
      <c r="I1004" s="14"/>
      <c r="J1004" s="14"/>
      <c r="K1004" s="14"/>
      <c r="L1004" s="14"/>
      <c r="M1004" s="14"/>
      <c r="N1004" s="14"/>
      <c r="O1004" s="14"/>
      <c r="P1004" s="14"/>
      <c r="Q1004" s="21"/>
      <c r="R1004" s="21"/>
      <c r="S1004" s="12"/>
      <c r="T1004" s="12"/>
      <c r="U1004" s="12"/>
      <c r="V1004" s="12"/>
      <c r="W1004" s="12"/>
      <c r="X1004" s="12"/>
      <c r="Y1004" s="12"/>
      <c r="Z1004" s="12"/>
      <c r="AA1004" s="12"/>
      <c r="AB1004" s="12"/>
      <c r="AC1004" s="12"/>
      <c r="AD1004" s="12"/>
    </row>
    <row r="1005" spans="1:30" x14ac:dyDescent="0.35">
      <c r="A1005" s="20"/>
      <c r="B1005" s="17"/>
      <c r="C1005" s="13"/>
      <c r="D1005" s="14"/>
      <c r="E1005" s="14"/>
      <c r="F1005" s="14"/>
      <c r="G1005" s="14"/>
      <c r="H1005" s="14"/>
      <c r="I1005" s="14"/>
      <c r="J1005" s="14"/>
      <c r="K1005" s="14"/>
      <c r="L1005" s="14"/>
      <c r="M1005" s="14"/>
      <c r="N1005" s="14"/>
      <c r="O1005" s="14"/>
      <c r="P1005" s="14"/>
      <c r="Q1005" s="21"/>
      <c r="R1005" s="21"/>
      <c r="S1005" s="12"/>
      <c r="T1005" s="12"/>
      <c r="U1005" s="12"/>
      <c r="V1005" s="12"/>
      <c r="W1005" s="12"/>
      <c r="X1005" s="12"/>
      <c r="Y1005" s="12"/>
      <c r="Z1005" s="12"/>
      <c r="AA1005" s="12"/>
      <c r="AB1005" s="12"/>
      <c r="AC1005" s="12"/>
      <c r="AD1005" s="12"/>
    </row>
    <row r="1006" spans="1:30" x14ac:dyDescent="0.35">
      <c r="A1006" s="20"/>
      <c r="B1006" s="17"/>
      <c r="C1006" s="13"/>
      <c r="D1006" s="14"/>
      <c r="E1006" s="14"/>
      <c r="F1006" s="14"/>
      <c r="G1006" s="14"/>
      <c r="H1006" s="14"/>
      <c r="I1006" s="14"/>
      <c r="J1006" s="14"/>
      <c r="K1006" s="14"/>
      <c r="L1006" s="14"/>
      <c r="M1006" s="14"/>
      <c r="N1006" s="14"/>
      <c r="O1006" s="14"/>
      <c r="P1006" s="14"/>
      <c r="Q1006" s="21"/>
      <c r="R1006" s="21"/>
      <c r="S1006" s="12"/>
      <c r="T1006" s="12"/>
      <c r="U1006" s="12"/>
      <c r="V1006" s="12"/>
      <c r="W1006" s="12"/>
      <c r="X1006" s="12"/>
      <c r="Y1006" s="12"/>
      <c r="Z1006" s="12"/>
      <c r="AA1006" s="12"/>
      <c r="AB1006" s="12"/>
      <c r="AC1006" s="12"/>
      <c r="AD1006" s="12"/>
    </row>
    <row r="1007" spans="1:30" x14ac:dyDescent="0.35">
      <c r="A1007" s="20"/>
      <c r="B1007" s="17"/>
      <c r="C1007" s="32"/>
      <c r="D1007" s="34"/>
      <c r="E1007" s="34"/>
      <c r="F1007" s="34"/>
      <c r="G1007" s="34"/>
      <c r="H1007" s="34"/>
      <c r="I1007" s="34"/>
      <c r="J1007" s="34"/>
      <c r="K1007" s="34"/>
      <c r="L1007" s="34"/>
      <c r="M1007" s="34"/>
      <c r="N1007" s="34"/>
      <c r="O1007" s="34"/>
      <c r="P1007" s="34"/>
      <c r="Q1007" s="21"/>
      <c r="R1007" s="21"/>
      <c r="S1007" s="12"/>
      <c r="T1007" s="12"/>
      <c r="U1007" s="12"/>
      <c r="V1007" s="12"/>
      <c r="W1007" s="12"/>
      <c r="X1007" s="12"/>
      <c r="Y1007" s="12"/>
      <c r="Z1007" s="12"/>
      <c r="AA1007" s="12"/>
      <c r="AB1007" s="12"/>
      <c r="AC1007" s="12"/>
      <c r="AD1007" s="12"/>
    </row>
    <row r="1008" spans="1:30" x14ac:dyDescent="0.35">
      <c r="A1008" s="20"/>
      <c r="B1008" s="17"/>
      <c r="C1008" s="13"/>
      <c r="D1008" s="14"/>
      <c r="E1008" s="14"/>
      <c r="F1008" s="14"/>
      <c r="G1008" s="14"/>
      <c r="H1008" s="14"/>
      <c r="I1008" s="14"/>
      <c r="J1008" s="14"/>
      <c r="K1008" s="14"/>
      <c r="L1008" s="14"/>
      <c r="M1008" s="14"/>
      <c r="N1008" s="14"/>
      <c r="O1008" s="14"/>
      <c r="P1008" s="14"/>
      <c r="Q1008" s="21"/>
      <c r="R1008" s="21"/>
      <c r="S1008" s="12"/>
      <c r="T1008" s="12"/>
      <c r="U1008" s="12"/>
      <c r="V1008" s="12"/>
      <c r="W1008" s="12"/>
      <c r="X1008" s="12"/>
      <c r="Y1008" s="12"/>
      <c r="Z1008" s="12"/>
      <c r="AA1008" s="12"/>
      <c r="AB1008" s="12"/>
      <c r="AC1008" s="12"/>
      <c r="AD1008" s="12"/>
    </row>
    <row r="1009" spans="1:30" x14ac:dyDescent="0.35">
      <c r="A1009" s="20"/>
      <c r="B1009" s="17"/>
      <c r="C1009" s="13"/>
      <c r="D1009" s="14"/>
      <c r="E1009" s="14"/>
      <c r="F1009" s="14"/>
      <c r="G1009" s="14"/>
      <c r="H1009" s="14"/>
      <c r="I1009" s="14"/>
      <c r="J1009" s="14"/>
      <c r="K1009" s="14"/>
      <c r="L1009" s="14"/>
      <c r="M1009" s="14"/>
      <c r="N1009" s="14"/>
      <c r="O1009" s="14"/>
      <c r="P1009" s="14"/>
      <c r="Q1009" s="21"/>
      <c r="R1009" s="21"/>
      <c r="S1009" s="12"/>
      <c r="T1009" s="12"/>
      <c r="U1009" s="12"/>
      <c r="V1009" s="12"/>
      <c r="W1009" s="12"/>
      <c r="X1009" s="12"/>
      <c r="Y1009" s="12"/>
      <c r="Z1009" s="12"/>
      <c r="AA1009" s="12"/>
      <c r="AB1009" s="12"/>
      <c r="AC1009" s="12"/>
      <c r="AD1009" s="12"/>
    </row>
    <row r="1010" spans="1:30" x14ac:dyDescent="0.35">
      <c r="A1010" s="20"/>
      <c r="B1010" s="17"/>
      <c r="C1010" s="13"/>
      <c r="D1010" s="14"/>
      <c r="E1010" s="14"/>
      <c r="F1010" s="14"/>
      <c r="G1010" s="14"/>
      <c r="H1010" s="14"/>
      <c r="I1010" s="14"/>
      <c r="J1010" s="14"/>
      <c r="K1010" s="14"/>
      <c r="L1010" s="14"/>
      <c r="M1010" s="14"/>
      <c r="N1010" s="14"/>
      <c r="O1010" s="14"/>
      <c r="P1010" s="14"/>
      <c r="Q1010" s="21"/>
      <c r="R1010" s="21"/>
      <c r="S1010" s="12"/>
      <c r="T1010" s="12"/>
      <c r="U1010" s="12"/>
      <c r="V1010" s="12"/>
      <c r="W1010" s="12"/>
      <c r="X1010" s="12"/>
      <c r="Y1010" s="12"/>
      <c r="Z1010" s="12"/>
      <c r="AA1010" s="12"/>
      <c r="AB1010" s="12"/>
      <c r="AC1010" s="12"/>
      <c r="AD1010" s="12"/>
    </row>
    <row r="1011" spans="1:30" x14ac:dyDescent="0.35">
      <c r="A1011" s="20"/>
      <c r="B1011" s="17"/>
      <c r="C1011" s="13"/>
      <c r="D1011" s="14"/>
      <c r="E1011" s="14"/>
      <c r="F1011" s="14"/>
      <c r="G1011" s="14"/>
      <c r="H1011" s="14"/>
      <c r="I1011" s="14"/>
      <c r="J1011" s="14"/>
      <c r="K1011" s="14"/>
      <c r="L1011" s="14"/>
      <c r="M1011" s="14"/>
      <c r="N1011" s="14"/>
      <c r="O1011" s="14"/>
      <c r="P1011" s="14"/>
      <c r="Q1011" s="14"/>
      <c r="R1011" s="14"/>
      <c r="S1011" s="12"/>
      <c r="T1011" s="12"/>
      <c r="U1011" s="12"/>
      <c r="V1011" s="12"/>
      <c r="W1011" s="12"/>
      <c r="X1011" s="12"/>
      <c r="Y1011" s="12"/>
      <c r="Z1011" s="12"/>
      <c r="AA1011" s="12"/>
      <c r="AB1011" s="12"/>
      <c r="AC1011" s="12"/>
      <c r="AD1011" s="12"/>
    </row>
    <row r="1012" spans="1:30" x14ac:dyDescent="0.35">
      <c r="A1012" s="20"/>
      <c r="B1012" s="17"/>
      <c r="C1012" s="13"/>
      <c r="D1012" s="14"/>
      <c r="E1012" s="14"/>
      <c r="F1012" s="14"/>
      <c r="G1012" s="14"/>
      <c r="H1012" s="14"/>
      <c r="I1012" s="14"/>
      <c r="J1012" s="14"/>
      <c r="K1012" s="14"/>
      <c r="L1012" s="14"/>
      <c r="M1012" s="14"/>
      <c r="N1012" s="14"/>
      <c r="O1012" s="14"/>
      <c r="P1012" s="14"/>
      <c r="Q1012" s="14"/>
      <c r="R1012" s="14"/>
      <c r="S1012" s="12"/>
      <c r="T1012" s="12"/>
      <c r="U1012" s="12"/>
      <c r="V1012" s="12"/>
      <c r="W1012" s="12"/>
      <c r="X1012" s="12"/>
      <c r="Y1012" s="12"/>
      <c r="Z1012" s="12"/>
      <c r="AA1012" s="12"/>
      <c r="AB1012" s="12"/>
      <c r="AC1012" s="12"/>
      <c r="AD1012" s="12"/>
    </row>
    <row r="1013" spans="1:30" x14ac:dyDescent="0.35">
      <c r="A1013" s="20"/>
      <c r="B1013" s="17"/>
      <c r="C1013" s="13"/>
      <c r="D1013" s="14"/>
      <c r="E1013" s="14"/>
      <c r="F1013" s="14"/>
      <c r="G1013" s="14"/>
      <c r="H1013" s="14"/>
      <c r="I1013" s="14"/>
      <c r="J1013" s="14"/>
      <c r="K1013" s="14"/>
      <c r="L1013" s="14"/>
      <c r="M1013" s="14"/>
      <c r="N1013" s="14"/>
      <c r="O1013" s="14"/>
      <c r="P1013" s="14"/>
      <c r="Q1013" s="14"/>
      <c r="R1013" s="14"/>
      <c r="S1013" s="12"/>
      <c r="T1013" s="12"/>
      <c r="U1013" s="12"/>
      <c r="V1013" s="12"/>
      <c r="W1013" s="12"/>
      <c r="X1013" s="12"/>
      <c r="Y1013" s="12"/>
      <c r="Z1013" s="12"/>
      <c r="AA1013" s="12"/>
      <c r="AB1013" s="12"/>
      <c r="AC1013" s="12"/>
      <c r="AD1013" s="12"/>
    </row>
    <row r="1014" spans="1:30" x14ac:dyDescent="0.35">
      <c r="A1014" s="20"/>
      <c r="B1014" s="17"/>
      <c r="C1014" s="32"/>
      <c r="D1014" s="34"/>
      <c r="E1014" s="34"/>
      <c r="F1014" s="34"/>
      <c r="G1014" s="34"/>
      <c r="H1014" s="34"/>
      <c r="I1014" s="34"/>
      <c r="J1014" s="34"/>
      <c r="K1014" s="34"/>
      <c r="L1014" s="34"/>
      <c r="M1014" s="34"/>
      <c r="N1014" s="34"/>
      <c r="O1014" s="34"/>
      <c r="P1014" s="34"/>
      <c r="Q1014" s="14"/>
      <c r="R1014" s="14"/>
      <c r="S1014" s="12"/>
      <c r="T1014" s="12"/>
      <c r="U1014" s="12"/>
      <c r="V1014" s="12"/>
      <c r="W1014" s="12"/>
      <c r="X1014" s="12"/>
      <c r="Y1014" s="12"/>
      <c r="Z1014" s="12"/>
      <c r="AA1014" s="12"/>
      <c r="AB1014" s="12"/>
      <c r="AC1014" s="12"/>
      <c r="AD1014" s="12"/>
    </row>
    <row r="1015" spans="1:30" x14ac:dyDescent="0.35">
      <c r="A1015" s="20"/>
      <c r="B1015" s="17"/>
      <c r="C1015" s="13"/>
      <c r="D1015" s="14"/>
      <c r="E1015" s="14"/>
      <c r="F1015" s="14"/>
      <c r="G1015" s="14"/>
      <c r="H1015" s="14"/>
      <c r="I1015" s="14"/>
      <c r="J1015" s="14"/>
      <c r="K1015" s="14"/>
      <c r="L1015" s="14"/>
      <c r="M1015" s="14"/>
      <c r="N1015" s="14"/>
      <c r="O1015" s="14"/>
      <c r="P1015" s="14"/>
      <c r="Q1015" s="14"/>
      <c r="R1015" s="14"/>
      <c r="S1015" s="12"/>
      <c r="T1015" s="12"/>
      <c r="U1015" s="12"/>
      <c r="V1015" s="12"/>
      <c r="W1015" s="12"/>
      <c r="X1015" s="12"/>
      <c r="Y1015" s="12"/>
      <c r="Z1015" s="12"/>
      <c r="AA1015" s="12"/>
      <c r="AB1015" s="12"/>
      <c r="AC1015" s="12"/>
      <c r="AD1015" s="12"/>
    </row>
    <row r="1016" spans="1:30" x14ac:dyDescent="0.35">
      <c r="A1016" s="20"/>
      <c r="B1016" s="17"/>
      <c r="C1016" s="13"/>
      <c r="D1016" s="14"/>
      <c r="E1016" s="14"/>
      <c r="F1016" s="14"/>
      <c r="G1016" s="14"/>
      <c r="H1016" s="14"/>
      <c r="I1016" s="14"/>
      <c r="J1016" s="14"/>
      <c r="K1016" s="14"/>
      <c r="L1016" s="14"/>
      <c r="M1016" s="14"/>
      <c r="N1016" s="14"/>
      <c r="O1016" s="14"/>
      <c r="P1016" s="14"/>
      <c r="Q1016" s="14"/>
      <c r="R1016" s="14"/>
      <c r="S1016" s="12"/>
      <c r="T1016" s="12"/>
      <c r="U1016" s="12"/>
      <c r="V1016" s="12"/>
      <c r="W1016" s="12"/>
      <c r="X1016" s="12"/>
      <c r="Y1016" s="12"/>
      <c r="Z1016" s="12"/>
      <c r="AA1016" s="12"/>
      <c r="AB1016" s="12"/>
      <c r="AC1016" s="12"/>
      <c r="AD1016" s="12"/>
    </row>
    <row r="1017" spans="1:30" x14ac:dyDescent="0.35">
      <c r="A1017" s="20"/>
      <c r="B1017" s="17"/>
      <c r="C1017" s="13"/>
      <c r="D1017" s="14"/>
      <c r="E1017" s="14"/>
      <c r="F1017" s="14"/>
      <c r="G1017" s="14"/>
      <c r="H1017" s="14"/>
      <c r="I1017" s="14"/>
      <c r="J1017" s="14"/>
      <c r="K1017" s="14"/>
      <c r="L1017" s="14"/>
      <c r="M1017" s="14"/>
      <c r="N1017" s="14"/>
      <c r="O1017" s="14"/>
      <c r="P1017" s="14"/>
      <c r="Q1017" s="14"/>
      <c r="R1017" s="14"/>
      <c r="S1017" s="12"/>
      <c r="T1017" s="12"/>
      <c r="U1017" s="12"/>
      <c r="V1017" s="12"/>
      <c r="W1017" s="12"/>
      <c r="X1017" s="12"/>
      <c r="Y1017" s="12"/>
      <c r="Z1017" s="12"/>
      <c r="AA1017" s="12"/>
      <c r="AB1017" s="12"/>
      <c r="AC1017" s="12"/>
      <c r="AD1017" s="12"/>
    </row>
    <row r="1018" spans="1:30" x14ac:dyDescent="0.35">
      <c r="A1018" s="20"/>
      <c r="B1018" s="17"/>
      <c r="C1018" s="13"/>
      <c r="D1018" s="14"/>
      <c r="E1018" s="14"/>
      <c r="F1018" s="14"/>
      <c r="G1018" s="14"/>
      <c r="H1018" s="14"/>
      <c r="I1018" s="14"/>
      <c r="J1018" s="14"/>
      <c r="K1018" s="14"/>
      <c r="L1018" s="14"/>
      <c r="M1018" s="14"/>
      <c r="N1018" s="14"/>
      <c r="O1018" s="14"/>
      <c r="P1018" s="14"/>
      <c r="Q1018" s="14"/>
      <c r="R1018" s="14"/>
      <c r="S1018" s="12"/>
      <c r="T1018" s="12"/>
      <c r="U1018" s="12"/>
      <c r="V1018" s="12"/>
      <c r="W1018" s="12"/>
      <c r="X1018" s="12"/>
      <c r="Y1018" s="12"/>
      <c r="Z1018" s="12"/>
      <c r="AA1018" s="12"/>
      <c r="AB1018" s="12"/>
      <c r="AC1018" s="12"/>
      <c r="AD1018" s="12"/>
    </row>
    <row r="1019" spans="1:30" x14ac:dyDescent="0.35">
      <c r="A1019" s="20"/>
      <c r="B1019" s="17"/>
      <c r="C1019" s="13"/>
      <c r="D1019" s="14"/>
      <c r="E1019" s="14"/>
      <c r="F1019" s="14"/>
      <c r="G1019" s="14"/>
      <c r="H1019" s="14"/>
      <c r="I1019" s="14"/>
      <c r="J1019" s="14"/>
      <c r="K1019" s="14"/>
      <c r="L1019" s="14"/>
      <c r="M1019" s="14"/>
      <c r="N1019" s="14"/>
      <c r="O1019" s="14"/>
      <c r="P1019" s="14"/>
      <c r="Q1019" s="14"/>
      <c r="R1019" s="14"/>
      <c r="S1019" s="12"/>
      <c r="T1019" s="12"/>
      <c r="U1019" s="12"/>
      <c r="V1019" s="12"/>
      <c r="W1019" s="12"/>
      <c r="X1019" s="12"/>
      <c r="Y1019" s="12"/>
      <c r="Z1019" s="12"/>
      <c r="AA1019" s="12"/>
      <c r="AB1019" s="12"/>
      <c r="AC1019" s="12"/>
      <c r="AD1019" s="12"/>
    </row>
    <row r="1020" spans="1:30" x14ac:dyDescent="0.35">
      <c r="A1020" s="20"/>
      <c r="B1020" s="17"/>
      <c r="D1020" s="14"/>
      <c r="E1020" s="14"/>
      <c r="F1020" s="14"/>
      <c r="G1020" s="14"/>
      <c r="H1020" s="14"/>
      <c r="I1020" s="14"/>
      <c r="J1020" s="14"/>
      <c r="K1020" s="14"/>
      <c r="L1020" s="14"/>
      <c r="M1020" s="14"/>
      <c r="N1020" s="14"/>
      <c r="O1020" s="14"/>
      <c r="P1020" s="14"/>
      <c r="Q1020" s="14"/>
      <c r="R1020" s="14"/>
      <c r="S1020" s="12"/>
      <c r="T1020" s="12"/>
      <c r="U1020" s="12"/>
      <c r="V1020" s="12"/>
      <c r="W1020" s="12"/>
      <c r="X1020" s="12"/>
      <c r="Y1020" s="12"/>
      <c r="Z1020" s="12"/>
      <c r="AA1020" s="12"/>
      <c r="AB1020" s="12"/>
      <c r="AC1020" s="12"/>
      <c r="AD1020" s="12"/>
    </row>
    <row r="1021" spans="1:30" x14ac:dyDescent="0.35">
      <c r="A1021" s="20"/>
      <c r="B1021" s="17"/>
      <c r="D1021" s="14"/>
      <c r="E1021" s="14"/>
      <c r="F1021" s="14"/>
      <c r="G1021" s="14"/>
      <c r="H1021" s="14"/>
      <c r="I1021" s="14"/>
      <c r="J1021" s="14"/>
      <c r="K1021" s="14"/>
      <c r="L1021" s="14"/>
      <c r="M1021" s="14"/>
      <c r="N1021" s="14"/>
      <c r="O1021" s="14"/>
      <c r="P1021" s="14"/>
      <c r="Q1021" s="14"/>
      <c r="R1021" s="14"/>
      <c r="S1021" s="12"/>
      <c r="T1021" s="12"/>
      <c r="U1021" s="12"/>
      <c r="V1021" s="12"/>
      <c r="W1021" s="12"/>
      <c r="X1021" s="12"/>
      <c r="Y1021" s="12"/>
      <c r="Z1021" s="12"/>
      <c r="AA1021" s="12"/>
      <c r="AB1021" s="12"/>
      <c r="AC1021" s="12"/>
      <c r="AD1021" s="12"/>
    </row>
    <row r="1022" spans="1:30" x14ac:dyDescent="0.35">
      <c r="A1022" s="20"/>
      <c r="B1022" s="17"/>
      <c r="D1022" s="14"/>
      <c r="E1022" s="14"/>
      <c r="F1022" s="14"/>
      <c r="G1022" s="14"/>
      <c r="H1022" s="14"/>
      <c r="I1022" s="14"/>
      <c r="J1022" s="14"/>
      <c r="K1022" s="14"/>
      <c r="L1022" s="14"/>
      <c r="M1022" s="14"/>
      <c r="N1022" s="14"/>
      <c r="O1022" s="14"/>
      <c r="P1022" s="14"/>
      <c r="Q1022" s="21"/>
      <c r="R1022" s="21"/>
      <c r="S1022" s="12"/>
      <c r="T1022" s="12"/>
      <c r="U1022" s="12"/>
      <c r="V1022" s="12"/>
      <c r="W1022" s="12"/>
      <c r="X1022" s="12"/>
      <c r="Y1022" s="12"/>
      <c r="Z1022" s="12"/>
      <c r="AA1022" s="12"/>
      <c r="AB1022" s="12"/>
      <c r="AC1022" s="12"/>
      <c r="AD1022" s="12"/>
    </row>
    <row r="1023" spans="1:30" x14ac:dyDescent="0.35">
      <c r="B1023" s="17"/>
      <c r="C1023" s="13"/>
      <c r="D1023" s="14"/>
      <c r="E1023" s="14"/>
      <c r="F1023" s="14"/>
      <c r="G1023" s="14"/>
      <c r="H1023" s="14"/>
      <c r="I1023" s="14"/>
      <c r="J1023" s="14"/>
      <c r="K1023" s="14"/>
      <c r="L1023" s="14"/>
      <c r="M1023" s="14"/>
      <c r="N1023" s="14"/>
      <c r="O1023" s="14"/>
      <c r="P1023" s="14"/>
      <c r="Q1023" s="21"/>
      <c r="R1023" s="21"/>
      <c r="S1023" s="12"/>
      <c r="T1023" s="12"/>
      <c r="U1023" s="12"/>
      <c r="V1023" s="12"/>
      <c r="W1023" s="12"/>
      <c r="X1023" s="12"/>
      <c r="Y1023" s="12"/>
      <c r="Z1023" s="12"/>
      <c r="AA1023" s="12"/>
      <c r="AB1023" s="12"/>
      <c r="AC1023" s="12"/>
      <c r="AD1023" s="12"/>
    </row>
    <row r="1024" spans="1:30" x14ac:dyDescent="0.35">
      <c r="B1024" s="17"/>
      <c r="C1024" s="13"/>
      <c r="D1024" s="14"/>
      <c r="E1024" s="14"/>
      <c r="F1024" s="14"/>
      <c r="G1024" s="14"/>
      <c r="H1024" s="14"/>
      <c r="I1024" s="14"/>
      <c r="J1024" s="14"/>
      <c r="K1024" s="14"/>
      <c r="L1024" s="14"/>
      <c r="M1024" s="14"/>
      <c r="N1024" s="14"/>
      <c r="O1024" s="14"/>
      <c r="P1024" s="14"/>
      <c r="Q1024" s="21"/>
      <c r="R1024" s="21"/>
      <c r="S1024" s="12"/>
      <c r="T1024" s="12"/>
      <c r="U1024" s="12"/>
      <c r="V1024" s="12"/>
      <c r="W1024" s="12"/>
      <c r="X1024" s="12"/>
      <c r="Y1024" s="12"/>
      <c r="Z1024" s="12"/>
      <c r="AA1024" s="12"/>
      <c r="AB1024" s="12"/>
      <c r="AC1024" s="12"/>
      <c r="AD1024" s="12"/>
    </row>
    <row r="1025" spans="2:30" x14ac:dyDescent="0.35">
      <c r="B1025" s="17"/>
      <c r="C1025" s="13"/>
      <c r="D1025" s="14"/>
      <c r="E1025" s="14"/>
      <c r="F1025" s="14"/>
      <c r="G1025" s="14"/>
      <c r="H1025" s="14"/>
      <c r="I1025" s="14"/>
      <c r="J1025" s="14"/>
      <c r="K1025" s="14"/>
      <c r="L1025" s="14"/>
      <c r="M1025" s="14"/>
      <c r="N1025" s="14"/>
      <c r="O1025" s="14"/>
      <c r="P1025" s="14"/>
      <c r="Q1025" s="21"/>
      <c r="R1025" s="21"/>
      <c r="S1025" s="12"/>
      <c r="T1025" s="12"/>
      <c r="U1025" s="12"/>
      <c r="V1025" s="12"/>
      <c r="W1025" s="12"/>
      <c r="X1025" s="12"/>
      <c r="Y1025" s="12"/>
      <c r="Z1025" s="12"/>
      <c r="AA1025" s="12"/>
      <c r="AB1025" s="12"/>
      <c r="AC1025" s="12"/>
      <c r="AD1025" s="12"/>
    </row>
    <row r="1026" spans="2:30" x14ac:dyDescent="0.35">
      <c r="B1026" s="17"/>
      <c r="C1026" s="18"/>
      <c r="D1026" s="21"/>
      <c r="E1026" s="21"/>
      <c r="F1026" s="21"/>
      <c r="G1026" s="21"/>
      <c r="H1026" s="21"/>
      <c r="I1026" s="21"/>
      <c r="J1026" s="21"/>
      <c r="K1026" s="21"/>
      <c r="L1026" s="21"/>
      <c r="M1026" s="21"/>
      <c r="N1026" s="21"/>
      <c r="O1026" s="21"/>
      <c r="P1026" s="21"/>
      <c r="Q1026" s="21"/>
      <c r="R1026" s="21"/>
      <c r="S1026" s="12"/>
      <c r="T1026" s="12"/>
      <c r="U1026" s="12"/>
      <c r="V1026" s="12"/>
      <c r="W1026" s="12"/>
      <c r="X1026" s="12"/>
      <c r="Y1026" s="12"/>
      <c r="Z1026" s="12"/>
      <c r="AA1026" s="12"/>
      <c r="AB1026" s="12"/>
      <c r="AC1026" s="12"/>
      <c r="AD1026" s="12"/>
    </row>
    <row r="1027" spans="2:30" x14ac:dyDescent="0.35">
      <c r="B1027" s="17"/>
      <c r="C1027" s="18"/>
      <c r="D1027" s="21"/>
      <c r="E1027" s="21"/>
      <c r="F1027" s="21"/>
      <c r="G1027" s="21"/>
      <c r="H1027" s="21"/>
      <c r="I1027" s="21"/>
      <c r="J1027" s="21"/>
      <c r="K1027" s="21"/>
      <c r="L1027" s="21"/>
      <c r="M1027" s="21"/>
      <c r="N1027" s="21"/>
      <c r="O1027" s="21"/>
      <c r="P1027" s="21"/>
      <c r="Q1027" s="21"/>
      <c r="R1027" s="21"/>
      <c r="S1027" s="12"/>
      <c r="T1027" s="12"/>
      <c r="U1027" s="12"/>
      <c r="V1027" s="12"/>
      <c r="W1027" s="12"/>
      <c r="X1027" s="12"/>
      <c r="Y1027" s="12"/>
      <c r="Z1027" s="12"/>
      <c r="AA1027" s="12"/>
      <c r="AB1027" s="12"/>
      <c r="AC1027" s="12"/>
      <c r="AD1027" s="12"/>
    </row>
    <row r="1028" spans="2:30" x14ac:dyDescent="0.35">
      <c r="B1028" s="17"/>
      <c r="C1028" s="18"/>
      <c r="D1028" s="21"/>
      <c r="E1028" s="21"/>
      <c r="F1028" s="21"/>
      <c r="G1028" s="21"/>
      <c r="H1028" s="21"/>
      <c r="I1028" s="21"/>
      <c r="J1028" s="21"/>
      <c r="K1028" s="21"/>
      <c r="L1028" s="21"/>
      <c r="M1028" s="21"/>
      <c r="N1028" s="21"/>
      <c r="O1028" s="21"/>
      <c r="P1028" s="21"/>
      <c r="Q1028" s="21"/>
      <c r="R1028" s="21"/>
      <c r="S1028" s="12"/>
      <c r="T1028" s="12"/>
      <c r="U1028" s="12"/>
      <c r="V1028" s="12"/>
      <c r="W1028" s="12"/>
      <c r="X1028" s="12"/>
      <c r="Y1028" s="12"/>
      <c r="Z1028" s="12"/>
      <c r="AA1028" s="12"/>
      <c r="AB1028" s="12"/>
      <c r="AC1028" s="12"/>
      <c r="AD1028" s="12"/>
    </row>
    <row r="1029" spans="2:30" x14ac:dyDescent="0.35">
      <c r="B1029" s="17"/>
      <c r="C1029" s="18"/>
      <c r="D1029" s="33"/>
      <c r="E1029" s="33"/>
      <c r="F1029" s="33"/>
      <c r="G1029" s="33"/>
      <c r="H1029" s="33"/>
      <c r="I1029" s="33"/>
      <c r="J1029" s="33"/>
      <c r="K1029" s="33"/>
      <c r="L1029" s="33"/>
      <c r="M1029" s="33"/>
      <c r="N1029" s="33"/>
      <c r="O1029" s="33"/>
      <c r="P1029" s="33"/>
      <c r="Q1029" s="21"/>
      <c r="R1029" s="21"/>
      <c r="S1029" s="12"/>
      <c r="T1029" s="12"/>
      <c r="U1029" s="12"/>
      <c r="V1029" s="12"/>
      <c r="W1029" s="12"/>
      <c r="X1029" s="12"/>
      <c r="Y1029" s="12"/>
      <c r="Z1029" s="12"/>
      <c r="AA1029" s="12"/>
      <c r="AB1029" s="12"/>
      <c r="AC1029" s="12"/>
      <c r="AD1029" s="12"/>
    </row>
    <row r="1030" spans="2:30" x14ac:dyDescent="0.35">
      <c r="B1030" s="17"/>
      <c r="C1030" s="18"/>
      <c r="D1030" s="33"/>
      <c r="E1030" s="33"/>
      <c r="F1030" s="33"/>
      <c r="G1030" s="33"/>
      <c r="H1030" s="33"/>
      <c r="I1030" s="33"/>
      <c r="J1030" s="33"/>
      <c r="K1030" s="33"/>
      <c r="L1030" s="33"/>
      <c r="M1030" s="33"/>
      <c r="N1030" s="33"/>
      <c r="O1030" s="33"/>
      <c r="P1030" s="33"/>
      <c r="Q1030" s="21"/>
      <c r="R1030" s="21"/>
      <c r="S1030" s="12"/>
      <c r="T1030" s="12"/>
      <c r="U1030" s="12"/>
      <c r="V1030" s="12"/>
      <c r="W1030" s="12"/>
      <c r="X1030" s="12"/>
      <c r="Y1030" s="12"/>
      <c r="Z1030" s="12"/>
      <c r="AA1030" s="12"/>
      <c r="AB1030" s="12"/>
      <c r="AC1030" s="12"/>
      <c r="AD1030" s="12"/>
    </row>
    <row r="1031" spans="2:30" x14ac:dyDescent="0.35">
      <c r="B1031" s="17"/>
      <c r="C1031" s="18"/>
      <c r="D1031" s="33"/>
      <c r="E1031" s="33"/>
      <c r="F1031" s="33"/>
      <c r="G1031" s="33"/>
      <c r="H1031" s="33"/>
      <c r="I1031" s="33"/>
      <c r="J1031" s="33"/>
      <c r="K1031" s="33"/>
      <c r="L1031" s="33"/>
      <c r="M1031" s="33"/>
      <c r="N1031" s="33"/>
      <c r="O1031" s="33"/>
      <c r="P1031" s="33"/>
      <c r="Q1031" s="14"/>
      <c r="R1031" s="14"/>
      <c r="S1031" s="12"/>
      <c r="T1031" s="12"/>
      <c r="U1031" s="12"/>
      <c r="V1031" s="12"/>
      <c r="W1031" s="12"/>
      <c r="X1031" s="12"/>
      <c r="Y1031" s="12"/>
      <c r="Z1031" s="12"/>
      <c r="AA1031" s="12"/>
      <c r="AB1031" s="12"/>
      <c r="AC1031" s="12"/>
      <c r="AD1031" s="12"/>
    </row>
    <row r="1032" spans="2:30" x14ac:dyDescent="0.35">
      <c r="B1032" s="17"/>
      <c r="C1032" s="18"/>
      <c r="D1032" s="33"/>
      <c r="E1032" s="33"/>
      <c r="F1032" s="33"/>
      <c r="G1032" s="33"/>
      <c r="H1032" s="33"/>
      <c r="I1032" s="33"/>
      <c r="J1032" s="33"/>
      <c r="K1032" s="33"/>
      <c r="L1032" s="33"/>
      <c r="M1032" s="33"/>
      <c r="N1032" s="33"/>
      <c r="O1032" s="33"/>
      <c r="P1032" s="33"/>
      <c r="Q1032" s="14"/>
      <c r="R1032" s="14"/>
      <c r="S1032" s="12"/>
      <c r="T1032" s="12"/>
      <c r="U1032" s="12"/>
      <c r="V1032" s="12"/>
      <c r="W1032" s="12"/>
      <c r="X1032" s="12"/>
      <c r="Y1032" s="12"/>
      <c r="Z1032" s="12"/>
      <c r="AA1032" s="12"/>
      <c r="AB1032" s="12"/>
      <c r="AC1032" s="12"/>
      <c r="AD1032" s="12"/>
    </row>
    <row r="1033" spans="2:30" x14ac:dyDescent="0.35">
      <c r="B1033" s="17"/>
      <c r="C1033" s="18"/>
      <c r="D1033" s="33"/>
      <c r="E1033" s="33"/>
      <c r="F1033" s="33"/>
      <c r="G1033" s="33"/>
      <c r="H1033" s="33"/>
      <c r="I1033" s="33"/>
      <c r="J1033" s="33"/>
      <c r="K1033" s="33"/>
      <c r="L1033" s="33"/>
      <c r="M1033" s="33"/>
      <c r="N1033" s="33"/>
      <c r="O1033" s="33"/>
      <c r="P1033" s="33"/>
      <c r="Q1033" s="14"/>
      <c r="R1033" s="14"/>
      <c r="S1033" s="12"/>
      <c r="T1033" s="12"/>
      <c r="U1033" s="12"/>
      <c r="V1033" s="12"/>
      <c r="W1033" s="12"/>
      <c r="X1033" s="12"/>
      <c r="Y1033" s="12"/>
      <c r="Z1033" s="12"/>
      <c r="AA1033" s="12"/>
      <c r="AB1033" s="12"/>
      <c r="AC1033" s="12"/>
      <c r="AD1033" s="12"/>
    </row>
    <row r="1034" spans="2:30" x14ac:dyDescent="0.35">
      <c r="B1034" s="17"/>
      <c r="C1034" s="18"/>
      <c r="D1034" s="21"/>
      <c r="E1034" s="21"/>
      <c r="F1034" s="21"/>
      <c r="G1034" s="21"/>
      <c r="H1034" s="21"/>
      <c r="I1034" s="21"/>
      <c r="J1034" s="21"/>
      <c r="K1034" s="21"/>
      <c r="L1034" s="21"/>
      <c r="M1034" s="21"/>
      <c r="N1034" s="21"/>
      <c r="O1034" s="21"/>
      <c r="P1034" s="21"/>
      <c r="Q1034" s="14"/>
      <c r="R1034" s="14"/>
      <c r="S1034" s="12"/>
      <c r="T1034" s="12"/>
      <c r="U1034" s="12"/>
      <c r="V1034" s="12"/>
      <c r="W1034" s="12"/>
      <c r="X1034" s="12"/>
      <c r="Y1034" s="12"/>
      <c r="Z1034" s="12"/>
      <c r="AA1034" s="12"/>
      <c r="AB1034" s="12"/>
      <c r="AC1034" s="12"/>
      <c r="AD1034" s="12"/>
    </row>
    <row r="1035" spans="2:30" x14ac:dyDescent="0.35">
      <c r="B1035" s="17"/>
      <c r="C1035" s="18"/>
      <c r="D1035" s="21"/>
      <c r="E1035" s="21"/>
      <c r="F1035" s="21"/>
      <c r="G1035" s="21"/>
      <c r="H1035" s="21"/>
      <c r="I1035" s="21"/>
      <c r="J1035" s="21"/>
      <c r="K1035" s="21"/>
      <c r="L1035" s="21"/>
      <c r="M1035" s="21"/>
      <c r="N1035" s="21"/>
      <c r="O1035" s="21"/>
      <c r="P1035" s="21"/>
      <c r="Q1035" s="14"/>
      <c r="R1035" s="14"/>
      <c r="S1035" s="12"/>
      <c r="T1035" s="12"/>
      <c r="U1035" s="12"/>
      <c r="V1035" s="12"/>
      <c r="W1035" s="12"/>
      <c r="X1035" s="12"/>
      <c r="Y1035" s="12"/>
      <c r="Z1035" s="12"/>
      <c r="AA1035" s="12"/>
      <c r="AB1035" s="12"/>
      <c r="AC1035" s="12"/>
      <c r="AD1035" s="12"/>
    </row>
    <row r="1036" spans="2:30" x14ac:dyDescent="0.35">
      <c r="B1036" s="17"/>
      <c r="C1036" s="18"/>
      <c r="D1036" s="21"/>
      <c r="E1036" s="21"/>
      <c r="F1036" s="21"/>
      <c r="G1036" s="21"/>
      <c r="H1036" s="21"/>
      <c r="I1036" s="21"/>
      <c r="J1036" s="21"/>
      <c r="K1036" s="21"/>
      <c r="L1036" s="21"/>
      <c r="M1036" s="21"/>
      <c r="N1036" s="21"/>
      <c r="O1036" s="21"/>
      <c r="P1036" s="21"/>
      <c r="Q1036" s="14"/>
      <c r="R1036" s="14"/>
      <c r="S1036" s="12"/>
      <c r="T1036" s="12"/>
      <c r="U1036" s="12"/>
      <c r="V1036" s="12"/>
      <c r="W1036" s="12"/>
      <c r="X1036" s="12"/>
      <c r="Y1036" s="12"/>
      <c r="Z1036" s="12"/>
      <c r="AA1036" s="12"/>
      <c r="AB1036" s="12"/>
      <c r="AC1036" s="12"/>
      <c r="AD1036" s="12"/>
    </row>
    <row r="1037" spans="2:30" x14ac:dyDescent="0.35">
      <c r="B1037" s="17"/>
      <c r="C1037" s="18"/>
      <c r="D1037" s="21"/>
      <c r="E1037" s="21"/>
      <c r="F1037" s="21"/>
      <c r="G1037" s="21"/>
      <c r="H1037" s="21"/>
      <c r="I1037" s="21"/>
      <c r="J1037" s="21"/>
      <c r="K1037" s="21"/>
      <c r="L1037" s="21"/>
      <c r="M1037" s="21"/>
      <c r="N1037" s="21"/>
      <c r="O1037" s="21"/>
      <c r="P1037" s="21"/>
      <c r="Q1037" s="14"/>
      <c r="R1037" s="14"/>
      <c r="S1037" s="12"/>
      <c r="T1037" s="12"/>
      <c r="U1037" s="12"/>
      <c r="V1037" s="12"/>
      <c r="W1037" s="12"/>
      <c r="X1037" s="12"/>
      <c r="Y1037" s="12"/>
      <c r="Z1037" s="12"/>
      <c r="AA1037" s="12"/>
      <c r="AB1037" s="12"/>
      <c r="AC1037" s="12"/>
      <c r="AD1037" s="12"/>
    </row>
    <row r="1038" spans="2:30" x14ac:dyDescent="0.35">
      <c r="B1038" s="17"/>
      <c r="C1038" s="18"/>
      <c r="D1038" s="21"/>
      <c r="E1038" s="21"/>
      <c r="F1038" s="21"/>
      <c r="G1038" s="21"/>
      <c r="H1038" s="21"/>
      <c r="I1038" s="21"/>
      <c r="J1038" s="21"/>
      <c r="K1038" s="21"/>
      <c r="L1038" s="21"/>
      <c r="M1038" s="21"/>
      <c r="N1038" s="21"/>
      <c r="O1038" s="21"/>
      <c r="P1038" s="21"/>
      <c r="Q1038" s="14"/>
      <c r="R1038" s="14"/>
      <c r="S1038" s="12"/>
      <c r="T1038" s="12"/>
      <c r="U1038" s="12"/>
      <c r="V1038" s="12"/>
      <c r="W1038" s="12"/>
      <c r="X1038" s="12"/>
      <c r="Y1038" s="12"/>
      <c r="Z1038" s="12"/>
      <c r="AA1038" s="12"/>
      <c r="AB1038" s="12"/>
      <c r="AC1038" s="12"/>
      <c r="AD1038" s="12"/>
    </row>
    <row r="1039" spans="2:30" x14ac:dyDescent="0.35">
      <c r="B1039" s="17"/>
      <c r="C1039" s="18"/>
      <c r="D1039" s="21"/>
      <c r="E1039" s="21"/>
      <c r="F1039" s="21"/>
      <c r="G1039" s="21"/>
      <c r="H1039" s="21"/>
      <c r="I1039" s="21"/>
      <c r="J1039" s="21"/>
      <c r="K1039" s="21"/>
      <c r="L1039" s="21"/>
      <c r="M1039" s="21"/>
      <c r="N1039" s="21"/>
      <c r="O1039" s="21"/>
      <c r="P1039" s="21"/>
      <c r="Q1039" s="14"/>
      <c r="R1039" s="14"/>
      <c r="S1039" s="12"/>
      <c r="T1039" s="12"/>
      <c r="U1039" s="12"/>
      <c r="V1039" s="12"/>
      <c r="W1039" s="12"/>
      <c r="X1039" s="12"/>
      <c r="Y1039" s="12"/>
      <c r="Z1039" s="12"/>
      <c r="AA1039" s="12"/>
      <c r="AB1039" s="12"/>
      <c r="AC1039" s="12"/>
      <c r="AD1039" s="12"/>
    </row>
    <row r="1040" spans="2:30" x14ac:dyDescent="0.35">
      <c r="B1040" s="17"/>
      <c r="C1040" s="18"/>
      <c r="D1040" s="21"/>
      <c r="E1040" s="21"/>
      <c r="F1040" s="21"/>
      <c r="G1040" s="21"/>
      <c r="H1040" s="21"/>
      <c r="I1040" s="21"/>
      <c r="J1040" s="21"/>
      <c r="K1040" s="21"/>
      <c r="L1040" s="21"/>
      <c r="M1040" s="21"/>
      <c r="N1040" s="21"/>
      <c r="O1040" s="21"/>
      <c r="P1040" s="21"/>
      <c r="Q1040" s="14"/>
      <c r="R1040" s="14"/>
      <c r="S1040" s="12"/>
      <c r="T1040" s="12"/>
      <c r="U1040" s="12"/>
      <c r="V1040" s="12"/>
      <c r="W1040" s="12"/>
      <c r="X1040" s="12"/>
      <c r="Y1040" s="12"/>
      <c r="Z1040" s="12"/>
      <c r="AA1040" s="12"/>
      <c r="AB1040" s="12"/>
      <c r="AC1040" s="12"/>
      <c r="AD1040" s="12"/>
    </row>
    <row r="1041" spans="2:30" x14ac:dyDescent="0.35">
      <c r="B1041" s="17"/>
      <c r="C1041" s="18"/>
      <c r="D1041" s="21"/>
      <c r="E1041" s="21"/>
      <c r="F1041" s="21"/>
      <c r="G1041" s="21"/>
      <c r="H1041" s="21"/>
      <c r="I1041" s="21"/>
      <c r="J1041" s="21"/>
      <c r="K1041" s="21"/>
      <c r="L1041" s="21"/>
      <c r="M1041" s="21"/>
      <c r="N1041" s="21"/>
      <c r="O1041" s="21"/>
      <c r="P1041" s="21"/>
      <c r="Q1041" s="14"/>
      <c r="R1041" s="14"/>
      <c r="S1041" s="12"/>
      <c r="T1041" s="12"/>
      <c r="U1041" s="12"/>
      <c r="V1041" s="12"/>
      <c r="W1041" s="12"/>
      <c r="X1041" s="12"/>
      <c r="Y1041" s="12"/>
      <c r="Z1041" s="12"/>
      <c r="AA1041" s="12"/>
      <c r="AB1041" s="12"/>
      <c r="AC1041" s="12"/>
      <c r="AD1041" s="12"/>
    </row>
    <row r="1042" spans="2:30" x14ac:dyDescent="0.35">
      <c r="B1042" s="17"/>
      <c r="C1042" s="18"/>
      <c r="D1042" s="21"/>
      <c r="E1042" s="21"/>
      <c r="F1042" s="21"/>
      <c r="G1042" s="21"/>
      <c r="H1042" s="21"/>
      <c r="I1042" s="21"/>
      <c r="J1042" s="21"/>
      <c r="K1042" s="21"/>
      <c r="L1042" s="21"/>
      <c r="M1042" s="21"/>
      <c r="N1042" s="21"/>
      <c r="O1042" s="21"/>
      <c r="P1042" s="21"/>
      <c r="Q1042" s="14"/>
      <c r="R1042" s="14"/>
      <c r="S1042" s="12"/>
      <c r="T1042" s="12"/>
      <c r="U1042" s="12"/>
      <c r="V1042" s="12"/>
      <c r="W1042" s="12"/>
      <c r="X1042" s="12"/>
      <c r="Y1042" s="12"/>
      <c r="Z1042" s="12"/>
      <c r="AA1042" s="12"/>
      <c r="AB1042" s="12"/>
      <c r="AC1042" s="12"/>
      <c r="AD1042" s="12"/>
    </row>
    <row r="1043" spans="2:30" x14ac:dyDescent="0.35">
      <c r="B1043" s="17"/>
      <c r="C1043" s="18"/>
      <c r="D1043" s="21"/>
      <c r="E1043" s="21"/>
      <c r="F1043" s="21"/>
      <c r="G1043" s="21"/>
      <c r="H1043" s="21"/>
      <c r="I1043" s="21"/>
      <c r="J1043" s="21"/>
      <c r="K1043" s="21"/>
      <c r="L1043" s="21"/>
      <c r="M1043" s="21"/>
      <c r="N1043" s="21"/>
      <c r="O1043" s="21"/>
      <c r="P1043" s="21"/>
      <c r="Q1043" s="14"/>
      <c r="R1043" s="14"/>
      <c r="S1043" s="12"/>
      <c r="T1043" s="12"/>
      <c r="U1043" s="12"/>
      <c r="V1043" s="12"/>
      <c r="W1043" s="12"/>
      <c r="X1043" s="12"/>
      <c r="Y1043" s="12"/>
      <c r="Z1043" s="12"/>
      <c r="AA1043" s="12"/>
      <c r="AB1043" s="12"/>
      <c r="AC1043" s="12"/>
      <c r="AD1043" s="12"/>
    </row>
    <row r="1044" spans="2:30" x14ac:dyDescent="0.35">
      <c r="B1044" s="17"/>
      <c r="C1044" s="13"/>
      <c r="D1044" s="14"/>
      <c r="E1044" s="14"/>
      <c r="F1044" s="14"/>
      <c r="G1044" s="14"/>
      <c r="H1044" s="14"/>
      <c r="I1044" s="14"/>
      <c r="J1044" s="14"/>
      <c r="K1044" s="14"/>
      <c r="L1044" s="14"/>
      <c r="M1044" s="14"/>
      <c r="N1044" s="14"/>
      <c r="O1044" s="14"/>
      <c r="P1044" s="14"/>
      <c r="Q1044" s="14"/>
      <c r="R1044" s="14"/>
      <c r="S1044" s="12"/>
      <c r="T1044" s="12"/>
      <c r="U1044" s="12"/>
      <c r="V1044" s="12"/>
      <c r="W1044" s="12"/>
      <c r="X1044" s="12"/>
      <c r="Y1044" s="12"/>
      <c r="Z1044" s="12"/>
      <c r="AA1044" s="12"/>
      <c r="AB1044" s="12"/>
      <c r="AC1044" s="12"/>
      <c r="AD1044" s="12"/>
    </row>
    <row r="1045" spans="2:30" x14ac:dyDescent="0.35">
      <c r="B1045" s="17"/>
      <c r="C1045" s="13"/>
      <c r="D1045" s="14"/>
      <c r="E1045" s="14"/>
      <c r="F1045" s="14"/>
      <c r="G1045" s="14"/>
      <c r="H1045" s="14"/>
      <c r="I1045" s="14"/>
      <c r="J1045" s="14"/>
      <c r="K1045" s="14"/>
      <c r="L1045" s="14"/>
      <c r="M1045" s="14"/>
      <c r="N1045" s="14"/>
      <c r="O1045" s="14"/>
      <c r="P1045" s="14"/>
      <c r="Q1045" s="14"/>
      <c r="R1045" s="14"/>
      <c r="S1045" s="12"/>
      <c r="T1045" s="12"/>
      <c r="U1045" s="12"/>
      <c r="V1045" s="12"/>
      <c r="W1045" s="12"/>
      <c r="X1045" s="12"/>
      <c r="Y1045" s="12"/>
      <c r="Z1045" s="12"/>
      <c r="AA1045" s="12"/>
      <c r="AB1045" s="12"/>
      <c r="AC1045" s="12"/>
      <c r="AD1045" s="12"/>
    </row>
    <row r="1046" spans="2:30" x14ac:dyDescent="0.35">
      <c r="B1046" s="17"/>
      <c r="C1046" s="13"/>
      <c r="D1046" s="14"/>
      <c r="E1046" s="14"/>
      <c r="F1046" s="14"/>
      <c r="G1046" s="14"/>
      <c r="H1046" s="14"/>
      <c r="I1046" s="14"/>
      <c r="J1046" s="14"/>
      <c r="K1046" s="14"/>
      <c r="L1046" s="14"/>
      <c r="M1046" s="14"/>
      <c r="N1046" s="14"/>
      <c r="O1046" s="14"/>
      <c r="P1046" s="14"/>
      <c r="Q1046" s="21"/>
      <c r="R1046" s="21"/>
      <c r="S1046" s="12"/>
      <c r="T1046" s="12"/>
      <c r="U1046" s="12"/>
      <c r="V1046" s="12"/>
      <c r="W1046" s="12"/>
      <c r="X1046" s="12"/>
      <c r="Y1046" s="12"/>
      <c r="Z1046" s="12"/>
      <c r="AA1046" s="12"/>
      <c r="AB1046" s="12"/>
      <c r="AC1046" s="12"/>
      <c r="AD1046" s="12"/>
    </row>
    <row r="1047" spans="2:30" x14ac:dyDescent="0.35">
      <c r="B1047" s="17"/>
      <c r="C1047" s="13"/>
      <c r="D1047" s="14"/>
      <c r="E1047" s="14"/>
      <c r="F1047" s="14"/>
      <c r="G1047" s="14"/>
      <c r="H1047" s="14"/>
      <c r="I1047" s="14"/>
      <c r="J1047" s="14"/>
      <c r="K1047" s="14"/>
      <c r="L1047" s="14"/>
      <c r="M1047" s="14"/>
      <c r="N1047" s="14"/>
      <c r="O1047" s="14"/>
      <c r="P1047" s="14"/>
      <c r="Q1047" s="21"/>
      <c r="R1047" s="21"/>
      <c r="S1047" s="12"/>
      <c r="T1047" s="12"/>
      <c r="U1047" s="12"/>
      <c r="V1047" s="12"/>
      <c r="W1047" s="12"/>
      <c r="X1047" s="12"/>
      <c r="Y1047" s="12"/>
      <c r="Z1047" s="12"/>
      <c r="AA1047" s="12"/>
      <c r="AB1047" s="12"/>
      <c r="AC1047" s="12"/>
      <c r="AD1047" s="12"/>
    </row>
    <row r="1048" spans="2:30" x14ac:dyDescent="0.35">
      <c r="B1048" s="17"/>
      <c r="C1048" s="32"/>
      <c r="D1048" s="34"/>
      <c r="E1048" s="34"/>
      <c r="F1048" s="34"/>
      <c r="G1048" s="34"/>
      <c r="H1048" s="34"/>
      <c r="I1048" s="34"/>
      <c r="J1048" s="34"/>
      <c r="K1048" s="34"/>
      <c r="L1048" s="34"/>
      <c r="M1048" s="34"/>
      <c r="N1048" s="34"/>
      <c r="O1048" s="34"/>
      <c r="P1048" s="34"/>
      <c r="Q1048" s="21"/>
      <c r="R1048" s="21"/>
      <c r="S1048" s="12"/>
      <c r="T1048" s="12"/>
      <c r="U1048" s="12"/>
      <c r="V1048" s="12"/>
      <c r="W1048" s="12"/>
      <c r="X1048" s="12"/>
      <c r="Y1048" s="12"/>
      <c r="Z1048" s="12"/>
      <c r="AA1048" s="12"/>
      <c r="AB1048" s="12"/>
      <c r="AC1048" s="12"/>
      <c r="AD1048" s="12"/>
    </row>
    <row r="1049" spans="2:30" x14ac:dyDescent="0.35">
      <c r="B1049" s="17"/>
      <c r="C1049" s="13"/>
      <c r="D1049" s="14"/>
      <c r="E1049" s="14"/>
      <c r="F1049" s="14"/>
      <c r="G1049" s="14"/>
      <c r="H1049" s="14"/>
      <c r="I1049" s="14"/>
      <c r="J1049" s="14"/>
      <c r="K1049" s="14"/>
      <c r="L1049" s="14"/>
      <c r="M1049" s="14"/>
      <c r="N1049" s="14"/>
      <c r="O1049" s="14"/>
      <c r="P1049" s="14"/>
      <c r="Q1049" s="21"/>
      <c r="R1049" s="21"/>
      <c r="S1049" s="12"/>
      <c r="T1049" s="12"/>
      <c r="U1049" s="12"/>
      <c r="V1049" s="12"/>
      <c r="W1049" s="12"/>
      <c r="X1049" s="12"/>
      <c r="Y1049" s="12"/>
      <c r="Z1049" s="12"/>
      <c r="AA1049" s="12"/>
      <c r="AB1049" s="12"/>
      <c r="AC1049" s="12"/>
      <c r="AD1049" s="12"/>
    </row>
    <row r="1050" spans="2:30" x14ac:dyDescent="0.35">
      <c r="B1050" s="17"/>
      <c r="C1050" s="13"/>
      <c r="D1050" s="14"/>
      <c r="E1050" s="14"/>
      <c r="F1050" s="14"/>
      <c r="G1050" s="14"/>
      <c r="H1050" s="14"/>
      <c r="I1050" s="14"/>
      <c r="J1050" s="14"/>
      <c r="K1050" s="14"/>
      <c r="L1050" s="14"/>
      <c r="M1050" s="14"/>
      <c r="N1050" s="14"/>
      <c r="O1050" s="14"/>
      <c r="P1050" s="14"/>
      <c r="Q1050" s="21"/>
      <c r="R1050" s="21"/>
      <c r="S1050" s="12"/>
      <c r="T1050" s="12"/>
      <c r="U1050" s="12"/>
      <c r="V1050" s="12"/>
      <c r="W1050" s="12"/>
      <c r="X1050" s="12"/>
      <c r="Y1050" s="12"/>
      <c r="Z1050" s="12"/>
      <c r="AA1050" s="12"/>
      <c r="AB1050" s="12"/>
      <c r="AC1050" s="12"/>
      <c r="AD1050" s="12"/>
    </row>
    <row r="1051" spans="2:30" x14ac:dyDescent="0.35">
      <c r="B1051" s="17"/>
      <c r="C1051" s="13"/>
      <c r="D1051" s="14"/>
      <c r="E1051" s="14"/>
      <c r="F1051" s="14"/>
      <c r="G1051" s="14"/>
      <c r="H1051" s="14"/>
      <c r="I1051" s="14"/>
      <c r="J1051" s="14"/>
      <c r="K1051" s="14"/>
      <c r="L1051" s="14"/>
      <c r="M1051" s="14"/>
      <c r="N1051" s="14"/>
      <c r="O1051" s="14"/>
      <c r="P1051" s="14"/>
      <c r="Q1051" s="21"/>
      <c r="R1051" s="21"/>
      <c r="S1051" s="12"/>
      <c r="T1051" s="12"/>
      <c r="U1051" s="12"/>
      <c r="V1051" s="12"/>
      <c r="W1051" s="12"/>
      <c r="X1051" s="12"/>
      <c r="Y1051" s="12"/>
      <c r="Z1051" s="12"/>
      <c r="AA1051" s="12"/>
      <c r="AB1051" s="12"/>
      <c r="AC1051" s="12"/>
      <c r="AD1051" s="12"/>
    </row>
    <row r="1052" spans="2:30" x14ac:dyDescent="0.35">
      <c r="B1052" s="17"/>
      <c r="C1052" s="13"/>
      <c r="D1052" s="14"/>
      <c r="E1052" s="14"/>
      <c r="F1052" s="14"/>
      <c r="G1052" s="14"/>
      <c r="H1052" s="14"/>
      <c r="I1052" s="14"/>
      <c r="J1052" s="14"/>
      <c r="K1052" s="14"/>
      <c r="L1052" s="14"/>
      <c r="M1052" s="14"/>
      <c r="N1052" s="14"/>
      <c r="O1052" s="14"/>
      <c r="P1052" s="14"/>
      <c r="Q1052" s="21"/>
      <c r="R1052" s="21"/>
      <c r="S1052" s="12"/>
      <c r="T1052" s="12"/>
      <c r="U1052" s="12"/>
      <c r="V1052" s="12"/>
      <c r="W1052" s="12"/>
      <c r="X1052" s="12"/>
      <c r="Y1052" s="12"/>
      <c r="Z1052" s="12"/>
      <c r="AA1052" s="12"/>
      <c r="AB1052" s="12"/>
      <c r="AC1052" s="12"/>
      <c r="AD1052" s="12"/>
    </row>
    <row r="1053" spans="2:30" x14ac:dyDescent="0.35">
      <c r="B1053" s="17"/>
      <c r="C1053" s="13"/>
      <c r="D1053" s="14"/>
      <c r="E1053" s="14"/>
      <c r="F1053" s="14"/>
      <c r="G1053" s="14"/>
      <c r="H1053" s="14"/>
      <c r="I1053" s="14"/>
      <c r="J1053" s="14"/>
      <c r="K1053" s="14"/>
      <c r="L1053" s="14"/>
      <c r="M1053" s="14"/>
      <c r="N1053" s="14"/>
      <c r="O1053" s="14"/>
      <c r="P1053" s="14"/>
      <c r="Q1053" s="21"/>
      <c r="R1053" s="21"/>
      <c r="S1053" s="12"/>
      <c r="T1053" s="12"/>
      <c r="U1053" s="12"/>
      <c r="V1053" s="12"/>
      <c r="W1053" s="12"/>
      <c r="X1053" s="12"/>
      <c r="Y1053" s="12"/>
      <c r="Z1053" s="12"/>
      <c r="AA1053" s="12"/>
      <c r="AB1053" s="12"/>
      <c r="AC1053" s="12"/>
      <c r="AD1053" s="12"/>
    </row>
    <row r="1054" spans="2:30" x14ac:dyDescent="0.35">
      <c r="B1054" s="17"/>
      <c r="C1054" s="13"/>
      <c r="D1054" s="14"/>
      <c r="E1054" s="14"/>
      <c r="F1054" s="14"/>
      <c r="G1054" s="14"/>
      <c r="H1054" s="14"/>
      <c r="I1054" s="14"/>
      <c r="J1054" s="14"/>
      <c r="K1054" s="14"/>
      <c r="L1054" s="14"/>
      <c r="M1054" s="14"/>
      <c r="N1054" s="14"/>
      <c r="O1054" s="14"/>
      <c r="P1054" s="14"/>
      <c r="Q1054" s="21"/>
      <c r="R1054" s="21"/>
      <c r="S1054" s="12"/>
      <c r="T1054" s="12"/>
      <c r="U1054" s="12"/>
      <c r="V1054" s="12"/>
      <c r="W1054" s="12"/>
      <c r="X1054" s="12"/>
      <c r="Y1054" s="12"/>
      <c r="Z1054" s="12"/>
      <c r="AA1054" s="12"/>
      <c r="AB1054" s="12"/>
      <c r="AC1054" s="12"/>
      <c r="AD1054" s="12"/>
    </row>
    <row r="1055" spans="2:30" x14ac:dyDescent="0.35">
      <c r="B1055" s="17"/>
      <c r="C1055" s="32"/>
      <c r="D1055" s="34"/>
      <c r="E1055" s="34"/>
      <c r="F1055" s="34"/>
      <c r="G1055" s="34"/>
      <c r="H1055" s="34"/>
      <c r="I1055" s="34"/>
      <c r="J1055" s="34"/>
      <c r="K1055" s="34"/>
      <c r="L1055" s="34"/>
      <c r="M1055" s="34"/>
      <c r="N1055" s="34"/>
      <c r="O1055" s="34"/>
      <c r="P1055" s="34"/>
      <c r="Q1055" s="21"/>
      <c r="R1055" s="21"/>
      <c r="S1055" s="12"/>
      <c r="T1055" s="12"/>
      <c r="U1055" s="12"/>
      <c r="V1055" s="12"/>
      <c r="W1055" s="12"/>
      <c r="X1055" s="12"/>
      <c r="Y1055" s="12"/>
      <c r="Z1055" s="12"/>
      <c r="AA1055" s="12"/>
      <c r="AB1055" s="12"/>
      <c r="AC1055" s="12"/>
      <c r="AD1055" s="12"/>
    </row>
    <row r="1056" spans="2:30" x14ac:dyDescent="0.35">
      <c r="B1056" s="17"/>
      <c r="C1056" s="13"/>
      <c r="D1056" s="14"/>
      <c r="E1056" s="14"/>
      <c r="F1056" s="14"/>
      <c r="G1056" s="14"/>
      <c r="H1056" s="14"/>
      <c r="I1056" s="14"/>
      <c r="J1056" s="14"/>
      <c r="K1056" s="14"/>
      <c r="L1056" s="14"/>
      <c r="M1056" s="14"/>
      <c r="N1056" s="14"/>
      <c r="O1056" s="14"/>
      <c r="P1056" s="14"/>
      <c r="Q1056" s="21"/>
      <c r="R1056" s="21"/>
      <c r="S1056" s="12"/>
      <c r="T1056" s="12"/>
      <c r="U1056" s="12"/>
      <c r="V1056" s="12"/>
      <c r="W1056" s="12"/>
      <c r="X1056" s="12"/>
      <c r="Y1056" s="12"/>
      <c r="Z1056" s="12"/>
      <c r="AA1056" s="12"/>
      <c r="AB1056" s="12"/>
      <c r="AC1056" s="12"/>
      <c r="AD1056" s="12"/>
    </row>
    <row r="1057" spans="2:30" x14ac:dyDescent="0.35">
      <c r="B1057" s="17"/>
      <c r="C1057" s="13"/>
      <c r="D1057" s="14"/>
      <c r="E1057" s="14"/>
      <c r="F1057" s="14"/>
      <c r="G1057" s="14"/>
      <c r="H1057" s="14"/>
      <c r="I1057" s="14"/>
      <c r="J1057" s="14"/>
      <c r="K1057" s="14"/>
      <c r="L1057" s="14"/>
      <c r="M1057" s="14"/>
      <c r="N1057" s="14"/>
      <c r="O1057" s="14"/>
      <c r="P1057" s="14"/>
      <c r="Q1057" s="21"/>
      <c r="R1057" s="21"/>
      <c r="S1057" s="12"/>
      <c r="T1057" s="12"/>
      <c r="U1057" s="12"/>
      <c r="V1057" s="12"/>
      <c r="W1057" s="12"/>
      <c r="X1057" s="12"/>
      <c r="Y1057" s="12"/>
      <c r="Z1057" s="12"/>
      <c r="AA1057" s="12"/>
      <c r="AB1057" s="12"/>
      <c r="AC1057" s="12"/>
      <c r="AD1057" s="12"/>
    </row>
    <row r="1058" spans="2:30" x14ac:dyDescent="0.35">
      <c r="B1058" s="17"/>
      <c r="C1058" s="13"/>
      <c r="D1058" s="14"/>
      <c r="E1058" s="14"/>
      <c r="F1058" s="14"/>
      <c r="G1058" s="14"/>
      <c r="H1058" s="14"/>
      <c r="I1058" s="14"/>
      <c r="J1058" s="14"/>
      <c r="K1058" s="14"/>
      <c r="L1058" s="14"/>
      <c r="M1058" s="14"/>
      <c r="N1058" s="14"/>
      <c r="O1058" s="14"/>
      <c r="P1058" s="14"/>
      <c r="Q1058" s="21"/>
      <c r="R1058" s="21"/>
      <c r="S1058" s="12"/>
      <c r="T1058" s="12"/>
      <c r="U1058" s="12"/>
      <c r="V1058" s="12"/>
      <c r="W1058" s="12"/>
      <c r="X1058" s="12"/>
      <c r="Y1058" s="12"/>
      <c r="Z1058" s="12"/>
      <c r="AA1058" s="12"/>
      <c r="AB1058" s="12"/>
      <c r="AC1058" s="12"/>
      <c r="AD1058" s="12"/>
    </row>
    <row r="1059" spans="2:30" x14ac:dyDescent="0.35">
      <c r="B1059" s="17"/>
      <c r="C1059" s="13"/>
      <c r="D1059" s="14"/>
      <c r="E1059" s="14"/>
      <c r="F1059" s="14"/>
      <c r="G1059" s="14"/>
      <c r="H1059" s="14"/>
      <c r="I1059" s="14"/>
      <c r="J1059" s="14"/>
      <c r="K1059" s="14"/>
      <c r="L1059" s="14"/>
      <c r="M1059" s="14"/>
      <c r="N1059" s="14"/>
      <c r="O1059" s="14"/>
      <c r="P1059" s="14"/>
      <c r="Q1059" s="21"/>
      <c r="R1059" s="21"/>
      <c r="S1059" s="12"/>
      <c r="T1059" s="12"/>
      <c r="U1059" s="12"/>
      <c r="V1059" s="12"/>
      <c r="W1059" s="12"/>
      <c r="X1059" s="12"/>
      <c r="Y1059" s="12"/>
      <c r="Z1059" s="12"/>
      <c r="AA1059" s="12"/>
      <c r="AB1059" s="12"/>
      <c r="AC1059" s="12"/>
      <c r="AD1059" s="12"/>
    </row>
    <row r="1060" spans="2:30" x14ac:dyDescent="0.35">
      <c r="B1060" s="17"/>
      <c r="C1060" s="13"/>
      <c r="D1060" s="14"/>
      <c r="E1060" s="14"/>
      <c r="F1060" s="14"/>
      <c r="G1060" s="14"/>
      <c r="H1060" s="14"/>
      <c r="I1060" s="14"/>
      <c r="J1060" s="14"/>
      <c r="K1060" s="14"/>
      <c r="L1060" s="14"/>
      <c r="M1060" s="14"/>
      <c r="N1060" s="14"/>
      <c r="O1060" s="14"/>
      <c r="P1060" s="14"/>
      <c r="Q1060" s="21"/>
      <c r="R1060" s="21"/>
      <c r="S1060" s="12"/>
      <c r="T1060" s="12"/>
      <c r="U1060" s="12"/>
      <c r="V1060" s="12"/>
      <c r="W1060" s="12"/>
      <c r="X1060" s="12"/>
      <c r="Y1060" s="12"/>
      <c r="Z1060" s="12"/>
      <c r="AA1060" s="12"/>
      <c r="AB1060" s="12"/>
      <c r="AC1060" s="12"/>
      <c r="AD1060" s="12"/>
    </row>
    <row r="1061" spans="2:30" x14ac:dyDescent="0.35">
      <c r="B1061" s="17"/>
      <c r="C1061" s="13"/>
      <c r="D1061" s="14"/>
      <c r="E1061" s="14"/>
      <c r="F1061" s="14"/>
      <c r="G1061" s="14"/>
      <c r="H1061" s="14"/>
      <c r="I1061" s="14"/>
      <c r="J1061" s="14"/>
      <c r="K1061" s="14"/>
      <c r="L1061" s="14"/>
      <c r="M1061" s="14"/>
      <c r="N1061" s="14"/>
      <c r="O1061" s="14"/>
      <c r="P1061" s="14"/>
      <c r="Q1061" s="21"/>
      <c r="R1061" s="21"/>
      <c r="S1061" s="12"/>
      <c r="T1061" s="12"/>
      <c r="U1061" s="12"/>
      <c r="V1061" s="12"/>
      <c r="W1061" s="12"/>
      <c r="X1061" s="12"/>
      <c r="Y1061" s="12"/>
      <c r="Z1061" s="12"/>
      <c r="AA1061" s="12"/>
      <c r="AB1061" s="12"/>
      <c r="AC1061" s="12"/>
      <c r="AD1061" s="12"/>
    </row>
    <row r="1062" spans="2:30" x14ac:dyDescent="0.35">
      <c r="B1062" s="17"/>
      <c r="C1062" s="13"/>
      <c r="D1062" s="14"/>
      <c r="E1062" s="14"/>
      <c r="F1062" s="14"/>
      <c r="G1062" s="14"/>
      <c r="H1062" s="14"/>
      <c r="I1062" s="14"/>
      <c r="J1062" s="14"/>
      <c r="K1062" s="14"/>
      <c r="L1062" s="14"/>
      <c r="M1062" s="14"/>
      <c r="N1062" s="14"/>
      <c r="O1062" s="14"/>
      <c r="P1062" s="14"/>
      <c r="Q1062" s="14"/>
      <c r="R1062" s="14"/>
      <c r="S1062" s="12"/>
      <c r="T1062" s="12"/>
      <c r="U1062" s="12"/>
      <c r="V1062" s="12"/>
      <c r="W1062" s="12"/>
      <c r="X1062" s="12"/>
      <c r="Y1062" s="12"/>
      <c r="Z1062" s="12"/>
      <c r="AA1062" s="12"/>
      <c r="AB1062" s="12"/>
      <c r="AC1062" s="12"/>
      <c r="AD1062" s="12"/>
    </row>
    <row r="1063" spans="2:30" x14ac:dyDescent="0.35">
      <c r="B1063" s="17"/>
      <c r="C1063" s="13"/>
      <c r="D1063" s="14"/>
      <c r="E1063" s="14"/>
      <c r="F1063" s="14"/>
      <c r="G1063" s="14"/>
      <c r="H1063" s="14"/>
      <c r="I1063" s="14"/>
      <c r="J1063" s="14"/>
      <c r="K1063" s="14"/>
      <c r="L1063" s="14"/>
      <c r="M1063" s="14"/>
      <c r="N1063" s="14"/>
      <c r="O1063" s="14"/>
      <c r="P1063" s="14"/>
      <c r="Q1063" s="14"/>
      <c r="R1063" s="14"/>
      <c r="S1063" s="12"/>
      <c r="T1063" s="12"/>
      <c r="U1063" s="12"/>
      <c r="V1063" s="12"/>
      <c r="W1063" s="12"/>
      <c r="X1063" s="12"/>
      <c r="Y1063" s="12"/>
      <c r="Z1063" s="12"/>
      <c r="AA1063" s="12"/>
      <c r="AB1063" s="12"/>
      <c r="AC1063" s="12"/>
      <c r="AD1063" s="12"/>
    </row>
    <row r="1064" spans="2:30" x14ac:dyDescent="0.35">
      <c r="B1064" s="17"/>
      <c r="C1064" s="18"/>
      <c r="D1064" s="21"/>
      <c r="E1064" s="21"/>
      <c r="F1064" s="21"/>
      <c r="G1064" s="21"/>
      <c r="H1064" s="21"/>
      <c r="I1064" s="21"/>
      <c r="J1064" s="21"/>
      <c r="K1064" s="21"/>
      <c r="L1064" s="21"/>
      <c r="M1064" s="21"/>
      <c r="N1064" s="21"/>
      <c r="O1064" s="21"/>
      <c r="P1064" s="21"/>
      <c r="Q1064" s="14"/>
      <c r="R1064" s="14"/>
      <c r="S1064" s="12"/>
      <c r="T1064" s="12"/>
      <c r="U1064" s="12"/>
      <c r="V1064" s="12"/>
      <c r="W1064" s="12"/>
      <c r="X1064" s="12"/>
      <c r="Y1064" s="12"/>
      <c r="Z1064" s="12"/>
      <c r="AA1064" s="12"/>
      <c r="AB1064" s="12"/>
      <c r="AC1064" s="12"/>
      <c r="AD1064" s="12"/>
    </row>
    <row r="1065" spans="2:30" x14ac:dyDescent="0.35">
      <c r="B1065" s="17"/>
      <c r="C1065" s="18"/>
      <c r="D1065" s="21"/>
      <c r="E1065" s="21"/>
      <c r="F1065" s="21"/>
      <c r="G1065" s="21"/>
      <c r="H1065" s="21"/>
      <c r="I1065" s="21"/>
      <c r="J1065" s="21"/>
      <c r="K1065" s="21"/>
      <c r="L1065" s="21"/>
      <c r="M1065" s="21"/>
      <c r="N1065" s="21"/>
      <c r="O1065" s="21"/>
      <c r="P1065" s="21"/>
      <c r="Q1065" s="14"/>
      <c r="R1065" s="14"/>
      <c r="S1065" s="12"/>
      <c r="T1065" s="12"/>
      <c r="U1065" s="12"/>
      <c r="V1065" s="12"/>
      <c r="W1065" s="12"/>
      <c r="X1065" s="12"/>
      <c r="Y1065" s="12"/>
      <c r="Z1065" s="12"/>
      <c r="AA1065" s="12"/>
      <c r="AB1065" s="12"/>
      <c r="AC1065" s="12"/>
      <c r="AD1065" s="12"/>
    </row>
    <row r="1066" spans="2:30" x14ac:dyDescent="0.35">
      <c r="B1066" s="17"/>
      <c r="C1066" s="18"/>
      <c r="D1066" s="21"/>
      <c r="E1066" s="21"/>
      <c r="F1066" s="21"/>
      <c r="G1066" s="21"/>
      <c r="H1066" s="21"/>
      <c r="I1066" s="21"/>
      <c r="J1066" s="21"/>
      <c r="K1066" s="21"/>
      <c r="L1066" s="21"/>
      <c r="M1066" s="21"/>
      <c r="N1066" s="21"/>
      <c r="O1066" s="21"/>
      <c r="P1066" s="21"/>
      <c r="Q1066" s="14"/>
      <c r="R1066" s="14"/>
      <c r="S1066" s="12"/>
      <c r="T1066" s="12"/>
      <c r="U1066" s="12"/>
      <c r="V1066" s="12"/>
      <c r="W1066" s="12"/>
      <c r="X1066" s="12"/>
      <c r="Y1066" s="12"/>
      <c r="Z1066" s="12"/>
      <c r="AA1066" s="12"/>
      <c r="AB1066" s="12"/>
      <c r="AC1066" s="12"/>
      <c r="AD1066" s="12"/>
    </row>
    <row r="1067" spans="2:30" x14ac:dyDescent="0.35">
      <c r="B1067" s="17"/>
      <c r="C1067" s="18"/>
      <c r="D1067" s="33"/>
      <c r="E1067" s="33"/>
      <c r="F1067" s="33"/>
      <c r="G1067" s="33"/>
      <c r="H1067" s="33"/>
      <c r="I1067" s="33"/>
      <c r="J1067" s="33"/>
      <c r="K1067" s="33"/>
      <c r="L1067" s="33"/>
      <c r="M1067" s="33"/>
      <c r="N1067" s="33"/>
      <c r="O1067" s="33"/>
      <c r="P1067" s="33"/>
      <c r="Q1067" s="14"/>
      <c r="R1067" s="14"/>
      <c r="S1067" s="12"/>
      <c r="T1067" s="12"/>
      <c r="U1067" s="12"/>
      <c r="V1067" s="12"/>
      <c r="W1067" s="12"/>
      <c r="X1067" s="12"/>
      <c r="Y1067" s="12"/>
      <c r="Z1067" s="12"/>
      <c r="AA1067" s="12"/>
      <c r="AB1067" s="12"/>
      <c r="AC1067" s="12"/>
      <c r="AD1067" s="12"/>
    </row>
    <row r="1068" spans="2:30" x14ac:dyDescent="0.35">
      <c r="B1068" s="17"/>
      <c r="C1068" s="18"/>
      <c r="D1068" s="33"/>
      <c r="E1068" s="33"/>
      <c r="F1068" s="33"/>
      <c r="G1068" s="33"/>
      <c r="H1068" s="33"/>
      <c r="I1068" s="33"/>
      <c r="J1068" s="33"/>
      <c r="K1068" s="33"/>
      <c r="L1068" s="33"/>
      <c r="M1068" s="33"/>
      <c r="N1068" s="33"/>
      <c r="O1068" s="33"/>
      <c r="P1068" s="33"/>
      <c r="Q1068" s="14"/>
      <c r="R1068" s="14"/>
      <c r="S1068" s="12"/>
      <c r="T1068" s="12"/>
      <c r="U1068" s="12"/>
      <c r="V1068" s="12"/>
      <c r="W1068" s="12"/>
      <c r="X1068" s="12"/>
      <c r="Y1068" s="12"/>
      <c r="Z1068" s="12"/>
      <c r="AA1068" s="12"/>
      <c r="AB1068" s="12"/>
      <c r="AC1068" s="12"/>
      <c r="AD1068" s="12"/>
    </row>
    <row r="1069" spans="2:30" x14ac:dyDescent="0.35">
      <c r="B1069" s="17"/>
      <c r="C1069" s="18"/>
      <c r="D1069" s="33"/>
      <c r="E1069" s="33"/>
      <c r="F1069" s="33"/>
      <c r="G1069" s="33"/>
      <c r="H1069" s="33"/>
      <c r="I1069" s="33"/>
      <c r="J1069" s="33"/>
      <c r="K1069" s="33"/>
      <c r="L1069" s="33"/>
      <c r="M1069" s="33"/>
      <c r="N1069" s="33"/>
      <c r="O1069" s="33"/>
      <c r="P1069" s="33"/>
      <c r="Q1069" s="21"/>
      <c r="R1069" s="21"/>
      <c r="S1069" s="12"/>
      <c r="T1069" s="12"/>
      <c r="U1069" s="12"/>
      <c r="V1069" s="12"/>
      <c r="W1069" s="12"/>
      <c r="X1069" s="12"/>
      <c r="Y1069" s="12"/>
      <c r="Z1069" s="12"/>
      <c r="AA1069" s="12"/>
      <c r="AB1069" s="12"/>
      <c r="AC1069" s="12"/>
      <c r="AD1069" s="12"/>
    </row>
    <row r="1070" spans="2:30" x14ac:dyDescent="0.35">
      <c r="B1070" s="17"/>
      <c r="C1070" s="18"/>
      <c r="D1070" s="33"/>
      <c r="E1070" s="33"/>
      <c r="F1070" s="33"/>
      <c r="G1070" s="33"/>
      <c r="H1070" s="33"/>
      <c r="I1070" s="33"/>
      <c r="J1070" s="33"/>
      <c r="K1070" s="33"/>
      <c r="L1070" s="33"/>
      <c r="M1070" s="33"/>
      <c r="N1070" s="33"/>
      <c r="O1070" s="33"/>
      <c r="P1070" s="33"/>
      <c r="Q1070" s="21"/>
      <c r="R1070" s="21"/>
      <c r="S1070" s="12"/>
      <c r="T1070" s="12"/>
      <c r="U1070" s="12"/>
      <c r="V1070" s="12"/>
      <c r="W1070" s="12"/>
      <c r="X1070" s="12"/>
      <c r="Y1070" s="12"/>
      <c r="Z1070" s="12"/>
      <c r="AA1070" s="12"/>
      <c r="AB1070" s="12"/>
      <c r="AC1070" s="12"/>
      <c r="AD1070" s="12"/>
    </row>
    <row r="1071" spans="2:30" x14ac:dyDescent="0.35">
      <c r="B1071" s="17"/>
      <c r="C1071" s="18"/>
      <c r="D1071" s="33"/>
      <c r="E1071" s="33"/>
      <c r="F1071" s="33"/>
      <c r="G1071" s="33"/>
      <c r="H1071" s="33"/>
      <c r="I1071" s="33"/>
      <c r="J1071" s="33"/>
      <c r="K1071" s="33"/>
      <c r="L1071" s="33"/>
      <c r="M1071" s="33"/>
      <c r="N1071" s="33"/>
      <c r="O1071" s="33"/>
      <c r="P1071" s="33"/>
      <c r="Q1071" s="21"/>
      <c r="R1071" s="21"/>
      <c r="S1071" s="12"/>
      <c r="T1071" s="12"/>
      <c r="U1071" s="12"/>
      <c r="V1071" s="12"/>
      <c r="W1071" s="12"/>
      <c r="X1071" s="12"/>
      <c r="Y1071" s="12"/>
      <c r="Z1071" s="12"/>
      <c r="AA1071" s="12"/>
      <c r="AB1071" s="12"/>
      <c r="AC1071" s="12"/>
      <c r="AD1071" s="12"/>
    </row>
    <row r="1072" spans="2:30" x14ac:dyDescent="0.35">
      <c r="B1072" s="17"/>
      <c r="C1072" s="18"/>
      <c r="D1072" s="21"/>
      <c r="E1072" s="21"/>
      <c r="F1072" s="21"/>
      <c r="G1072" s="21"/>
      <c r="H1072" s="21"/>
      <c r="I1072" s="21"/>
      <c r="J1072" s="21"/>
      <c r="K1072" s="21"/>
      <c r="L1072" s="21"/>
      <c r="M1072" s="21"/>
      <c r="N1072" s="21"/>
      <c r="O1072" s="21"/>
      <c r="P1072" s="21"/>
      <c r="Q1072" s="21"/>
      <c r="R1072" s="21"/>
      <c r="S1072" s="12"/>
      <c r="T1072" s="12"/>
      <c r="U1072" s="12"/>
      <c r="V1072" s="12"/>
      <c r="W1072" s="12"/>
      <c r="X1072" s="12"/>
      <c r="Y1072" s="12"/>
      <c r="Z1072" s="12"/>
      <c r="AA1072" s="12"/>
      <c r="AB1072" s="12"/>
      <c r="AC1072" s="12"/>
      <c r="AD1072" s="12"/>
    </row>
    <row r="1073" spans="2:30" x14ac:dyDescent="0.35">
      <c r="B1073" s="17"/>
      <c r="C1073" s="18"/>
      <c r="D1073" s="21"/>
      <c r="E1073" s="21"/>
      <c r="F1073" s="21"/>
      <c r="G1073" s="21"/>
      <c r="H1073" s="21"/>
      <c r="I1073" s="21"/>
      <c r="J1073" s="21"/>
      <c r="K1073" s="21"/>
      <c r="L1073" s="21"/>
      <c r="M1073" s="21"/>
      <c r="N1073" s="21"/>
      <c r="O1073" s="21"/>
      <c r="P1073" s="21"/>
      <c r="Q1073" s="21"/>
      <c r="R1073" s="21"/>
      <c r="S1073" s="12"/>
      <c r="T1073" s="12"/>
      <c r="U1073" s="12"/>
      <c r="V1073" s="12"/>
      <c r="W1073" s="12"/>
      <c r="X1073" s="12"/>
      <c r="Y1073" s="12"/>
      <c r="Z1073" s="12"/>
      <c r="AA1073" s="12"/>
      <c r="AB1073" s="12"/>
      <c r="AC1073" s="12"/>
      <c r="AD1073" s="12"/>
    </row>
    <row r="1074" spans="2:30" x14ac:dyDescent="0.35">
      <c r="B1074" s="17"/>
      <c r="C1074" s="18"/>
      <c r="D1074" s="21"/>
      <c r="E1074" s="21"/>
      <c r="F1074" s="21"/>
      <c r="G1074" s="21"/>
      <c r="H1074" s="21"/>
      <c r="I1074" s="21"/>
      <c r="J1074" s="21"/>
      <c r="K1074" s="21"/>
      <c r="L1074" s="21"/>
      <c r="M1074" s="21"/>
      <c r="N1074" s="21"/>
      <c r="O1074" s="21"/>
      <c r="P1074" s="21"/>
      <c r="Q1074" s="21"/>
      <c r="R1074" s="21"/>
      <c r="S1074" s="12"/>
      <c r="T1074" s="12"/>
      <c r="U1074" s="12"/>
      <c r="V1074" s="12"/>
      <c r="W1074" s="12"/>
      <c r="X1074" s="12"/>
      <c r="Y1074" s="12"/>
      <c r="Z1074" s="12"/>
      <c r="AA1074" s="12"/>
      <c r="AB1074" s="12"/>
      <c r="AC1074" s="12"/>
      <c r="AD1074" s="12"/>
    </row>
    <row r="1075" spans="2:30" x14ac:dyDescent="0.35">
      <c r="B1075" s="17"/>
      <c r="C1075" s="18"/>
      <c r="D1075" s="21"/>
      <c r="E1075" s="21"/>
      <c r="F1075" s="21"/>
      <c r="G1075" s="21"/>
      <c r="H1075" s="21"/>
      <c r="I1075" s="21"/>
      <c r="J1075" s="21"/>
      <c r="K1075" s="21"/>
      <c r="L1075" s="21"/>
      <c r="M1075" s="21"/>
      <c r="N1075" s="21"/>
      <c r="O1075" s="21"/>
      <c r="P1075" s="21"/>
      <c r="Q1075" s="21"/>
      <c r="R1075" s="21"/>
      <c r="S1075" s="12"/>
      <c r="T1075" s="12"/>
      <c r="U1075" s="12"/>
      <c r="V1075" s="12"/>
      <c r="W1075" s="12"/>
      <c r="X1075" s="12"/>
      <c r="Y1075" s="12"/>
      <c r="Z1075" s="12"/>
      <c r="AA1075" s="12"/>
      <c r="AB1075" s="12"/>
      <c r="AC1075" s="12"/>
      <c r="AD1075" s="12"/>
    </row>
    <row r="1076" spans="2:30" x14ac:dyDescent="0.35">
      <c r="B1076" s="17"/>
      <c r="C1076" s="18"/>
      <c r="D1076" s="21"/>
      <c r="E1076" s="21"/>
      <c r="F1076" s="21"/>
      <c r="G1076" s="21"/>
      <c r="H1076" s="21"/>
      <c r="I1076" s="21"/>
      <c r="J1076" s="21"/>
      <c r="K1076" s="21"/>
      <c r="L1076" s="21"/>
      <c r="M1076" s="21"/>
      <c r="N1076" s="21"/>
      <c r="O1076" s="21"/>
      <c r="P1076" s="21"/>
      <c r="Q1076" s="21"/>
      <c r="R1076" s="21"/>
      <c r="S1076" s="12"/>
      <c r="T1076" s="12"/>
      <c r="U1076" s="12"/>
      <c r="V1076" s="12"/>
      <c r="W1076" s="12"/>
      <c r="X1076" s="12"/>
      <c r="Y1076" s="12"/>
      <c r="Z1076" s="12"/>
      <c r="AA1076" s="12"/>
      <c r="AB1076" s="12"/>
      <c r="AC1076" s="12"/>
      <c r="AD1076" s="12"/>
    </row>
    <row r="1077" spans="2:30" x14ac:dyDescent="0.35">
      <c r="B1077" s="17"/>
      <c r="C1077" s="18"/>
      <c r="D1077" s="21"/>
      <c r="E1077" s="21"/>
      <c r="F1077" s="21"/>
      <c r="G1077" s="21"/>
      <c r="H1077" s="21"/>
      <c r="I1077" s="21"/>
      <c r="J1077" s="21"/>
      <c r="K1077" s="21"/>
      <c r="L1077" s="21"/>
      <c r="M1077" s="21"/>
      <c r="N1077" s="21"/>
      <c r="O1077" s="21"/>
      <c r="P1077" s="21"/>
      <c r="Q1077" s="21"/>
      <c r="R1077" s="21"/>
      <c r="S1077" s="12"/>
      <c r="T1077" s="12"/>
      <c r="U1077" s="12"/>
      <c r="V1077" s="12"/>
      <c r="W1077" s="12"/>
      <c r="X1077" s="12"/>
      <c r="Y1077" s="12"/>
      <c r="Z1077" s="12"/>
      <c r="AA1077" s="12"/>
      <c r="AB1077" s="12"/>
      <c r="AC1077" s="12"/>
      <c r="AD1077" s="12"/>
    </row>
    <row r="1078" spans="2:30" x14ac:dyDescent="0.35">
      <c r="B1078" s="17"/>
      <c r="C1078" s="18"/>
      <c r="D1078" s="21"/>
      <c r="E1078" s="21"/>
      <c r="F1078" s="21"/>
      <c r="G1078" s="21"/>
      <c r="H1078" s="21"/>
      <c r="I1078" s="21"/>
      <c r="J1078" s="21"/>
      <c r="K1078" s="21"/>
      <c r="L1078" s="21"/>
      <c r="M1078" s="21"/>
      <c r="N1078" s="21"/>
      <c r="O1078" s="21"/>
      <c r="P1078" s="21"/>
      <c r="Q1078" s="14"/>
      <c r="R1078" s="14"/>
      <c r="S1078" s="12"/>
      <c r="T1078" s="12"/>
      <c r="U1078" s="12"/>
      <c r="V1078" s="12"/>
      <c r="W1078" s="12"/>
      <c r="X1078" s="12"/>
      <c r="Y1078" s="12"/>
      <c r="Z1078" s="12"/>
      <c r="AA1078" s="12"/>
      <c r="AB1078" s="12"/>
      <c r="AC1078" s="12"/>
      <c r="AD1078" s="12"/>
    </row>
    <row r="1079" spans="2:30" x14ac:dyDescent="0.35">
      <c r="B1079" s="17"/>
      <c r="C1079" s="18"/>
      <c r="D1079" s="21"/>
      <c r="E1079" s="21"/>
      <c r="F1079" s="21"/>
      <c r="G1079" s="21"/>
      <c r="H1079" s="21"/>
      <c r="I1079" s="21"/>
      <c r="J1079" s="21"/>
      <c r="K1079" s="21"/>
      <c r="L1079" s="21"/>
      <c r="M1079" s="21"/>
      <c r="N1079" s="21"/>
      <c r="O1079" s="21"/>
      <c r="P1079" s="21"/>
      <c r="Q1079" s="14"/>
      <c r="R1079" s="14"/>
      <c r="S1079" s="12"/>
      <c r="T1079" s="12"/>
      <c r="U1079" s="12"/>
      <c r="V1079" s="12"/>
      <c r="W1079" s="12"/>
      <c r="X1079" s="12"/>
      <c r="Y1079" s="12"/>
      <c r="Z1079" s="12"/>
      <c r="AA1079" s="12"/>
      <c r="AB1079" s="12"/>
      <c r="AC1079" s="12"/>
      <c r="AD1079" s="12"/>
    </row>
    <row r="1080" spans="2:30" x14ac:dyDescent="0.35">
      <c r="B1080" s="17"/>
      <c r="C1080" s="18"/>
      <c r="D1080" s="21"/>
      <c r="E1080" s="21"/>
      <c r="F1080" s="21"/>
      <c r="G1080" s="21"/>
      <c r="H1080" s="21"/>
      <c r="I1080" s="21"/>
      <c r="J1080" s="21"/>
      <c r="K1080" s="21"/>
      <c r="L1080" s="21"/>
      <c r="M1080" s="21"/>
      <c r="N1080" s="21"/>
      <c r="O1080" s="21"/>
      <c r="P1080" s="21"/>
      <c r="Q1080" s="14"/>
      <c r="R1080" s="14"/>
      <c r="S1080" s="12"/>
      <c r="T1080" s="12"/>
      <c r="U1080" s="12"/>
      <c r="V1080" s="12"/>
      <c r="W1080" s="12"/>
      <c r="X1080" s="12"/>
      <c r="Y1080" s="12"/>
      <c r="Z1080" s="12"/>
      <c r="AA1080" s="12"/>
      <c r="AB1080" s="12"/>
      <c r="AC1080" s="12"/>
      <c r="AD1080" s="12"/>
    </row>
    <row r="1081" spans="2:30" x14ac:dyDescent="0.35">
      <c r="B1081" s="17"/>
      <c r="C1081" s="18"/>
      <c r="D1081" s="21"/>
      <c r="E1081" s="21"/>
      <c r="F1081" s="21"/>
      <c r="G1081" s="21"/>
      <c r="H1081" s="21"/>
      <c r="I1081" s="21"/>
      <c r="J1081" s="21"/>
      <c r="K1081" s="21"/>
      <c r="L1081" s="21"/>
      <c r="M1081" s="21"/>
      <c r="N1081" s="21"/>
      <c r="O1081" s="21"/>
      <c r="P1081" s="21"/>
      <c r="Q1081" s="14"/>
      <c r="R1081" s="14"/>
      <c r="S1081" s="12"/>
      <c r="T1081" s="12"/>
      <c r="U1081" s="12"/>
      <c r="V1081" s="12"/>
      <c r="W1081" s="12"/>
      <c r="X1081" s="12"/>
      <c r="Y1081" s="12"/>
      <c r="Z1081" s="12"/>
      <c r="AA1081" s="12"/>
      <c r="AB1081" s="12"/>
      <c r="AC1081" s="12"/>
      <c r="AD1081" s="12"/>
    </row>
    <row r="1082" spans="2:30" x14ac:dyDescent="0.35">
      <c r="B1082" s="17"/>
      <c r="C1082" s="13"/>
      <c r="D1082" s="14"/>
      <c r="E1082" s="14"/>
      <c r="F1082" s="14"/>
      <c r="G1082" s="14"/>
      <c r="H1082" s="14"/>
      <c r="I1082" s="14"/>
      <c r="J1082" s="14"/>
      <c r="K1082" s="14"/>
      <c r="L1082" s="14"/>
      <c r="M1082" s="14"/>
      <c r="N1082" s="14"/>
      <c r="O1082" s="14"/>
      <c r="P1082" s="14"/>
      <c r="Q1082" s="14"/>
      <c r="R1082" s="14"/>
      <c r="S1082" s="12"/>
      <c r="T1082" s="12"/>
      <c r="U1082" s="12"/>
      <c r="V1082" s="12"/>
      <c r="W1082" s="12"/>
      <c r="X1082" s="12"/>
      <c r="Y1082" s="12"/>
      <c r="Z1082" s="12"/>
      <c r="AA1082" s="12"/>
      <c r="AB1082" s="12"/>
      <c r="AC1082" s="12"/>
      <c r="AD1082" s="12"/>
    </row>
    <row r="1083" spans="2:30" x14ac:dyDescent="0.35">
      <c r="B1083" s="17"/>
      <c r="C1083" s="13"/>
      <c r="D1083" s="14"/>
      <c r="E1083" s="14"/>
      <c r="F1083" s="14"/>
      <c r="G1083" s="14"/>
      <c r="H1083" s="14"/>
      <c r="I1083" s="14"/>
      <c r="J1083" s="14"/>
      <c r="K1083" s="14"/>
      <c r="L1083" s="14"/>
      <c r="M1083" s="14"/>
      <c r="N1083" s="14"/>
      <c r="O1083" s="14"/>
      <c r="P1083" s="14"/>
      <c r="Q1083" s="14"/>
      <c r="R1083" s="14"/>
      <c r="S1083" s="12"/>
      <c r="T1083" s="12"/>
      <c r="U1083" s="12"/>
      <c r="V1083" s="12"/>
      <c r="W1083" s="12"/>
      <c r="X1083" s="12"/>
      <c r="Y1083" s="12"/>
      <c r="Z1083" s="12"/>
      <c r="AA1083" s="12"/>
      <c r="AB1083" s="12"/>
      <c r="AC1083" s="12"/>
      <c r="AD1083" s="12"/>
    </row>
    <row r="1084" spans="2:30" x14ac:dyDescent="0.35">
      <c r="B1084" s="17"/>
      <c r="C1084" s="13"/>
      <c r="D1084" s="14"/>
      <c r="E1084" s="14"/>
      <c r="F1084" s="14"/>
      <c r="G1084" s="14"/>
      <c r="H1084" s="14"/>
      <c r="I1084" s="14"/>
      <c r="J1084" s="14"/>
      <c r="K1084" s="14"/>
      <c r="L1084" s="14"/>
      <c r="M1084" s="14"/>
      <c r="N1084" s="14"/>
      <c r="O1084" s="14"/>
      <c r="P1084" s="14"/>
      <c r="Q1084" s="14"/>
      <c r="R1084" s="14"/>
      <c r="S1084" s="12"/>
      <c r="T1084" s="12"/>
      <c r="U1084" s="12"/>
      <c r="V1084" s="12"/>
      <c r="W1084" s="12"/>
      <c r="X1084" s="12"/>
      <c r="Y1084" s="12"/>
      <c r="Z1084" s="12"/>
      <c r="AA1084" s="12"/>
      <c r="AB1084" s="12"/>
      <c r="AC1084" s="12"/>
      <c r="AD1084" s="12"/>
    </row>
    <row r="1085" spans="2:30" x14ac:dyDescent="0.35">
      <c r="B1085" s="17"/>
      <c r="C1085" s="13"/>
      <c r="D1085" s="14"/>
      <c r="E1085" s="14"/>
      <c r="F1085" s="14"/>
      <c r="G1085" s="14"/>
      <c r="H1085" s="14"/>
      <c r="I1085" s="14"/>
      <c r="J1085" s="14"/>
      <c r="K1085" s="14"/>
      <c r="L1085" s="14"/>
      <c r="M1085" s="14"/>
      <c r="N1085" s="14"/>
      <c r="O1085" s="14"/>
      <c r="P1085" s="14"/>
      <c r="Q1085" s="14"/>
      <c r="R1085" s="14"/>
      <c r="S1085" s="12"/>
      <c r="T1085" s="12"/>
      <c r="U1085" s="12"/>
      <c r="V1085" s="12"/>
      <c r="W1085" s="12"/>
      <c r="X1085" s="12"/>
      <c r="Y1085" s="12"/>
      <c r="Z1085" s="12"/>
      <c r="AA1085" s="12"/>
      <c r="AB1085" s="12"/>
      <c r="AC1085" s="12"/>
      <c r="AD1085" s="12"/>
    </row>
    <row r="1086" spans="2:30" x14ac:dyDescent="0.35">
      <c r="B1086" s="17"/>
      <c r="C1086" s="32"/>
      <c r="D1086" s="34"/>
      <c r="E1086" s="34"/>
      <c r="F1086" s="34"/>
      <c r="G1086" s="34"/>
      <c r="H1086" s="34"/>
      <c r="I1086" s="34"/>
      <c r="J1086" s="34"/>
      <c r="K1086" s="34"/>
      <c r="L1086" s="34"/>
      <c r="M1086" s="34"/>
      <c r="N1086" s="34"/>
      <c r="O1086" s="34"/>
      <c r="P1086" s="34"/>
      <c r="Q1086" s="14"/>
      <c r="R1086" s="14"/>
      <c r="S1086" s="12"/>
      <c r="T1086" s="12"/>
      <c r="U1086" s="12"/>
      <c r="V1086" s="12"/>
      <c r="W1086" s="12"/>
      <c r="X1086" s="12"/>
      <c r="Y1086" s="12"/>
      <c r="Z1086" s="12"/>
      <c r="AA1086" s="12"/>
      <c r="AB1086" s="12"/>
      <c r="AC1086" s="12"/>
      <c r="AD1086" s="12"/>
    </row>
    <row r="1087" spans="2:30" x14ac:dyDescent="0.35">
      <c r="B1087" s="17"/>
      <c r="C1087" s="13"/>
      <c r="D1087" s="14"/>
      <c r="E1087" s="14"/>
      <c r="F1087" s="14"/>
      <c r="G1087" s="14"/>
      <c r="H1087" s="14"/>
      <c r="I1087" s="14"/>
      <c r="J1087" s="14"/>
      <c r="K1087" s="14"/>
      <c r="L1087" s="14"/>
      <c r="M1087" s="14"/>
      <c r="N1087" s="14"/>
      <c r="O1087" s="14"/>
      <c r="P1087" s="14"/>
      <c r="Q1087" s="14"/>
      <c r="R1087" s="14"/>
      <c r="S1087" s="12"/>
      <c r="T1087" s="12"/>
      <c r="U1087" s="12"/>
      <c r="V1087" s="12"/>
      <c r="W1087" s="12"/>
      <c r="X1087" s="12"/>
      <c r="Y1087" s="12"/>
      <c r="Z1087" s="12"/>
      <c r="AA1087" s="12"/>
      <c r="AB1087" s="12"/>
      <c r="AC1087" s="12"/>
      <c r="AD1087" s="12"/>
    </row>
    <row r="1088" spans="2:30" x14ac:dyDescent="0.35">
      <c r="B1088" s="17"/>
      <c r="C1088" s="13"/>
      <c r="D1088" s="14"/>
      <c r="E1088" s="14"/>
      <c r="F1088" s="14"/>
      <c r="G1088" s="14"/>
      <c r="H1088" s="14"/>
      <c r="I1088" s="14"/>
      <c r="J1088" s="14"/>
      <c r="K1088" s="14"/>
      <c r="L1088" s="14"/>
      <c r="M1088" s="14"/>
      <c r="N1088" s="14"/>
      <c r="O1088" s="14"/>
      <c r="P1088" s="14"/>
      <c r="Q1088" s="14"/>
      <c r="R1088" s="14"/>
      <c r="S1088" s="12"/>
      <c r="T1088" s="12"/>
      <c r="U1088" s="12"/>
      <c r="V1088" s="12"/>
      <c r="W1088" s="12"/>
      <c r="X1088" s="12"/>
      <c r="Y1088" s="12"/>
      <c r="Z1088" s="12"/>
      <c r="AA1088" s="12"/>
      <c r="AB1088" s="12"/>
      <c r="AC1088" s="12"/>
      <c r="AD1088" s="12"/>
    </row>
    <row r="1089" spans="2:30" x14ac:dyDescent="0.35">
      <c r="B1089" s="17"/>
      <c r="C1089" s="13"/>
      <c r="D1089" s="14"/>
      <c r="E1089" s="14"/>
      <c r="F1089" s="14"/>
      <c r="G1089" s="14"/>
      <c r="H1089" s="14"/>
      <c r="I1089" s="14"/>
      <c r="J1089" s="14"/>
      <c r="K1089" s="14"/>
      <c r="L1089" s="14"/>
      <c r="M1089" s="14"/>
      <c r="N1089" s="14"/>
      <c r="O1089" s="14"/>
      <c r="P1089" s="14"/>
      <c r="Q1089" s="14"/>
      <c r="R1089" s="14"/>
      <c r="S1089" s="12"/>
      <c r="T1089" s="12"/>
      <c r="U1089" s="12"/>
      <c r="V1089" s="12"/>
      <c r="W1089" s="12"/>
      <c r="X1089" s="12"/>
      <c r="Y1089" s="12"/>
      <c r="Z1089" s="12"/>
      <c r="AA1089" s="12"/>
      <c r="AB1089" s="12"/>
      <c r="AC1089" s="12"/>
      <c r="AD1089" s="12"/>
    </row>
    <row r="1090" spans="2:30" x14ac:dyDescent="0.35">
      <c r="B1090" s="17"/>
      <c r="C1090" s="13"/>
      <c r="D1090" s="14"/>
      <c r="E1090" s="14"/>
      <c r="F1090" s="14"/>
      <c r="G1090" s="14"/>
      <c r="H1090" s="14"/>
      <c r="I1090" s="14"/>
      <c r="J1090" s="14"/>
      <c r="K1090" s="14"/>
      <c r="L1090" s="14"/>
      <c r="M1090" s="14"/>
      <c r="N1090" s="14"/>
      <c r="O1090" s="14"/>
      <c r="P1090" s="14"/>
      <c r="Q1090" s="14"/>
      <c r="R1090" s="14"/>
      <c r="S1090" s="12"/>
      <c r="T1090" s="12"/>
      <c r="U1090" s="12"/>
      <c r="V1090" s="12"/>
      <c r="W1090" s="12"/>
      <c r="X1090" s="12"/>
      <c r="Y1090" s="12"/>
      <c r="Z1090" s="12"/>
      <c r="AA1090" s="12"/>
      <c r="AB1090" s="12"/>
      <c r="AC1090" s="12"/>
      <c r="AD1090" s="12"/>
    </row>
    <row r="1091" spans="2:30" x14ac:dyDescent="0.35">
      <c r="B1091" s="17"/>
      <c r="C1091" s="13"/>
      <c r="D1091" s="14"/>
      <c r="E1091" s="14"/>
      <c r="F1091" s="14"/>
      <c r="G1091" s="14"/>
      <c r="H1091" s="14"/>
      <c r="I1091" s="14"/>
      <c r="J1091" s="14"/>
      <c r="K1091" s="14"/>
      <c r="L1091" s="14"/>
      <c r="M1091" s="14"/>
      <c r="N1091" s="14"/>
      <c r="O1091" s="14"/>
      <c r="P1091" s="14"/>
      <c r="Q1091" s="14"/>
      <c r="R1091" s="14"/>
      <c r="S1091" s="12"/>
      <c r="T1091" s="12"/>
      <c r="U1091" s="12"/>
      <c r="V1091" s="12"/>
      <c r="W1091" s="12"/>
      <c r="X1091" s="12"/>
      <c r="Y1091" s="12"/>
      <c r="Z1091" s="12"/>
      <c r="AA1091" s="12"/>
      <c r="AB1091" s="12"/>
      <c r="AC1091" s="12"/>
      <c r="AD1091" s="12"/>
    </row>
    <row r="1092" spans="2:30" x14ac:dyDescent="0.35">
      <c r="B1092" s="17"/>
      <c r="C1092" s="13"/>
      <c r="D1092" s="14"/>
      <c r="E1092" s="14"/>
      <c r="F1092" s="14"/>
      <c r="G1092" s="14"/>
      <c r="H1092" s="14"/>
      <c r="I1092" s="14"/>
      <c r="J1092" s="14"/>
      <c r="K1092" s="14"/>
      <c r="L1092" s="14"/>
      <c r="M1092" s="14"/>
      <c r="N1092" s="14"/>
      <c r="O1092" s="14"/>
      <c r="P1092" s="14"/>
      <c r="Q1092" s="14"/>
      <c r="R1092" s="14"/>
      <c r="S1092" s="12"/>
      <c r="T1092" s="12"/>
      <c r="U1092" s="12"/>
      <c r="V1092" s="12"/>
      <c r="W1092" s="12"/>
      <c r="X1092" s="12"/>
      <c r="Y1092" s="12"/>
      <c r="Z1092" s="12"/>
      <c r="AA1092" s="12"/>
      <c r="AB1092" s="12"/>
      <c r="AC1092" s="12"/>
      <c r="AD1092" s="12"/>
    </row>
    <row r="1093" spans="2:30" x14ac:dyDescent="0.35">
      <c r="B1093" s="17"/>
      <c r="C1093" s="32"/>
      <c r="D1093" s="34"/>
      <c r="E1093" s="34"/>
      <c r="F1093" s="34"/>
      <c r="G1093" s="34"/>
      <c r="H1093" s="34"/>
      <c r="I1093" s="34"/>
      <c r="J1093" s="34"/>
      <c r="K1093" s="34"/>
      <c r="L1093" s="34"/>
      <c r="M1093" s="34"/>
      <c r="N1093" s="34"/>
      <c r="O1093" s="34"/>
      <c r="P1093" s="34"/>
      <c r="Q1093" s="21"/>
      <c r="R1093" s="21"/>
      <c r="S1093" s="12"/>
      <c r="T1093" s="12"/>
      <c r="U1093" s="12"/>
      <c r="V1093" s="12"/>
      <c r="W1093" s="12"/>
      <c r="X1093" s="12"/>
      <c r="Y1093" s="12"/>
      <c r="Z1093" s="12"/>
      <c r="AA1093" s="12"/>
      <c r="AB1093" s="12"/>
      <c r="AC1093" s="12"/>
      <c r="AD1093" s="12"/>
    </row>
    <row r="1094" spans="2:30" x14ac:dyDescent="0.35">
      <c r="B1094" s="17"/>
      <c r="C1094" s="13"/>
      <c r="D1094" s="14"/>
      <c r="E1094" s="14"/>
      <c r="F1094" s="14"/>
      <c r="G1094" s="14"/>
      <c r="H1094" s="14"/>
      <c r="I1094" s="14"/>
      <c r="J1094" s="14"/>
      <c r="K1094" s="14"/>
      <c r="L1094" s="14"/>
      <c r="M1094" s="14"/>
      <c r="N1094" s="14"/>
      <c r="O1094" s="14"/>
      <c r="P1094" s="14"/>
      <c r="Q1094" s="21"/>
      <c r="R1094" s="21"/>
      <c r="S1094" s="12"/>
      <c r="T1094" s="12"/>
      <c r="U1094" s="12"/>
      <c r="V1094" s="12"/>
      <c r="W1094" s="12"/>
      <c r="X1094" s="12"/>
      <c r="Y1094" s="12"/>
      <c r="Z1094" s="12"/>
      <c r="AA1094" s="12"/>
      <c r="AB1094" s="12"/>
      <c r="AC1094" s="12"/>
      <c r="AD1094" s="12"/>
    </row>
    <row r="1095" spans="2:30" x14ac:dyDescent="0.35">
      <c r="B1095" s="17"/>
      <c r="C1095" s="13"/>
      <c r="D1095" s="14"/>
      <c r="E1095" s="14"/>
      <c r="F1095" s="14"/>
      <c r="G1095" s="14"/>
      <c r="H1095" s="14"/>
      <c r="I1095" s="14"/>
      <c r="J1095" s="14"/>
      <c r="K1095" s="14"/>
      <c r="L1095" s="14"/>
      <c r="M1095" s="14"/>
      <c r="N1095" s="14"/>
      <c r="O1095" s="14"/>
      <c r="P1095" s="14"/>
      <c r="Q1095" s="21"/>
      <c r="R1095" s="21"/>
      <c r="S1095" s="12"/>
      <c r="T1095" s="12"/>
      <c r="U1095" s="12"/>
      <c r="V1095" s="12"/>
      <c r="W1095" s="12"/>
      <c r="X1095" s="12"/>
      <c r="Y1095" s="12"/>
      <c r="Z1095" s="12"/>
      <c r="AA1095" s="12"/>
      <c r="AB1095" s="12"/>
      <c r="AC1095" s="12"/>
      <c r="AD1095" s="12"/>
    </row>
    <row r="1096" spans="2:30" x14ac:dyDescent="0.35">
      <c r="B1096" s="17"/>
      <c r="C1096" s="13"/>
      <c r="D1096" s="14"/>
      <c r="E1096" s="14"/>
      <c r="F1096" s="14"/>
      <c r="G1096" s="14"/>
      <c r="H1096" s="14"/>
      <c r="I1096" s="14"/>
      <c r="J1096" s="14"/>
      <c r="K1096" s="14"/>
      <c r="L1096" s="14"/>
      <c r="M1096" s="14"/>
      <c r="N1096" s="14"/>
      <c r="O1096" s="14"/>
      <c r="P1096" s="14"/>
      <c r="Q1096" s="21"/>
      <c r="R1096" s="21"/>
      <c r="S1096" s="12"/>
      <c r="T1096" s="12"/>
      <c r="U1096" s="12"/>
      <c r="V1096" s="12"/>
      <c r="W1096" s="12"/>
      <c r="X1096" s="12"/>
      <c r="Y1096" s="12"/>
      <c r="Z1096" s="12"/>
      <c r="AA1096" s="12"/>
      <c r="AB1096" s="12"/>
      <c r="AC1096" s="12"/>
      <c r="AD1096" s="12"/>
    </row>
    <row r="1097" spans="2:30" x14ac:dyDescent="0.35">
      <c r="B1097" s="17"/>
      <c r="C1097" s="13"/>
      <c r="D1097" s="14"/>
      <c r="E1097" s="14"/>
      <c r="F1097" s="14"/>
      <c r="G1097" s="14"/>
      <c r="H1097" s="14"/>
      <c r="I1097" s="14"/>
      <c r="J1097" s="14"/>
      <c r="K1097" s="14"/>
      <c r="L1097" s="14"/>
      <c r="M1097" s="14"/>
      <c r="N1097" s="14"/>
      <c r="O1097" s="14"/>
      <c r="P1097" s="14"/>
      <c r="Q1097" s="21"/>
      <c r="R1097" s="21"/>
      <c r="S1097" s="12"/>
      <c r="T1097" s="12"/>
      <c r="U1097" s="12"/>
      <c r="V1097" s="12"/>
      <c r="W1097" s="12"/>
      <c r="X1097" s="12"/>
      <c r="Y1097" s="12"/>
      <c r="Z1097" s="12"/>
      <c r="AA1097" s="12"/>
      <c r="AB1097" s="12"/>
      <c r="AC1097" s="12"/>
      <c r="AD1097" s="12"/>
    </row>
    <row r="1098" spans="2:30" x14ac:dyDescent="0.35">
      <c r="B1098" s="17"/>
      <c r="C1098" s="13"/>
      <c r="D1098" s="14"/>
      <c r="E1098" s="14"/>
      <c r="F1098" s="14"/>
      <c r="G1098" s="14"/>
      <c r="H1098" s="14"/>
      <c r="I1098" s="14"/>
      <c r="J1098" s="14"/>
      <c r="K1098" s="14"/>
      <c r="L1098" s="14"/>
      <c r="M1098" s="14"/>
      <c r="N1098" s="14"/>
      <c r="O1098" s="14"/>
      <c r="P1098" s="14"/>
      <c r="Q1098" s="21"/>
      <c r="R1098" s="21"/>
      <c r="S1098" s="12"/>
      <c r="T1098" s="12"/>
      <c r="U1098" s="12"/>
      <c r="V1098" s="12"/>
      <c r="W1098" s="12"/>
      <c r="X1098" s="12"/>
      <c r="Y1098" s="12"/>
      <c r="Z1098" s="12"/>
      <c r="AA1098" s="12"/>
      <c r="AB1098" s="12"/>
      <c r="AC1098" s="12"/>
      <c r="AD1098" s="12"/>
    </row>
    <row r="1099" spans="2:30" x14ac:dyDescent="0.35">
      <c r="B1099" s="17"/>
      <c r="C1099" s="13"/>
      <c r="D1099" s="14"/>
      <c r="E1099" s="14"/>
      <c r="F1099" s="14"/>
      <c r="G1099" s="14"/>
      <c r="H1099" s="14"/>
      <c r="I1099" s="14"/>
      <c r="J1099" s="14"/>
      <c r="K1099" s="14"/>
      <c r="L1099" s="14"/>
      <c r="M1099" s="14"/>
      <c r="N1099" s="14"/>
      <c r="O1099" s="14"/>
      <c r="P1099" s="14"/>
      <c r="Q1099" s="21"/>
      <c r="R1099" s="21"/>
      <c r="S1099" s="12"/>
      <c r="T1099" s="12"/>
      <c r="U1099" s="12"/>
      <c r="V1099" s="12"/>
      <c r="W1099" s="12"/>
      <c r="X1099" s="12"/>
      <c r="Y1099" s="12"/>
      <c r="Z1099" s="12"/>
      <c r="AA1099" s="12"/>
      <c r="AB1099" s="12"/>
      <c r="AC1099" s="12"/>
      <c r="AD1099" s="12"/>
    </row>
    <row r="1100" spans="2:30" x14ac:dyDescent="0.35">
      <c r="B1100" s="17"/>
      <c r="C1100" s="13"/>
      <c r="D1100" s="14"/>
      <c r="E1100" s="14"/>
      <c r="F1100" s="14"/>
      <c r="G1100" s="14"/>
      <c r="H1100" s="14"/>
      <c r="I1100" s="14"/>
      <c r="J1100" s="14"/>
      <c r="K1100" s="14"/>
      <c r="L1100" s="14"/>
      <c r="M1100" s="14"/>
      <c r="N1100" s="14"/>
      <c r="O1100" s="14"/>
      <c r="P1100" s="14"/>
      <c r="Q1100" s="21"/>
      <c r="R1100" s="21"/>
      <c r="S1100" s="12"/>
      <c r="T1100" s="12"/>
      <c r="U1100" s="12"/>
      <c r="V1100" s="12"/>
      <c r="W1100" s="12"/>
      <c r="X1100" s="12"/>
      <c r="Y1100" s="12"/>
      <c r="Z1100" s="12"/>
      <c r="AA1100" s="12"/>
      <c r="AB1100" s="12"/>
      <c r="AC1100" s="12"/>
      <c r="AD1100" s="12"/>
    </row>
    <row r="1101" spans="2:30" x14ac:dyDescent="0.35">
      <c r="B1101" s="17"/>
      <c r="C1101" s="13"/>
      <c r="D1101" s="14"/>
      <c r="E1101" s="14"/>
      <c r="F1101" s="14"/>
      <c r="G1101" s="14"/>
      <c r="H1101" s="14"/>
      <c r="I1101" s="14"/>
      <c r="J1101" s="14"/>
      <c r="K1101" s="14"/>
      <c r="L1101" s="14"/>
      <c r="M1101" s="14"/>
      <c r="N1101" s="14"/>
      <c r="O1101" s="14"/>
      <c r="P1101" s="14"/>
      <c r="Q1101" s="21"/>
      <c r="R1101" s="21"/>
      <c r="S1101" s="12"/>
      <c r="T1101" s="12"/>
      <c r="U1101" s="12"/>
      <c r="V1101" s="12"/>
      <c r="W1101" s="12"/>
      <c r="X1101" s="12"/>
      <c r="Y1101" s="12"/>
      <c r="Z1101" s="12"/>
      <c r="AA1101" s="12"/>
      <c r="AB1101" s="12"/>
      <c r="AC1101" s="12"/>
      <c r="AD1101" s="12"/>
    </row>
    <row r="1102" spans="2:30" x14ac:dyDescent="0.35">
      <c r="B1102" s="17"/>
      <c r="C1102" s="18"/>
      <c r="D1102" s="21"/>
      <c r="E1102" s="21"/>
      <c r="F1102" s="21"/>
      <c r="G1102" s="21"/>
      <c r="H1102" s="21"/>
      <c r="I1102" s="21"/>
      <c r="J1102" s="21"/>
      <c r="K1102" s="21"/>
      <c r="L1102" s="21"/>
      <c r="M1102" s="21"/>
      <c r="N1102" s="21"/>
      <c r="O1102" s="21"/>
      <c r="P1102" s="21"/>
      <c r="Q1102" s="21"/>
      <c r="R1102" s="21"/>
      <c r="S1102" s="12"/>
      <c r="T1102" s="12"/>
      <c r="U1102" s="12"/>
      <c r="V1102" s="12"/>
      <c r="W1102" s="12"/>
      <c r="X1102" s="12"/>
      <c r="Y1102" s="12"/>
      <c r="Z1102" s="12"/>
      <c r="AA1102" s="12"/>
      <c r="AB1102" s="12"/>
      <c r="AC1102" s="12"/>
      <c r="AD1102" s="12"/>
    </row>
    <row r="1103" spans="2:30" x14ac:dyDescent="0.35">
      <c r="B1103" s="17"/>
      <c r="C1103" s="18"/>
      <c r="D1103" s="21"/>
      <c r="E1103" s="21"/>
      <c r="F1103" s="21"/>
      <c r="G1103" s="21"/>
      <c r="H1103" s="21"/>
      <c r="I1103" s="21"/>
      <c r="J1103" s="21"/>
      <c r="K1103" s="21"/>
      <c r="L1103" s="21"/>
      <c r="M1103" s="21"/>
      <c r="N1103" s="21"/>
      <c r="O1103" s="21"/>
      <c r="P1103" s="21"/>
      <c r="Q1103" s="21"/>
      <c r="R1103" s="21"/>
      <c r="S1103" s="12"/>
      <c r="T1103" s="12"/>
      <c r="U1103" s="12"/>
      <c r="V1103" s="12"/>
      <c r="W1103" s="12"/>
      <c r="X1103" s="12"/>
      <c r="Y1103" s="12"/>
      <c r="Z1103" s="12"/>
      <c r="AA1103" s="12"/>
      <c r="AB1103" s="12"/>
      <c r="AC1103" s="12"/>
      <c r="AD1103" s="12"/>
    </row>
    <row r="1104" spans="2:30" x14ac:dyDescent="0.35">
      <c r="B1104" s="17"/>
      <c r="C1104" s="18"/>
      <c r="D1104" s="21"/>
      <c r="E1104" s="21"/>
      <c r="F1104" s="21"/>
      <c r="G1104" s="21"/>
      <c r="H1104" s="21"/>
      <c r="I1104" s="21"/>
      <c r="J1104" s="21"/>
      <c r="K1104" s="21"/>
      <c r="L1104" s="21"/>
      <c r="M1104" s="21"/>
      <c r="N1104" s="21"/>
      <c r="O1104" s="21"/>
      <c r="P1104" s="21"/>
      <c r="Q1104" s="21"/>
      <c r="R1104" s="21"/>
      <c r="S1104" s="12"/>
      <c r="T1104" s="12"/>
      <c r="U1104" s="12"/>
      <c r="V1104" s="12"/>
      <c r="W1104" s="12"/>
      <c r="X1104" s="12"/>
      <c r="Y1104" s="12"/>
      <c r="Z1104" s="12"/>
      <c r="AA1104" s="12"/>
      <c r="AB1104" s="12"/>
      <c r="AC1104" s="12"/>
      <c r="AD1104" s="12"/>
    </row>
    <row r="1105" spans="2:30" x14ac:dyDescent="0.35">
      <c r="B1105" s="17"/>
      <c r="C1105" s="18"/>
      <c r="D1105" s="33"/>
      <c r="E1105" s="33"/>
      <c r="F1105" s="33"/>
      <c r="G1105" s="33"/>
      <c r="H1105" s="33"/>
      <c r="I1105" s="33"/>
      <c r="J1105" s="33"/>
      <c r="K1105" s="33"/>
      <c r="L1105" s="33"/>
      <c r="M1105" s="33"/>
      <c r="N1105" s="33"/>
      <c r="O1105" s="33"/>
      <c r="P1105" s="33"/>
      <c r="Q1105" s="21"/>
      <c r="R1105" s="21"/>
      <c r="S1105" s="12"/>
      <c r="T1105" s="12"/>
      <c r="U1105" s="12"/>
      <c r="V1105" s="12"/>
      <c r="W1105" s="12"/>
      <c r="X1105" s="12"/>
      <c r="Y1105" s="12"/>
      <c r="Z1105" s="12"/>
      <c r="AA1105" s="12"/>
      <c r="AB1105" s="12"/>
      <c r="AC1105" s="12"/>
      <c r="AD1105" s="12"/>
    </row>
    <row r="1106" spans="2:30" x14ac:dyDescent="0.35">
      <c r="B1106" s="17"/>
      <c r="C1106" s="18"/>
      <c r="D1106" s="33"/>
      <c r="E1106" s="33"/>
      <c r="F1106" s="33"/>
      <c r="G1106" s="33"/>
      <c r="H1106" s="33"/>
      <c r="I1106" s="33"/>
      <c r="J1106" s="33"/>
      <c r="K1106" s="33"/>
      <c r="L1106" s="33"/>
      <c r="M1106" s="33"/>
      <c r="N1106" s="33"/>
      <c r="O1106" s="33"/>
      <c r="P1106" s="33"/>
      <c r="Q1106" s="21"/>
      <c r="R1106" s="21"/>
      <c r="S1106" s="12"/>
      <c r="T1106" s="12"/>
      <c r="U1106" s="12"/>
      <c r="V1106" s="12"/>
      <c r="W1106" s="12"/>
      <c r="X1106" s="12"/>
      <c r="Y1106" s="12"/>
      <c r="Z1106" s="12"/>
      <c r="AA1106" s="12"/>
      <c r="AB1106" s="12"/>
      <c r="AC1106" s="12"/>
      <c r="AD1106" s="12"/>
    </row>
    <row r="1107" spans="2:30" x14ac:dyDescent="0.35">
      <c r="B1107" s="17"/>
      <c r="C1107" s="18"/>
      <c r="D1107" s="33"/>
      <c r="E1107" s="33"/>
      <c r="F1107" s="33"/>
      <c r="G1107" s="33"/>
      <c r="H1107" s="33"/>
      <c r="I1107" s="33"/>
      <c r="J1107" s="33"/>
      <c r="K1107" s="33"/>
      <c r="L1107" s="33"/>
      <c r="M1107" s="33"/>
      <c r="N1107" s="33"/>
      <c r="O1107" s="33"/>
      <c r="P1107" s="33"/>
      <c r="Q1107" s="21"/>
      <c r="R1107" s="21"/>
      <c r="S1107" s="12"/>
      <c r="T1107" s="12"/>
      <c r="U1107" s="12"/>
      <c r="V1107" s="12"/>
      <c r="W1107" s="12"/>
      <c r="X1107" s="12"/>
      <c r="Y1107" s="12"/>
      <c r="Z1107" s="12"/>
      <c r="AA1107" s="12"/>
      <c r="AB1107" s="12"/>
      <c r="AC1107" s="12"/>
      <c r="AD1107" s="12"/>
    </row>
    <row r="1108" spans="2:30" x14ac:dyDescent="0.35">
      <c r="B1108" s="17"/>
      <c r="C1108" s="18"/>
      <c r="D1108" s="33"/>
      <c r="E1108" s="33"/>
      <c r="F1108" s="33"/>
      <c r="G1108" s="33"/>
      <c r="H1108" s="33"/>
      <c r="I1108" s="33"/>
      <c r="J1108" s="33"/>
      <c r="K1108" s="33"/>
      <c r="L1108" s="33"/>
      <c r="M1108" s="33"/>
      <c r="N1108" s="33"/>
      <c r="O1108" s="33"/>
      <c r="P1108" s="33"/>
      <c r="Q1108" s="21"/>
      <c r="R1108" s="21"/>
      <c r="S1108" s="12"/>
      <c r="T1108" s="12"/>
      <c r="U1108" s="12"/>
      <c r="V1108" s="12"/>
      <c r="W1108" s="12"/>
      <c r="X1108" s="12"/>
      <c r="Y1108" s="12"/>
      <c r="Z1108" s="12"/>
      <c r="AA1108" s="12"/>
      <c r="AB1108" s="12"/>
      <c r="AC1108" s="12"/>
      <c r="AD1108" s="12"/>
    </row>
    <row r="1109" spans="2:30" x14ac:dyDescent="0.35">
      <c r="B1109" s="17"/>
      <c r="C1109" s="18"/>
      <c r="D1109" s="33"/>
      <c r="E1109" s="33"/>
      <c r="F1109" s="33"/>
      <c r="G1109" s="33"/>
      <c r="H1109" s="33"/>
      <c r="I1109" s="33"/>
      <c r="J1109" s="33"/>
      <c r="K1109" s="33"/>
      <c r="L1109" s="33"/>
      <c r="M1109" s="33"/>
      <c r="N1109" s="33"/>
      <c r="O1109" s="33"/>
      <c r="P1109" s="33"/>
      <c r="Q1109" s="14"/>
      <c r="R1109" s="14"/>
      <c r="S1109" s="12"/>
      <c r="T1109" s="12"/>
      <c r="U1109" s="12"/>
      <c r="V1109" s="12"/>
      <c r="W1109" s="12"/>
      <c r="X1109" s="12"/>
      <c r="Y1109" s="12"/>
      <c r="Z1109" s="12"/>
      <c r="AA1109" s="12"/>
      <c r="AB1109" s="12"/>
      <c r="AC1109" s="12"/>
      <c r="AD1109" s="12"/>
    </row>
    <row r="1110" spans="2:30" x14ac:dyDescent="0.35">
      <c r="B1110" s="17"/>
      <c r="C1110" s="18"/>
      <c r="D1110" s="21"/>
      <c r="E1110" s="21"/>
      <c r="F1110" s="21"/>
      <c r="G1110" s="21"/>
      <c r="H1110" s="21"/>
      <c r="I1110" s="21"/>
      <c r="J1110" s="21"/>
      <c r="K1110" s="21"/>
      <c r="L1110" s="21"/>
      <c r="M1110" s="21"/>
      <c r="N1110" s="21"/>
      <c r="O1110" s="21"/>
      <c r="P1110" s="21"/>
      <c r="Q1110" s="14"/>
      <c r="R1110" s="14"/>
      <c r="S1110" s="12"/>
      <c r="T1110" s="12"/>
      <c r="U1110" s="12"/>
      <c r="V1110" s="12"/>
      <c r="W1110" s="12"/>
      <c r="X1110" s="12"/>
      <c r="Y1110" s="12"/>
      <c r="Z1110" s="12"/>
      <c r="AA1110" s="12"/>
      <c r="AB1110" s="12"/>
      <c r="AC1110" s="12"/>
      <c r="AD1110" s="12"/>
    </row>
    <row r="1111" spans="2:30" x14ac:dyDescent="0.35">
      <c r="B1111" s="17"/>
      <c r="C1111" s="18"/>
      <c r="D1111" s="21"/>
      <c r="E1111" s="21"/>
      <c r="F1111" s="21"/>
      <c r="G1111" s="21"/>
      <c r="H1111" s="21"/>
      <c r="I1111" s="21"/>
      <c r="J1111" s="21"/>
      <c r="K1111" s="21"/>
      <c r="L1111" s="21"/>
      <c r="M1111" s="21"/>
      <c r="N1111" s="21"/>
      <c r="O1111" s="21"/>
      <c r="P1111" s="21"/>
      <c r="Q1111" s="14"/>
      <c r="R1111" s="14"/>
      <c r="S1111" s="12"/>
      <c r="T1111" s="12"/>
      <c r="U1111" s="12"/>
      <c r="V1111" s="12"/>
      <c r="W1111" s="12"/>
      <c r="X1111" s="12"/>
      <c r="Y1111" s="12"/>
      <c r="Z1111" s="12"/>
      <c r="AA1111" s="12"/>
      <c r="AB1111" s="12"/>
      <c r="AC1111" s="12"/>
      <c r="AD1111" s="12"/>
    </row>
    <row r="1112" spans="2:30" x14ac:dyDescent="0.35">
      <c r="B1112" s="17"/>
      <c r="C1112" s="18"/>
      <c r="D1112" s="21"/>
      <c r="E1112" s="21"/>
      <c r="F1112" s="21"/>
      <c r="G1112" s="21"/>
      <c r="H1112" s="21"/>
      <c r="I1112" s="21"/>
      <c r="J1112" s="21"/>
      <c r="K1112" s="21"/>
      <c r="L1112" s="21"/>
      <c r="M1112" s="21"/>
      <c r="N1112" s="21"/>
      <c r="O1112" s="21"/>
      <c r="P1112" s="21"/>
      <c r="Q1112" s="14"/>
      <c r="R1112" s="14"/>
      <c r="S1112" s="12"/>
      <c r="T1112" s="12"/>
      <c r="U1112" s="12"/>
      <c r="V1112" s="12"/>
      <c r="W1112" s="12"/>
      <c r="X1112" s="12"/>
      <c r="Y1112" s="12"/>
      <c r="Z1112" s="12"/>
      <c r="AA1112" s="12"/>
      <c r="AB1112" s="12"/>
      <c r="AC1112" s="12"/>
      <c r="AD1112" s="12"/>
    </row>
    <row r="1113" spans="2:30" x14ac:dyDescent="0.35">
      <c r="B1113" s="17"/>
      <c r="C1113" s="18"/>
      <c r="D1113" s="21"/>
      <c r="E1113" s="21"/>
      <c r="F1113" s="21"/>
      <c r="G1113" s="21"/>
      <c r="H1113" s="21"/>
      <c r="I1113" s="21"/>
      <c r="J1113" s="21"/>
      <c r="K1113" s="21"/>
      <c r="L1113" s="21"/>
      <c r="M1113" s="21"/>
      <c r="N1113" s="21"/>
      <c r="O1113" s="21"/>
      <c r="P1113" s="21"/>
      <c r="Q1113" s="14"/>
      <c r="R1113" s="14"/>
      <c r="S1113" s="12"/>
      <c r="T1113" s="12"/>
      <c r="U1113" s="12"/>
      <c r="V1113" s="12"/>
      <c r="W1113" s="12"/>
      <c r="X1113" s="12"/>
      <c r="Y1113" s="12"/>
      <c r="Z1113" s="12"/>
      <c r="AA1113" s="12"/>
      <c r="AB1113" s="12"/>
      <c r="AC1113" s="12"/>
      <c r="AD1113" s="12"/>
    </row>
    <row r="1114" spans="2:30" x14ac:dyDescent="0.35">
      <c r="B1114" s="17"/>
      <c r="C1114" s="18"/>
      <c r="D1114" s="21"/>
      <c r="E1114" s="21"/>
      <c r="F1114" s="21"/>
      <c r="G1114" s="21"/>
      <c r="H1114" s="21"/>
      <c r="I1114" s="21"/>
      <c r="J1114" s="21"/>
      <c r="K1114" s="21"/>
      <c r="L1114" s="21"/>
      <c r="M1114" s="21"/>
      <c r="N1114" s="21"/>
      <c r="O1114" s="21"/>
      <c r="P1114" s="21"/>
      <c r="Q1114" s="14"/>
      <c r="R1114" s="14"/>
      <c r="S1114" s="12"/>
      <c r="T1114" s="12"/>
      <c r="U1114" s="12"/>
      <c r="V1114" s="12"/>
      <c r="W1114" s="12"/>
      <c r="X1114" s="12"/>
      <c r="Y1114" s="12"/>
      <c r="Z1114" s="12"/>
      <c r="AA1114" s="12"/>
      <c r="AB1114" s="12"/>
      <c r="AC1114" s="12"/>
      <c r="AD1114" s="12"/>
    </row>
    <row r="1115" spans="2:30" x14ac:dyDescent="0.35">
      <c r="B1115" s="17"/>
      <c r="C1115" s="18"/>
      <c r="D1115" s="21"/>
      <c r="E1115" s="21"/>
      <c r="F1115" s="21"/>
      <c r="G1115" s="21"/>
      <c r="H1115" s="21"/>
      <c r="I1115" s="21"/>
      <c r="J1115" s="21"/>
      <c r="K1115" s="21"/>
      <c r="L1115" s="21"/>
      <c r="M1115" s="21"/>
      <c r="N1115" s="21"/>
      <c r="O1115" s="21"/>
      <c r="P1115" s="21"/>
      <c r="Q1115" s="14"/>
      <c r="R1115" s="14"/>
      <c r="S1115" s="12"/>
      <c r="T1115" s="12"/>
      <c r="U1115" s="12"/>
      <c r="V1115" s="12"/>
      <c r="W1115" s="12"/>
      <c r="X1115" s="12"/>
      <c r="Y1115" s="12"/>
      <c r="Z1115" s="12"/>
      <c r="AA1115" s="12"/>
      <c r="AB1115" s="12"/>
      <c r="AC1115" s="12"/>
      <c r="AD1115" s="12"/>
    </row>
    <row r="1116" spans="2:30" x14ac:dyDescent="0.35">
      <c r="B1116" s="17"/>
      <c r="C1116" s="18"/>
      <c r="D1116" s="21"/>
      <c r="E1116" s="21"/>
      <c r="F1116" s="21"/>
      <c r="G1116" s="21"/>
      <c r="H1116" s="21"/>
      <c r="I1116" s="21"/>
      <c r="J1116" s="21"/>
      <c r="K1116" s="21"/>
      <c r="L1116" s="21"/>
      <c r="M1116" s="21"/>
      <c r="N1116" s="21"/>
      <c r="O1116" s="21"/>
      <c r="P1116" s="21"/>
      <c r="Q1116" s="21"/>
      <c r="R1116" s="21"/>
      <c r="S1116" s="12"/>
      <c r="T1116" s="12"/>
      <c r="U1116" s="12"/>
      <c r="V1116" s="12"/>
      <c r="W1116" s="12"/>
      <c r="X1116" s="12"/>
      <c r="Y1116" s="12"/>
      <c r="Z1116" s="12"/>
      <c r="AA1116" s="12"/>
      <c r="AB1116" s="12"/>
      <c r="AC1116" s="12"/>
      <c r="AD1116" s="12"/>
    </row>
    <row r="1117" spans="2:30" x14ac:dyDescent="0.35">
      <c r="B1117" s="17"/>
      <c r="C1117" s="18"/>
      <c r="D1117" s="21"/>
      <c r="E1117" s="21"/>
      <c r="F1117" s="21"/>
      <c r="G1117" s="21"/>
      <c r="H1117" s="21"/>
      <c r="I1117" s="21"/>
      <c r="J1117" s="21"/>
      <c r="K1117" s="21"/>
      <c r="L1117" s="21"/>
      <c r="M1117" s="21"/>
      <c r="N1117" s="21"/>
      <c r="O1117" s="21"/>
      <c r="P1117" s="21"/>
      <c r="Q1117" s="21"/>
      <c r="R1117" s="21"/>
      <c r="S1117" s="12"/>
      <c r="T1117" s="12"/>
      <c r="U1117" s="12"/>
      <c r="V1117" s="12"/>
      <c r="W1117" s="12"/>
      <c r="X1117" s="12"/>
      <c r="Y1117" s="12"/>
      <c r="Z1117" s="12"/>
      <c r="AA1117" s="12"/>
      <c r="AB1117" s="12"/>
      <c r="AC1117" s="12"/>
      <c r="AD1117" s="12"/>
    </row>
    <row r="1118" spans="2:30" x14ac:dyDescent="0.35">
      <c r="B1118" s="17"/>
      <c r="C1118" s="18"/>
      <c r="D1118" s="21"/>
      <c r="E1118" s="21"/>
      <c r="F1118" s="21"/>
      <c r="G1118" s="21"/>
      <c r="H1118" s="21"/>
      <c r="I1118" s="21"/>
      <c r="J1118" s="21"/>
      <c r="K1118" s="21"/>
      <c r="L1118" s="21"/>
      <c r="M1118" s="21"/>
      <c r="N1118" s="21"/>
      <c r="O1118" s="21"/>
      <c r="P1118" s="21"/>
      <c r="Q1118" s="21"/>
      <c r="R1118" s="21"/>
      <c r="S1118" s="12"/>
      <c r="T1118" s="12"/>
      <c r="U1118" s="12"/>
      <c r="V1118" s="12"/>
      <c r="W1118" s="12"/>
      <c r="X1118" s="12"/>
      <c r="Y1118" s="12"/>
      <c r="Z1118" s="12"/>
      <c r="AA1118" s="12"/>
      <c r="AB1118" s="12"/>
      <c r="AC1118" s="12"/>
      <c r="AD1118" s="12"/>
    </row>
    <row r="1119" spans="2:30" x14ac:dyDescent="0.35">
      <c r="B1119" s="17"/>
      <c r="C1119" s="18"/>
      <c r="D1119" s="21"/>
      <c r="E1119" s="21"/>
      <c r="F1119" s="21"/>
      <c r="G1119" s="21"/>
      <c r="H1119" s="21"/>
      <c r="I1119" s="21"/>
      <c r="J1119" s="21"/>
      <c r="K1119" s="21"/>
      <c r="L1119" s="21"/>
      <c r="M1119" s="21"/>
      <c r="N1119" s="21"/>
      <c r="O1119" s="21"/>
      <c r="P1119" s="21"/>
      <c r="Q1119" s="21"/>
      <c r="R1119" s="21"/>
      <c r="S1119" s="12"/>
      <c r="T1119" s="12"/>
      <c r="U1119" s="12"/>
      <c r="V1119" s="12"/>
      <c r="W1119" s="12"/>
      <c r="X1119" s="12"/>
      <c r="Y1119" s="12"/>
      <c r="Z1119" s="12"/>
      <c r="AA1119" s="12"/>
      <c r="AB1119" s="12"/>
      <c r="AC1119" s="12"/>
      <c r="AD1119" s="12"/>
    </row>
    <row r="1120" spans="2:30" x14ac:dyDescent="0.35">
      <c r="B1120" s="17"/>
      <c r="C1120" s="13"/>
      <c r="D1120" s="14"/>
      <c r="E1120" s="14"/>
      <c r="F1120" s="14"/>
      <c r="G1120" s="14"/>
      <c r="H1120" s="14"/>
      <c r="I1120" s="14"/>
      <c r="J1120" s="14"/>
      <c r="K1120" s="14"/>
      <c r="L1120" s="14"/>
      <c r="M1120" s="14"/>
      <c r="N1120" s="14"/>
      <c r="O1120" s="14"/>
      <c r="P1120" s="14"/>
      <c r="Q1120" s="21"/>
      <c r="R1120" s="21"/>
      <c r="S1120" s="12"/>
      <c r="T1120" s="12"/>
      <c r="U1120" s="12"/>
      <c r="V1120" s="12"/>
      <c r="W1120" s="12"/>
      <c r="X1120" s="12"/>
      <c r="Y1120" s="12"/>
      <c r="Z1120" s="12"/>
      <c r="AA1120" s="12"/>
      <c r="AB1120" s="12"/>
      <c r="AC1120" s="12"/>
      <c r="AD1120" s="12"/>
    </row>
    <row r="1121" spans="2:30" x14ac:dyDescent="0.35">
      <c r="B1121" s="17"/>
      <c r="C1121" s="13"/>
      <c r="D1121" s="14"/>
      <c r="E1121" s="14"/>
      <c r="F1121" s="14"/>
      <c r="G1121" s="14"/>
      <c r="H1121" s="14"/>
      <c r="I1121" s="14"/>
      <c r="J1121" s="14"/>
      <c r="K1121" s="14"/>
      <c r="L1121" s="14"/>
      <c r="M1121" s="14"/>
      <c r="N1121" s="14"/>
      <c r="O1121" s="14"/>
      <c r="P1121" s="14"/>
      <c r="Q1121" s="21"/>
      <c r="R1121" s="21"/>
      <c r="S1121" s="12"/>
      <c r="T1121" s="12"/>
      <c r="U1121" s="12"/>
      <c r="V1121" s="12"/>
      <c r="W1121" s="12"/>
      <c r="X1121" s="12"/>
      <c r="Y1121" s="12"/>
      <c r="Z1121" s="12"/>
      <c r="AA1121" s="12"/>
      <c r="AB1121" s="12"/>
      <c r="AC1121" s="12"/>
      <c r="AD1121" s="12"/>
    </row>
    <row r="1122" spans="2:30" x14ac:dyDescent="0.35">
      <c r="B1122" s="17"/>
      <c r="C1122" s="13"/>
      <c r="D1122" s="14"/>
      <c r="E1122" s="14"/>
      <c r="F1122" s="14"/>
      <c r="G1122" s="14"/>
      <c r="H1122" s="14"/>
      <c r="I1122" s="14"/>
      <c r="J1122" s="14"/>
      <c r="K1122" s="14"/>
      <c r="L1122" s="14"/>
      <c r="M1122" s="14"/>
      <c r="N1122" s="14"/>
      <c r="O1122" s="14"/>
      <c r="P1122" s="14"/>
      <c r="Q1122" s="21"/>
      <c r="R1122" s="21"/>
      <c r="S1122" s="12"/>
      <c r="T1122" s="12"/>
      <c r="U1122" s="12"/>
      <c r="V1122" s="12"/>
      <c r="W1122" s="12"/>
      <c r="X1122" s="12"/>
      <c r="Y1122" s="12"/>
      <c r="Z1122" s="12"/>
      <c r="AA1122" s="12"/>
      <c r="AB1122" s="12"/>
      <c r="AC1122" s="12"/>
      <c r="AD1122" s="12"/>
    </row>
    <row r="1123" spans="2:30" x14ac:dyDescent="0.35">
      <c r="B1123" s="17"/>
      <c r="C1123" s="13"/>
      <c r="D1123" s="14"/>
      <c r="E1123" s="14"/>
      <c r="F1123" s="14"/>
      <c r="G1123" s="14"/>
      <c r="H1123" s="14"/>
      <c r="I1123" s="14"/>
      <c r="J1123" s="14"/>
      <c r="K1123" s="14"/>
      <c r="L1123" s="14"/>
      <c r="M1123" s="14"/>
      <c r="N1123" s="14"/>
      <c r="O1123" s="14"/>
      <c r="P1123" s="14"/>
      <c r="Q1123" s="21"/>
      <c r="R1123" s="21"/>
      <c r="S1123" s="12"/>
      <c r="T1123" s="12"/>
      <c r="U1123" s="12"/>
      <c r="V1123" s="12"/>
      <c r="W1123" s="12"/>
      <c r="X1123" s="12"/>
      <c r="Y1123" s="12"/>
      <c r="Z1123" s="12"/>
      <c r="AA1123" s="12"/>
      <c r="AB1123" s="12"/>
      <c r="AC1123" s="12"/>
      <c r="AD1123" s="12"/>
    </row>
    <row r="1124" spans="2:30" x14ac:dyDescent="0.35">
      <c r="B1124" s="17"/>
      <c r="C1124" s="32"/>
      <c r="D1124" s="34"/>
      <c r="E1124" s="34"/>
      <c r="F1124" s="34"/>
      <c r="G1124" s="34"/>
      <c r="H1124" s="34"/>
      <c r="I1124" s="34"/>
      <c r="J1124" s="34"/>
      <c r="K1124" s="34"/>
      <c r="L1124" s="34"/>
      <c r="M1124" s="34"/>
      <c r="N1124" s="34"/>
      <c r="O1124" s="34"/>
      <c r="P1124" s="34"/>
      <c r="Q1124" s="21"/>
      <c r="R1124" s="21"/>
      <c r="S1124" s="12"/>
      <c r="T1124" s="12"/>
      <c r="U1124" s="12"/>
      <c r="V1124" s="12"/>
      <c r="W1124" s="12"/>
      <c r="X1124" s="12"/>
      <c r="Y1124" s="12"/>
      <c r="Z1124" s="12"/>
      <c r="AA1124" s="12"/>
      <c r="AB1124" s="12"/>
      <c r="AC1124" s="12"/>
      <c r="AD1124" s="12"/>
    </row>
    <row r="1125" spans="2:30" x14ac:dyDescent="0.35">
      <c r="B1125" s="17"/>
      <c r="C1125" s="13"/>
      <c r="D1125" s="14"/>
      <c r="E1125" s="14"/>
      <c r="F1125" s="14"/>
      <c r="G1125" s="14"/>
      <c r="H1125" s="14"/>
      <c r="I1125" s="14"/>
      <c r="J1125" s="14"/>
      <c r="K1125" s="14"/>
      <c r="L1125" s="14"/>
      <c r="M1125" s="14"/>
      <c r="N1125" s="14"/>
      <c r="O1125" s="14"/>
      <c r="P1125" s="14"/>
      <c r="Q1125" s="14"/>
      <c r="R1125" s="14"/>
      <c r="S1125" s="12"/>
      <c r="T1125" s="12"/>
      <c r="U1125" s="12"/>
      <c r="V1125" s="12"/>
      <c r="W1125" s="12"/>
      <c r="X1125" s="12"/>
      <c r="Y1125" s="12"/>
      <c r="Z1125" s="12"/>
      <c r="AA1125" s="12"/>
      <c r="AB1125" s="12"/>
      <c r="AC1125" s="12"/>
      <c r="AD1125" s="12"/>
    </row>
    <row r="1126" spans="2:30" x14ac:dyDescent="0.35">
      <c r="B1126" s="17"/>
      <c r="C1126" s="13"/>
      <c r="D1126" s="14"/>
      <c r="E1126" s="14"/>
      <c r="F1126" s="14"/>
      <c r="G1126" s="14"/>
      <c r="H1126" s="14"/>
      <c r="I1126" s="14"/>
      <c r="J1126" s="14"/>
      <c r="K1126" s="14"/>
      <c r="L1126" s="14"/>
      <c r="M1126" s="14"/>
      <c r="N1126" s="14"/>
      <c r="O1126" s="14"/>
      <c r="P1126" s="14"/>
      <c r="Q1126" s="14"/>
      <c r="R1126" s="14"/>
      <c r="S1126" s="12"/>
      <c r="T1126" s="12"/>
      <c r="U1126" s="12"/>
      <c r="V1126" s="12"/>
      <c r="W1126" s="12"/>
      <c r="X1126" s="12"/>
      <c r="Y1126" s="12"/>
      <c r="Z1126" s="12"/>
      <c r="AA1126" s="12"/>
      <c r="AB1126" s="12"/>
      <c r="AC1126" s="12"/>
      <c r="AD1126" s="12"/>
    </row>
    <row r="1127" spans="2:30" x14ac:dyDescent="0.35">
      <c r="B1127" s="17"/>
      <c r="C1127" s="13"/>
      <c r="D1127" s="14"/>
      <c r="E1127" s="14"/>
      <c r="F1127" s="14"/>
      <c r="G1127" s="14"/>
      <c r="H1127" s="14"/>
      <c r="I1127" s="14"/>
      <c r="J1127" s="14"/>
      <c r="K1127" s="14"/>
      <c r="L1127" s="14"/>
      <c r="M1127" s="14"/>
      <c r="N1127" s="14"/>
      <c r="O1127" s="14"/>
      <c r="P1127" s="14"/>
      <c r="Q1127" s="14"/>
      <c r="R1127" s="14"/>
      <c r="S1127" s="12"/>
      <c r="T1127" s="12"/>
      <c r="U1127" s="12"/>
      <c r="V1127" s="12"/>
      <c r="W1127" s="12"/>
      <c r="X1127" s="12"/>
      <c r="Y1127" s="12"/>
      <c r="Z1127" s="12"/>
      <c r="AA1127" s="12"/>
      <c r="AB1127" s="12"/>
      <c r="AC1127" s="12"/>
      <c r="AD1127" s="12"/>
    </row>
    <row r="1128" spans="2:30" x14ac:dyDescent="0.35">
      <c r="B1128" s="17"/>
      <c r="C1128" s="13"/>
      <c r="D1128" s="14"/>
      <c r="E1128" s="14"/>
      <c r="F1128" s="14"/>
      <c r="G1128" s="14"/>
      <c r="H1128" s="14"/>
      <c r="I1128" s="14"/>
      <c r="J1128" s="14"/>
      <c r="K1128" s="14"/>
      <c r="L1128" s="14"/>
      <c r="M1128" s="14"/>
      <c r="N1128" s="14"/>
      <c r="O1128" s="14"/>
      <c r="P1128" s="14"/>
      <c r="Q1128" s="14"/>
      <c r="R1128" s="14"/>
      <c r="S1128" s="12"/>
      <c r="T1128" s="12"/>
      <c r="U1128" s="12"/>
      <c r="V1128" s="12"/>
      <c r="W1128" s="12"/>
      <c r="X1128" s="12"/>
      <c r="Y1128" s="12"/>
      <c r="Z1128" s="12"/>
      <c r="AA1128" s="12"/>
      <c r="AB1128" s="12"/>
      <c r="AC1128" s="12"/>
      <c r="AD1128" s="12"/>
    </row>
    <row r="1129" spans="2:30" x14ac:dyDescent="0.35">
      <c r="B1129" s="17"/>
      <c r="C1129" s="13"/>
      <c r="D1129" s="14"/>
      <c r="E1129" s="14"/>
      <c r="F1129" s="14"/>
      <c r="G1129" s="14"/>
      <c r="H1129" s="14"/>
      <c r="I1129" s="14"/>
      <c r="J1129" s="14"/>
      <c r="K1129" s="14"/>
      <c r="L1129" s="14"/>
      <c r="M1129" s="14"/>
      <c r="N1129" s="14"/>
      <c r="O1129" s="14"/>
      <c r="P1129" s="14"/>
      <c r="Q1129" s="14"/>
      <c r="R1129" s="14"/>
      <c r="S1129" s="12"/>
      <c r="T1129" s="12"/>
      <c r="U1129" s="12"/>
      <c r="V1129" s="12"/>
      <c r="W1129" s="12"/>
      <c r="X1129" s="12"/>
      <c r="Y1129" s="12"/>
      <c r="Z1129" s="12"/>
      <c r="AA1129" s="12"/>
      <c r="AB1129" s="12"/>
      <c r="AC1129" s="12"/>
      <c r="AD1129" s="12"/>
    </row>
    <row r="1130" spans="2:30" x14ac:dyDescent="0.35">
      <c r="B1130" s="17"/>
      <c r="C1130" s="13"/>
      <c r="D1130" s="14"/>
      <c r="E1130" s="14"/>
      <c r="F1130" s="14"/>
      <c r="G1130" s="14"/>
      <c r="H1130" s="14"/>
      <c r="I1130" s="14"/>
      <c r="J1130" s="14"/>
      <c r="K1130" s="14"/>
      <c r="L1130" s="14"/>
      <c r="M1130" s="14"/>
      <c r="N1130" s="14"/>
      <c r="O1130" s="14"/>
      <c r="P1130" s="14"/>
      <c r="Q1130" s="14"/>
      <c r="R1130" s="14"/>
      <c r="S1130" s="12"/>
      <c r="T1130" s="12"/>
      <c r="U1130" s="12"/>
      <c r="V1130" s="12"/>
      <c r="W1130" s="12"/>
      <c r="X1130" s="12"/>
      <c r="Y1130" s="12"/>
      <c r="Z1130" s="12"/>
      <c r="AA1130" s="12"/>
      <c r="AB1130" s="12"/>
      <c r="AC1130" s="12"/>
      <c r="AD1130" s="12"/>
    </row>
    <row r="1131" spans="2:30" x14ac:dyDescent="0.35">
      <c r="B1131" s="17"/>
      <c r="C1131" s="32"/>
      <c r="D1131" s="34"/>
      <c r="E1131" s="34"/>
      <c r="F1131" s="34"/>
      <c r="G1131" s="34"/>
      <c r="H1131" s="34"/>
      <c r="I1131" s="34"/>
      <c r="J1131" s="34"/>
      <c r="K1131" s="34"/>
      <c r="L1131" s="34"/>
      <c r="M1131" s="34"/>
      <c r="N1131" s="34"/>
      <c r="O1131" s="34"/>
      <c r="P1131" s="34"/>
      <c r="Q1131" s="14"/>
      <c r="R1131" s="14"/>
      <c r="S1131" s="12"/>
      <c r="T1131" s="12"/>
      <c r="U1131" s="12"/>
      <c r="V1131" s="12"/>
      <c r="W1131" s="12"/>
      <c r="X1131" s="12"/>
      <c r="Y1131" s="12"/>
      <c r="Z1131" s="12"/>
      <c r="AA1131" s="12"/>
      <c r="AB1131" s="12"/>
      <c r="AC1131" s="12"/>
      <c r="AD1131" s="12"/>
    </row>
    <row r="1132" spans="2:30" x14ac:dyDescent="0.35">
      <c r="B1132" s="17"/>
      <c r="C1132" s="13"/>
      <c r="D1132" s="14"/>
      <c r="E1132" s="14"/>
      <c r="F1132" s="14"/>
      <c r="G1132" s="14"/>
      <c r="H1132" s="14"/>
      <c r="I1132" s="14"/>
      <c r="J1132" s="14"/>
      <c r="K1132" s="14"/>
      <c r="L1132" s="14"/>
      <c r="M1132" s="14"/>
      <c r="N1132" s="14"/>
      <c r="O1132" s="14"/>
      <c r="P1132" s="14"/>
      <c r="Q1132" s="14"/>
      <c r="R1132" s="14"/>
      <c r="S1132" s="12"/>
      <c r="T1132" s="12"/>
      <c r="U1132" s="12"/>
      <c r="V1132" s="12"/>
      <c r="W1132" s="12"/>
      <c r="X1132" s="12"/>
      <c r="Y1132" s="12"/>
      <c r="Z1132" s="12"/>
      <c r="AA1132" s="12"/>
      <c r="AB1132" s="12"/>
      <c r="AC1132" s="12"/>
      <c r="AD1132" s="12"/>
    </row>
    <row r="1133" spans="2:30" x14ac:dyDescent="0.35">
      <c r="B1133" s="17"/>
      <c r="C1133" s="13"/>
      <c r="D1133" s="14"/>
      <c r="E1133" s="14"/>
      <c r="F1133" s="14"/>
      <c r="G1133" s="14"/>
      <c r="H1133" s="14"/>
      <c r="I1133" s="14"/>
      <c r="J1133" s="14"/>
      <c r="K1133" s="14"/>
      <c r="L1133" s="14"/>
      <c r="M1133" s="14"/>
      <c r="N1133" s="14"/>
      <c r="O1133" s="14"/>
      <c r="P1133" s="14"/>
      <c r="Q1133" s="14"/>
      <c r="R1133" s="14"/>
      <c r="S1133" s="12"/>
      <c r="T1133" s="12"/>
      <c r="U1133" s="12"/>
      <c r="V1133" s="12"/>
      <c r="W1133" s="12"/>
      <c r="X1133" s="12"/>
      <c r="Y1133" s="12"/>
      <c r="Z1133" s="12"/>
      <c r="AA1133" s="12"/>
      <c r="AB1133" s="12"/>
      <c r="AC1133" s="12"/>
      <c r="AD1133" s="12"/>
    </row>
    <row r="1134" spans="2:30" x14ac:dyDescent="0.35">
      <c r="B1134" s="17"/>
      <c r="C1134" s="13"/>
      <c r="D1134" s="14"/>
      <c r="E1134" s="14"/>
      <c r="F1134" s="14"/>
      <c r="G1134" s="14"/>
      <c r="H1134" s="14"/>
      <c r="I1134" s="14"/>
      <c r="J1134" s="14"/>
      <c r="K1134" s="14"/>
      <c r="L1134" s="14"/>
      <c r="M1134" s="14"/>
      <c r="N1134" s="14"/>
      <c r="O1134" s="14"/>
      <c r="P1134" s="14"/>
      <c r="Q1134" s="14"/>
      <c r="R1134" s="14"/>
      <c r="S1134" s="12"/>
      <c r="T1134" s="12"/>
      <c r="U1134" s="12"/>
      <c r="V1134" s="12"/>
      <c r="W1134" s="12"/>
      <c r="X1134" s="12"/>
      <c r="Y1134" s="12"/>
      <c r="Z1134" s="12"/>
      <c r="AA1134" s="12"/>
      <c r="AB1134" s="12"/>
      <c r="AC1134" s="12"/>
      <c r="AD1134" s="12"/>
    </row>
    <row r="1135" spans="2:30" x14ac:dyDescent="0.35">
      <c r="B1135" s="17"/>
      <c r="C1135" s="13"/>
      <c r="D1135" s="14"/>
      <c r="E1135" s="14"/>
      <c r="F1135" s="14"/>
      <c r="G1135" s="14"/>
      <c r="H1135" s="14"/>
      <c r="I1135" s="14"/>
      <c r="J1135" s="14"/>
      <c r="K1135" s="14"/>
      <c r="L1135" s="14"/>
      <c r="M1135" s="14"/>
      <c r="N1135" s="14"/>
      <c r="O1135" s="14"/>
      <c r="P1135" s="14"/>
      <c r="Q1135" s="14"/>
      <c r="R1135" s="14"/>
      <c r="S1135" s="12"/>
      <c r="T1135" s="12"/>
      <c r="U1135" s="12"/>
      <c r="V1135" s="12"/>
      <c r="W1135" s="12"/>
      <c r="X1135" s="12"/>
      <c r="Y1135" s="12"/>
      <c r="Z1135" s="12"/>
      <c r="AA1135" s="12"/>
      <c r="AB1135" s="12"/>
      <c r="AC1135" s="12"/>
      <c r="AD1135" s="12"/>
    </row>
    <row r="1136" spans="2:30" x14ac:dyDescent="0.35">
      <c r="B1136" s="17"/>
      <c r="C1136" s="13"/>
      <c r="D1136" s="14"/>
      <c r="E1136" s="14"/>
      <c r="F1136" s="14"/>
      <c r="G1136" s="14"/>
      <c r="H1136" s="14"/>
      <c r="I1136" s="14"/>
      <c r="J1136" s="14"/>
      <c r="K1136" s="14"/>
      <c r="L1136" s="14"/>
      <c r="M1136" s="14"/>
      <c r="N1136" s="14"/>
      <c r="O1136" s="14"/>
      <c r="P1136" s="14"/>
      <c r="Q1136" s="14"/>
      <c r="R1136" s="14"/>
      <c r="S1136" s="12"/>
      <c r="T1136" s="12"/>
      <c r="U1136" s="12"/>
      <c r="V1136" s="12"/>
      <c r="W1136" s="12"/>
      <c r="X1136" s="12"/>
      <c r="Y1136" s="12"/>
      <c r="Z1136" s="12"/>
      <c r="AA1136" s="12"/>
      <c r="AB1136" s="12"/>
      <c r="AC1136" s="12"/>
      <c r="AD1136" s="12"/>
    </row>
    <row r="1137" spans="2:30" x14ac:dyDescent="0.35">
      <c r="B1137" s="20"/>
      <c r="D1137"/>
      <c r="E1137"/>
      <c r="F1137"/>
      <c r="G1137"/>
      <c r="H1137"/>
      <c r="I1137"/>
      <c r="J1137"/>
      <c r="K1137"/>
      <c r="Q1137" s="14"/>
      <c r="R1137" s="14"/>
      <c r="S1137" s="12"/>
      <c r="T1137" s="12"/>
      <c r="U1137" s="12"/>
      <c r="V1137" s="12"/>
      <c r="W1137" s="12"/>
      <c r="X1137" s="12"/>
      <c r="Y1137" s="12"/>
      <c r="Z1137" s="12"/>
      <c r="AA1137" s="12"/>
      <c r="AB1137" s="12"/>
      <c r="AC1137" s="12"/>
      <c r="AD1137" s="12"/>
    </row>
    <row r="1138" spans="2:30" x14ac:dyDescent="0.35">
      <c r="B1138" s="20"/>
      <c r="D1138"/>
      <c r="E1138"/>
      <c r="F1138"/>
      <c r="G1138"/>
      <c r="H1138"/>
      <c r="I1138"/>
      <c r="J1138"/>
      <c r="K1138"/>
      <c r="Q1138" s="14"/>
      <c r="R1138" s="14"/>
      <c r="S1138" s="12"/>
      <c r="T1138" s="12"/>
      <c r="U1138" s="12"/>
      <c r="V1138" s="12"/>
      <c r="W1138" s="12"/>
      <c r="X1138" s="12"/>
      <c r="Y1138" s="12"/>
      <c r="Z1138" s="12"/>
      <c r="AA1138" s="12"/>
      <c r="AB1138" s="12"/>
      <c r="AC1138" s="12"/>
      <c r="AD1138" s="12"/>
    </row>
    <row r="1139" spans="2:30" x14ac:dyDescent="0.35">
      <c r="B1139" s="20"/>
      <c r="D1139"/>
      <c r="E1139"/>
      <c r="F1139"/>
      <c r="G1139"/>
      <c r="H1139"/>
      <c r="I1139"/>
      <c r="J1139"/>
      <c r="K1139"/>
      <c r="Q1139" s="14"/>
      <c r="R1139" s="14"/>
      <c r="S1139" s="12"/>
      <c r="T1139" s="12"/>
      <c r="U1139" s="12"/>
      <c r="V1139" s="12"/>
      <c r="W1139" s="12"/>
      <c r="X1139" s="12"/>
      <c r="Y1139" s="12"/>
      <c r="Z1139" s="12"/>
      <c r="AA1139" s="12"/>
      <c r="AB1139" s="12"/>
      <c r="AC1139" s="12"/>
      <c r="AD1139" s="12"/>
    </row>
    <row r="1140" spans="2:30" x14ac:dyDescent="0.35">
      <c r="B1140" s="20"/>
      <c r="D1140"/>
      <c r="E1140"/>
      <c r="F1140"/>
      <c r="G1140"/>
      <c r="H1140"/>
      <c r="I1140"/>
      <c r="J1140"/>
      <c r="K1140"/>
      <c r="Q1140" s="21"/>
      <c r="R1140" s="21"/>
      <c r="S1140" s="12"/>
      <c r="T1140" s="12"/>
      <c r="U1140" s="12"/>
      <c r="V1140" s="12"/>
      <c r="W1140" s="12"/>
      <c r="X1140" s="12"/>
      <c r="Y1140" s="12"/>
      <c r="Z1140" s="12"/>
      <c r="AA1140" s="12"/>
      <c r="AB1140" s="12"/>
      <c r="AC1140" s="12"/>
      <c r="AD1140" s="12"/>
    </row>
    <row r="1141" spans="2:30" x14ac:dyDescent="0.35">
      <c r="B1141" s="20"/>
      <c r="D1141"/>
      <c r="E1141"/>
      <c r="F1141"/>
      <c r="G1141"/>
      <c r="H1141"/>
      <c r="I1141"/>
      <c r="J1141"/>
      <c r="K1141"/>
      <c r="Q1141" s="21"/>
      <c r="R1141" s="21"/>
      <c r="S1141" s="12"/>
      <c r="T1141" s="12"/>
      <c r="U1141" s="12"/>
      <c r="V1141" s="12"/>
      <c r="W1141" s="12"/>
      <c r="X1141" s="12"/>
      <c r="Y1141" s="12"/>
      <c r="Z1141" s="12"/>
      <c r="AA1141" s="12"/>
      <c r="AB1141" s="12"/>
      <c r="AC1141" s="12"/>
      <c r="AD1141" s="12"/>
    </row>
    <row r="1142" spans="2:30" x14ac:dyDescent="0.35">
      <c r="B1142" s="20"/>
      <c r="D1142"/>
      <c r="E1142"/>
      <c r="F1142"/>
      <c r="G1142"/>
      <c r="H1142"/>
      <c r="I1142"/>
      <c r="J1142"/>
      <c r="K1142"/>
      <c r="Q1142" s="21"/>
      <c r="R1142" s="21"/>
      <c r="S1142" s="12"/>
      <c r="T1142" s="12"/>
      <c r="U1142" s="12"/>
      <c r="V1142" s="12"/>
      <c r="W1142" s="12"/>
      <c r="X1142" s="12"/>
      <c r="Y1142" s="12"/>
      <c r="Z1142" s="12"/>
      <c r="AA1142" s="12"/>
      <c r="AB1142" s="12"/>
      <c r="AC1142" s="12"/>
      <c r="AD1142" s="12"/>
    </row>
    <row r="1143" spans="2:30" x14ac:dyDescent="0.35">
      <c r="B1143" s="20"/>
      <c r="D1143"/>
      <c r="E1143"/>
      <c r="F1143"/>
      <c r="G1143"/>
      <c r="H1143"/>
      <c r="I1143"/>
      <c r="J1143"/>
      <c r="K1143"/>
      <c r="Q1143" s="21"/>
      <c r="R1143" s="21"/>
      <c r="S1143" s="12"/>
      <c r="T1143" s="12"/>
      <c r="U1143" s="12"/>
      <c r="V1143" s="12"/>
      <c r="W1143" s="12"/>
      <c r="X1143" s="12"/>
      <c r="Y1143" s="12"/>
      <c r="Z1143" s="12"/>
      <c r="AA1143" s="12"/>
      <c r="AB1143" s="12"/>
      <c r="AC1143" s="12"/>
      <c r="AD1143" s="12"/>
    </row>
    <row r="1144" spans="2:30" x14ac:dyDescent="0.35">
      <c r="B1144" s="20"/>
      <c r="D1144"/>
      <c r="E1144"/>
      <c r="F1144"/>
      <c r="G1144"/>
      <c r="H1144"/>
      <c r="I1144"/>
      <c r="J1144"/>
      <c r="K1144"/>
      <c r="Q1144" s="21"/>
      <c r="R1144" s="21"/>
      <c r="S1144" s="12"/>
      <c r="T1144" s="12"/>
      <c r="U1144" s="12"/>
      <c r="V1144" s="12"/>
      <c r="W1144" s="12"/>
      <c r="X1144" s="12"/>
      <c r="Y1144" s="12"/>
      <c r="Z1144" s="12"/>
      <c r="AA1144" s="12"/>
      <c r="AB1144" s="12"/>
      <c r="AC1144" s="12"/>
      <c r="AD1144" s="12"/>
    </row>
    <row r="1145" spans="2:30" x14ac:dyDescent="0.35">
      <c r="B1145" s="20"/>
      <c r="D1145"/>
      <c r="E1145"/>
      <c r="F1145"/>
      <c r="G1145"/>
      <c r="H1145"/>
      <c r="I1145"/>
      <c r="J1145"/>
      <c r="K1145"/>
      <c r="Q1145" s="21"/>
      <c r="R1145" s="21"/>
      <c r="S1145" s="12"/>
      <c r="T1145" s="12"/>
      <c r="U1145" s="12"/>
      <c r="V1145" s="12"/>
      <c r="W1145" s="12"/>
      <c r="X1145" s="12"/>
      <c r="Y1145" s="12"/>
      <c r="Z1145" s="12"/>
      <c r="AA1145" s="12"/>
      <c r="AB1145" s="12"/>
      <c r="AC1145" s="12"/>
      <c r="AD1145" s="12"/>
    </row>
    <row r="1146" spans="2:30" x14ac:dyDescent="0.35">
      <c r="B1146" s="20"/>
      <c r="D1146" s="24"/>
      <c r="E1146" s="24"/>
      <c r="F1146" s="24"/>
      <c r="G1146" s="24"/>
      <c r="H1146" s="24"/>
      <c r="I1146" s="24"/>
      <c r="J1146" s="24"/>
      <c r="K1146" s="24"/>
      <c r="L1146" s="24"/>
      <c r="M1146" s="24"/>
      <c r="N1146" s="24"/>
      <c r="O1146" s="24"/>
      <c r="P1146" s="24"/>
      <c r="Q1146" s="21"/>
      <c r="R1146" s="21"/>
      <c r="S1146" s="12"/>
      <c r="T1146" s="12"/>
      <c r="U1146" s="12"/>
      <c r="V1146" s="12"/>
      <c r="W1146" s="12"/>
      <c r="X1146" s="12"/>
      <c r="Y1146" s="12"/>
      <c r="Z1146" s="12"/>
      <c r="AA1146" s="12"/>
      <c r="AB1146" s="12"/>
      <c r="AC1146" s="12"/>
      <c r="AD1146" s="12"/>
    </row>
    <row r="1147" spans="2:30" x14ac:dyDescent="0.35">
      <c r="B1147" s="20"/>
      <c r="D1147" s="24"/>
      <c r="E1147" s="24"/>
      <c r="F1147" s="24"/>
      <c r="G1147" s="24"/>
      <c r="H1147" s="24"/>
      <c r="I1147" s="24"/>
      <c r="J1147" s="24"/>
      <c r="K1147" s="24"/>
      <c r="L1147" s="24"/>
      <c r="M1147" s="24"/>
      <c r="N1147" s="24"/>
      <c r="O1147" s="24"/>
      <c r="P1147" s="24"/>
      <c r="Q1147" s="21"/>
      <c r="R1147" s="21"/>
      <c r="S1147" s="12"/>
      <c r="T1147" s="12"/>
      <c r="U1147" s="12"/>
      <c r="V1147" s="12"/>
      <c r="W1147" s="12"/>
      <c r="X1147" s="12"/>
      <c r="Y1147" s="12"/>
      <c r="Z1147" s="12"/>
      <c r="AA1147" s="12"/>
      <c r="AB1147" s="12"/>
      <c r="AC1147" s="12"/>
      <c r="AD1147" s="12"/>
    </row>
    <row r="1148" spans="2:30" x14ac:dyDescent="0.35">
      <c r="B1148" s="20"/>
      <c r="D1148" s="24"/>
      <c r="E1148" s="24"/>
      <c r="F1148" s="24"/>
      <c r="G1148" s="24"/>
      <c r="H1148" s="24"/>
      <c r="I1148" s="24"/>
      <c r="J1148" s="24"/>
      <c r="K1148" s="24"/>
      <c r="L1148" s="24"/>
      <c r="M1148" s="24"/>
      <c r="N1148" s="24"/>
      <c r="O1148" s="24"/>
      <c r="P1148" s="24"/>
      <c r="Q1148" s="21"/>
      <c r="R1148" s="21"/>
      <c r="S1148" s="12"/>
      <c r="T1148" s="12"/>
      <c r="U1148" s="12"/>
      <c r="V1148" s="12"/>
      <c r="W1148" s="12"/>
      <c r="X1148" s="12"/>
      <c r="Y1148" s="12"/>
      <c r="Z1148" s="12"/>
      <c r="AA1148" s="12"/>
      <c r="AB1148" s="12"/>
      <c r="AC1148" s="12"/>
      <c r="AD1148" s="12"/>
    </row>
    <row r="1149" spans="2:30" x14ac:dyDescent="0.35">
      <c r="B1149" s="20"/>
      <c r="D1149" s="24"/>
      <c r="E1149" s="24"/>
      <c r="F1149" s="24"/>
      <c r="G1149" s="24"/>
      <c r="H1149" s="24"/>
      <c r="I1149" s="24"/>
      <c r="J1149" s="24"/>
      <c r="K1149" s="24"/>
      <c r="L1149" s="24"/>
      <c r="M1149" s="24"/>
      <c r="N1149" s="24"/>
      <c r="O1149" s="24"/>
      <c r="P1149" s="24"/>
      <c r="Q1149" s="21"/>
      <c r="R1149" s="21"/>
      <c r="S1149" s="12"/>
      <c r="T1149" s="12"/>
      <c r="U1149" s="12"/>
      <c r="V1149" s="12"/>
      <c r="W1149" s="12"/>
      <c r="X1149" s="12"/>
      <c r="Y1149" s="12"/>
      <c r="Z1149" s="12"/>
      <c r="AA1149" s="12"/>
      <c r="AB1149" s="12"/>
      <c r="AC1149" s="12"/>
      <c r="AD1149" s="12"/>
    </row>
    <row r="1150" spans="2:30" x14ac:dyDescent="0.35">
      <c r="B1150" s="20"/>
      <c r="D1150" s="24"/>
      <c r="E1150" s="24"/>
      <c r="F1150" s="24"/>
      <c r="G1150" s="24"/>
      <c r="H1150" s="24"/>
      <c r="I1150" s="24"/>
      <c r="J1150" s="24"/>
      <c r="K1150" s="24"/>
      <c r="L1150" s="24"/>
      <c r="M1150" s="24"/>
      <c r="N1150" s="24"/>
      <c r="O1150" s="24"/>
      <c r="P1150" s="24"/>
      <c r="Q1150" s="21"/>
      <c r="R1150" s="21"/>
      <c r="S1150" s="12"/>
      <c r="T1150" s="12"/>
      <c r="U1150" s="12"/>
      <c r="V1150" s="12"/>
      <c r="W1150" s="12"/>
      <c r="X1150" s="12"/>
      <c r="Y1150" s="12"/>
      <c r="Z1150" s="12"/>
      <c r="AA1150" s="12"/>
      <c r="AB1150" s="12"/>
      <c r="AC1150" s="12"/>
      <c r="AD1150" s="12"/>
    </row>
    <row r="1151" spans="2:30" x14ac:dyDescent="0.35">
      <c r="B1151" s="20"/>
      <c r="D1151" s="24"/>
      <c r="E1151" s="24"/>
      <c r="F1151" s="24"/>
      <c r="G1151" s="24"/>
      <c r="H1151" s="24"/>
      <c r="I1151" s="24"/>
      <c r="J1151" s="24"/>
      <c r="K1151" s="24"/>
      <c r="L1151" s="24"/>
      <c r="M1151" s="24"/>
      <c r="N1151" s="24"/>
      <c r="O1151" s="24"/>
      <c r="P1151" s="24"/>
      <c r="Q1151" s="21"/>
      <c r="R1151" s="21"/>
      <c r="S1151" s="12"/>
      <c r="T1151" s="12"/>
      <c r="U1151" s="12"/>
      <c r="V1151" s="12"/>
      <c r="W1151" s="12"/>
      <c r="X1151" s="12"/>
      <c r="Y1151" s="12"/>
      <c r="Z1151" s="12"/>
      <c r="AA1151" s="12"/>
      <c r="AB1151" s="12"/>
      <c r="AC1151" s="12"/>
      <c r="AD1151" s="12"/>
    </row>
    <row r="1152" spans="2:30" x14ac:dyDescent="0.35">
      <c r="B1152" s="20"/>
      <c r="D1152" s="29"/>
      <c r="E1152" s="29"/>
      <c r="F1152" s="29"/>
      <c r="G1152" s="29"/>
      <c r="H1152" s="29"/>
      <c r="I1152" s="29"/>
      <c r="J1152" s="29"/>
      <c r="K1152" s="29"/>
      <c r="L1152" s="29"/>
      <c r="M1152" s="29"/>
      <c r="N1152" s="29"/>
      <c r="O1152" s="29"/>
      <c r="P1152" s="29"/>
      <c r="Q1152" s="21"/>
      <c r="R1152" s="21"/>
      <c r="S1152" s="12"/>
      <c r="T1152" s="12"/>
      <c r="U1152" s="12"/>
      <c r="V1152" s="12"/>
      <c r="W1152" s="12"/>
      <c r="X1152" s="12"/>
      <c r="Y1152" s="12"/>
      <c r="Z1152" s="12"/>
      <c r="AA1152" s="12"/>
      <c r="AB1152" s="12"/>
      <c r="AC1152" s="12"/>
      <c r="AD1152" s="12"/>
    </row>
    <row r="1153" spans="2:30" x14ac:dyDescent="0.35">
      <c r="B1153" s="20"/>
      <c r="D1153" s="29"/>
      <c r="E1153" s="29"/>
      <c r="F1153" s="29"/>
      <c r="G1153" s="29"/>
      <c r="H1153" s="29"/>
      <c r="I1153" s="29"/>
      <c r="J1153" s="29"/>
      <c r="K1153" s="29"/>
      <c r="L1153" s="29"/>
      <c r="M1153" s="29"/>
      <c r="N1153" s="29"/>
      <c r="O1153" s="29"/>
      <c r="P1153" s="29"/>
      <c r="Q1153" s="21"/>
      <c r="R1153" s="21"/>
      <c r="S1153" s="12"/>
      <c r="T1153" s="12"/>
      <c r="U1153" s="12"/>
      <c r="V1153" s="12"/>
      <c r="W1153" s="12"/>
      <c r="X1153" s="12"/>
      <c r="Y1153" s="12"/>
      <c r="Z1153" s="12"/>
      <c r="AA1153" s="12"/>
      <c r="AB1153" s="12"/>
      <c r="AC1153" s="12"/>
      <c r="AD1153" s="12"/>
    </row>
    <row r="1154" spans="2:30" x14ac:dyDescent="0.35">
      <c r="B1154" s="20"/>
      <c r="D1154" s="29"/>
      <c r="E1154" s="29"/>
      <c r="F1154" s="29"/>
      <c r="G1154" s="29"/>
      <c r="H1154" s="29"/>
      <c r="I1154" s="29"/>
      <c r="J1154" s="29"/>
      <c r="K1154" s="29"/>
      <c r="L1154" s="29"/>
      <c r="M1154" s="29"/>
      <c r="N1154" s="29"/>
      <c r="O1154" s="29"/>
      <c r="P1154" s="29"/>
      <c r="Q1154" s="21"/>
      <c r="R1154" s="21"/>
      <c r="S1154" s="12"/>
      <c r="T1154" s="12"/>
      <c r="U1154" s="12"/>
      <c r="V1154" s="12"/>
      <c r="W1154" s="12"/>
      <c r="X1154" s="12"/>
      <c r="Y1154" s="12"/>
      <c r="Z1154" s="12"/>
      <c r="AA1154" s="12"/>
      <c r="AB1154" s="12"/>
      <c r="AC1154" s="12"/>
      <c r="AD1154" s="12"/>
    </row>
    <row r="1155" spans="2:30" x14ac:dyDescent="0.35">
      <c r="B1155" s="20"/>
      <c r="D1155" s="24"/>
      <c r="E1155" s="24"/>
      <c r="F1155" s="24"/>
      <c r="G1155" s="24"/>
      <c r="H1155" s="24"/>
      <c r="I1155" s="24"/>
      <c r="J1155" s="24"/>
      <c r="K1155" s="24"/>
      <c r="L1155" s="24"/>
      <c r="M1155" s="24"/>
      <c r="N1155" s="24"/>
      <c r="O1155" s="24"/>
      <c r="P1155" s="24"/>
      <c r="Q1155" s="21"/>
      <c r="R1155" s="21"/>
      <c r="S1155" s="12"/>
      <c r="T1155" s="12"/>
      <c r="U1155" s="12"/>
      <c r="V1155" s="12"/>
      <c r="W1155" s="12"/>
      <c r="X1155" s="12"/>
      <c r="Y1155" s="12"/>
      <c r="Z1155" s="12"/>
      <c r="AA1155" s="12"/>
      <c r="AB1155" s="12"/>
      <c r="AC1155" s="12"/>
      <c r="AD1155" s="12"/>
    </row>
    <row r="1156" spans="2:30" x14ac:dyDescent="0.35">
      <c r="B1156" s="20"/>
      <c r="D1156" s="24"/>
      <c r="E1156" s="24"/>
      <c r="F1156" s="24"/>
      <c r="G1156" s="24"/>
      <c r="H1156" s="24"/>
      <c r="I1156" s="24"/>
      <c r="J1156" s="24"/>
      <c r="K1156" s="24"/>
      <c r="L1156" s="24"/>
      <c r="M1156" s="24"/>
      <c r="N1156" s="24"/>
      <c r="O1156" s="24"/>
      <c r="P1156" s="24"/>
      <c r="Q1156" s="14"/>
      <c r="R1156" s="14"/>
      <c r="S1156" s="12"/>
      <c r="T1156" s="12"/>
      <c r="U1156" s="12"/>
      <c r="V1156" s="12"/>
      <c r="W1156" s="12"/>
      <c r="X1156" s="12"/>
      <c r="Y1156" s="12"/>
      <c r="Z1156" s="12"/>
      <c r="AA1156" s="12"/>
      <c r="AB1156" s="12"/>
      <c r="AC1156" s="12"/>
      <c r="AD1156" s="12"/>
    </row>
    <row r="1157" spans="2:30" x14ac:dyDescent="0.35">
      <c r="B1157" s="20"/>
      <c r="D1157" s="24"/>
      <c r="E1157" s="24"/>
      <c r="F1157" s="24"/>
      <c r="G1157" s="24"/>
      <c r="H1157" s="24"/>
      <c r="I1157" s="24"/>
      <c r="J1157" s="24"/>
      <c r="K1157" s="24"/>
      <c r="L1157" s="24"/>
      <c r="M1157" s="24"/>
      <c r="N1157" s="24"/>
      <c r="O1157" s="24"/>
      <c r="P1157" s="24"/>
      <c r="Q1157" s="14"/>
      <c r="R1157" s="14"/>
      <c r="S1157" s="12"/>
      <c r="T1157" s="12"/>
      <c r="U1157" s="12"/>
      <c r="V1157" s="12"/>
      <c r="W1157" s="12"/>
      <c r="X1157" s="12"/>
      <c r="Y1157" s="12"/>
      <c r="Z1157" s="12"/>
      <c r="AA1157" s="12"/>
      <c r="AB1157" s="12"/>
      <c r="AC1157" s="12"/>
      <c r="AD1157" s="12"/>
    </row>
    <row r="1158" spans="2:30" x14ac:dyDescent="0.35">
      <c r="B1158" s="20"/>
      <c r="D1158" s="24"/>
      <c r="E1158" s="24"/>
      <c r="F1158" s="24"/>
      <c r="G1158" s="24"/>
      <c r="H1158" s="24"/>
      <c r="I1158" s="24"/>
      <c r="J1158" s="24"/>
      <c r="K1158" s="24"/>
      <c r="L1158" s="24"/>
      <c r="M1158" s="24"/>
      <c r="N1158" s="24"/>
      <c r="O1158" s="24"/>
      <c r="P1158" s="24"/>
      <c r="Q1158" s="14"/>
      <c r="R1158" s="14"/>
      <c r="S1158" s="12"/>
      <c r="T1158" s="12"/>
      <c r="U1158" s="12"/>
      <c r="V1158" s="12"/>
      <c r="W1158" s="12"/>
      <c r="X1158" s="12"/>
      <c r="Y1158" s="12"/>
      <c r="Z1158" s="12"/>
      <c r="AA1158" s="12"/>
      <c r="AB1158" s="12"/>
      <c r="AC1158" s="12"/>
      <c r="AD1158" s="12"/>
    </row>
    <row r="1159" spans="2:30" x14ac:dyDescent="0.35">
      <c r="B1159" s="20"/>
      <c r="D1159" s="24"/>
      <c r="E1159" s="24"/>
      <c r="F1159" s="24"/>
      <c r="G1159" s="24"/>
      <c r="H1159" s="24"/>
      <c r="I1159" s="24"/>
      <c r="J1159" s="24"/>
      <c r="K1159" s="24"/>
      <c r="L1159" s="24"/>
      <c r="M1159" s="24"/>
      <c r="N1159" s="24"/>
      <c r="O1159" s="24"/>
      <c r="P1159" s="24"/>
      <c r="Q1159" s="14"/>
      <c r="R1159" s="14"/>
      <c r="S1159" s="12"/>
      <c r="T1159" s="12"/>
      <c r="U1159" s="12"/>
      <c r="V1159" s="12"/>
      <c r="W1159" s="12"/>
      <c r="X1159" s="12"/>
      <c r="Y1159" s="12"/>
      <c r="Z1159" s="12"/>
      <c r="AA1159" s="12"/>
      <c r="AB1159" s="12"/>
      <c r="AC1159" s="12"/>
      <c r="AD1159" s="12"/>
    </row>
    <row r="1160" spans="2:30" x14ac:dyDescent="0.35">
      <c r="B1160" s="20"/>
      <c r="D1160" s="24"/>
      <c r="E1160" s="24"/>
      <c r="F1160" s="24"/>
      <c r="G1160" s="24"/>
      <c r="H1160" s="24"/>
      <c r="I1160" s="24"/>
      <c r="J1160" s="24"/>
      <c r="K1160" s="24"/>
      <c r="L1160" s="24"/>
      <c r="M1160" s="24"/>
      <c r="N1160" s="24"/>
      <c r="O1160" s="24"/>
      <c r="P1160" s="24"/>
      <c r="Q1160" s="14"/>
      <c r="R1160" s="14"/>
      <c r="S1160" s="12"/>
      <c r="T1160" s="12"/>
      <c r="U1160" s="12"/>
      <c r="V1160" s="12"/>
      <c r="W1160" s="12"/>
      <c r="X1160" s="12"/>
      <c r="Y1160" s="12"/>
      <c r="Z1160" s="12"/>
      <c r="AA1160" s="12"/>
      <c r="AB1160" s="12"/>
      <c r="AC1160" s="12"/>
      <c r="AD1160" s="12"/>
    </row>
    <row r="1161" spans="2:30" x14ac:dyDescent="0.35">
      <c r="B1161" s="20"/>
      <c r="D1161" s="24"/>
      <c r="E1161" s="24"/>
      <c r="F1161" s="24"/>
      <c r="G1161" s="24"/>
      <c r="H1161" s="24"/>
      <c r="I1161" s="24"/>
      <c r="J1161" s="24"/>
      <c r="K1161" s="24"/>
      <c r="L1161" s="24"/>
      <c r="M1161" s="24"/>
      <c r="N1161" s="24"/>
      <c r="O1161" s="24"/>
      <c r="P1161" s="24"/>
      <c r="Q1161" s="14"/>
      <c r="R1161" s="14"/>
      <c r="S1161" s="12"/>
      <c r="T1161" s="12"/>
      <c r="U1161" s="12"/>
      <c r="V1161" s="12"/>
      <c r="W1161" s="12"/>
      <c r="X1161" s="12"/>
      <c r="Y1161" s="12"/>
      <c r="Z1161" s="12"/>
      <c r="AA1161" s="12"/>
      <c r="AB1161" s="12"/>
      <c r="AC1161" s="12"/>
      <c r="AD1161" s="12"/>
    </row>
    <row r="1162" spans="2:30" x14ac:dyDescent="0.35">
      <c r="B1162" s="20"/>
      <c r="D1162" s="29"/>
      <c r="E1162" s="29"/>
      <c r="F1162" s="29"/>
      <c r="G1162" s="29"/>
      <c r="H1162" s="29"/>
      <c r="I1162" s="29"/>
      <c r="J1162" s="29"/>
      <c r="K1162" s="29"/>
      <c r="L1162" s="29"/>
      <c r="M1162" s="29"/>
      <c r="N1162" s="29"/>
      <c r="O1162" s="29"/>
      <c r="P1162" s="29"/>
      <c r="Q1162" s="14"/>
      <c r="R1162" s="14"/>
      <c r="S1162" s="12"/>
      <c r="T1162" s="12"/>
      <c r="U1162" s="12"/>
      <c r="V1162" s="12"/>
      <c r="W1162" s="12"/>
      <c r="X1162" s="12"/>
      <c r="Y1162" s="12"/>
      <c r="Z1162" s="12"/>
      <c r="AA1162" s="12"/>
      <c r="AB1162" s="12"/>
      <c r="AC1162" s="12"/>
      <c r="AD1162" s="12"/>
    </row>
    <row r="1163" spans="2:30" x14ac:dyDescent="0.35">
      <c r="B1163" s="20"/>
      <c r="D1163" s="29"/>
      <c r="E1163" s="29"/>
      <c r="F1163" s="29"/>
      <c r="G1163" s="29"/>
      <c r="H1163" s="29"/>
      <c r="I1163" s="29"/>
      <c r="J1163" s="29"/>
      <c r="K1163" s="29"/>
      <c r="L1163" s="29"/>
      <c r="M1163" s="29"/>
      <c r="N1163" s="29"/>
      <c r="O1163" s="29"/>
      <c r="P1163" s="29"/>
      <c r="Q1163" s="21"/>
      <c r="R1163" s="21"/>
      <c r="S1163" s="12"/>
      <c r="T1163" s="12"/>
      <c r="U1163" s="12"/>
      <c r="V1163" s="12"/>
      <c r="W1163" s="12"/>
      <c r="X1163" s="12"/>
      <c r="Y1163" s="12"/>
      <c r="Z1163" s="12"/>
      <c r="AA1163" s="12"/>
      <c r="AB1163" s="12"/>
      <c r="AC1163" s="12"/>
      <c r="AD1163" s="12"/>
    </row>
    <row r="1164" spans="2:30" x14ac:dyDescent="0.35">
      <c r="B1164" s="20"/>
      <c r="D1164" s="29"/>
      <c r="E1164" s="29"/>
      <c r="F1164" s="29"/>
      <c r="G1164" s="29"/>
      <c r="H1164" s="29"/>
      <c r="I1164" s="29"/>
      <c r="J1164" s="29"/>
      <c r="K1164" s="29"/>
      <c r="L1164" s="29"/>
      <c r="M1164" s="29"/>
      <c r="N1164" s="29"/>
      <c r="O1164" s="29"/>
      <c r="P1164" s="29"/>
      <c r="Q1164" s="21"/>
      <c r="R1164" s="21"/>
      <c r="S1164" s="12"/>
      <c r="T1164" s="12"/>
      <c r="U1164" s="12"/>
      <c r="V1164" s="12"/>
      <c r="W1164" s="12"/>
      <c r="X1164" s="12"/>
      <c r="Y1164" s="12"/>
      <c r="Z1164" s="12"/>
      <c r="AA1164" s="12"/>
      <c r="AB1164" s="12"/>
      <c r="AC1164" s="12"/>
      <c r="AD1164" s="12"/>
    </row>
    <row r="1165" spans="2:30" x14ac:dyDescent="0.35">
      <c r="B1165" s="20"/>
      <c r="D1165" s="29"/>
      <c r="E1165" s="29"/>
      <c r="F1165" s="29"/>
      <c r="G1165" s="29"/>
      <c r="H1165" s="29"/>
      <c r="I1165" s="29"/>
      <c r="J1165" s="29"/>
      <c r="K1165" s="29"/>
      <c r="L1165" s="29"/>
      <c r="M1165" s="29"/>
      <c r="N1165" s="29"/>
      <c r="O1165" s="29"/>
      <c r="P1165" s="29"/>
      <c r="Q1165" s="21"/>
      <c r="R1165" s="21"/>
      <c r="S1165" s="12"/>
      <c r="T1165" s="12"/>
      <c r="U1165" s="12"/>
      <c r="V1165" s="12"/>
      <c r="W1165" s="12"/>
      <c r="X1165" s="12"/>
      <c r="Y1165" s="12"/>
      <c r="Z1165" s="12"/>
      <c r="AA1165" s="12"/>
      <c r="AB1165" s="12"/>
      <c r="AC1165" s="12"/>
      <c r="AD1165" s="12"/>
    </row>
    <row r="1166" spans="2:30" x14ac:dyDescent="0.35">
      <c r="B1166" s="20"/>
      <c r="D1166" s="29"/>
      <c r="E1166" s="29"/>
      <c r="F1166" s="29"/>
      <c r="G1166" s="29"/>
      <c r="H1166" s="29"/>
      <c r="I1166" s="29"/>
      <c r="J1166" s="29"/>
      <c r="K1166" s="29"/>
      <c r="L1166" s="29"/>
      <c r="M1166" s="29"/>
      <c r="N1166" s="29"/>
      <c r="O1166" s="29"/>
      <c r="P1166" s="29"/>
      <c r="Q1166" s="21"/>
      <c r="R1166" s="21"/>
      <c r="S1166" s="12"/>
      <c r="T1166" s="12"/>
      <c r="U1166" s="12"/>
      <c r="V1166" s="12"/>
      <c r="W1166" s="12"/>
      <c r="X1166" s="12"/>
      <c r="Y1166" s="12"/>
      <c r="Z1166" s="12"/>
      <c r="AA1166" s="12"/>
      <c r="AB1166" s="12"/>
      <c r="AC1166" s="12"/>
      <c r="AD1166" s="12"/>
    </row>
    <row r="1167" spans="2:30" x14ac:dyDescent="0.35">
      <c r="B1167" s="20"/>
      <c r="D1167" s="29"/>
      <c r="E1167" s="29"/>
      <c r="F1167" s="29"/>
      <c r="G1167" s="29"/>
      <c r="H1167" s="29"/>
      <c r="I1167" s="29"/>
      <c r="J1167" s="29"/>
      <c r="K1167" s="29"/>
      <c r="L1167" s="29"/>
      <c r="M1167" s="29"/>
      <c r="N1167" s="29"/>
      <c r="O1167" s="29"/>
      <c r="P1167" s="29"/>
      <c r="Q1167" s="21"/>
      <c r="R1167" s="21"/>
      <c r="S1167" s="12"/>
      <c r="T1167" s="12"/>
      <c r="U1167" s="12"/>
      <c r="V1167" s="12"/>
      <c r="W1167" s="12"/>
      <c r="X1167" s="12"/>
      <c r="Y1167" s="12"/>
      <c r="Z1167" s="12"/>
      <c r="AA1167" s="12"/>
      <c r="AB1167" s="12"/>
      <c r="AC1167" s="12"/>
      <c r="AD1167" s="12"/>
    </row>
    <row r="1168" spans="2:30" x14ac:dyDescent="0.35">
      <c r="B1168" s="20"/>
      <c r="D1168" s="29"/>
      <c r="E1168" s="29"/>
      <c r="F1168" s="29"/>
      <c r="G1168" s="29"/>
      <c r="H1168" s="29"/>
      <c r="I1168" s="29"/>
      <c r="J1168" s="29"/>
      <c r="K1168" s="29"/>
      <c r="L1168" s="29"/>
      <c r="M1168" s="29"/>
      <c r="N1168" s="29"/>
      <c r="O1168" s="29"/>
      <c r="P1168" s="29"/>
      <c r="Q1168" s="21"/>
      <c r="R1168" s="21"/>
      <c r="S1168" s="12"/>
      <c r="T1168" s="12"/>
      <c r="U1168" s="12"/>
      <c r="V1168" s="12"/>
      <c r="W1168" s="12"/>
      <c r="X1168" s="12"/>
      <c r="Y1168" s="12"/>
      <c r="Z1168" s="12"/>
      <c r="AA1168" s="12"/>
      <c r="AB1168" s="12"/>
      <c r="AC1168" s="12"/>
      <c r="AD1168" s="12"/>
    </row>
    <row r="1169" spans="2:30" x14ac:dyDescent="0.35">
      <c r="B1169" s="20"/>
      <c r="D1169" s="24"/>
      <c r="E1169" s="24"/>
      <c r="F1169" s="24"/>
      <c r="G1169" s="24"/>
      <c r="H1169" s="24"/>
      <c r="I1169" s="24"/>
      <c r="J1169" s="24"/>
      <c r="K1169" s="24"/>
      <c r="L1169" s="24"/>
      <c r="M1169" s="24"/>
      <c r="N1169" s="24"/>
      <c r="O1169" s="24"/>
      <c r="P1169" s="24"/>
      <c r="Q1169" s="21"/>
      <c r="R1169" s="21"/>
      <c r="S1169" s="12"/>
      <c r="T1169" s="12"/>
      <c r="U1169" s="12"/>
      <c r="V1169" s="12"/>
      <c r="W1169" s="12"/>
      <c r="X1169" s="12"/>
      <c r="Y1169" s="12"/>
      <c r="Z1169" s="12"/>
      <c r="AA1169" s="12"/>
      <c r="AB1169" s="12"/>
      <c r="AC1169" s="12"/>
      <c r="AD1169" s="12"/>
    </row>
    <row r="1170" spans="2:30" x14ac:dyDescent="0.35">
      <c r="B1170" s="20"/>
      <c r="D1170" s="24"/>
      <c r="E1170" s="24"/>
      <c r="F1170" s="24"/>
      <c r="G1170" s="24"/>
      <c r="H1170" s="24"/>
      <c r="I1170" s="24"/>
      <c r="J1170" s="24"/>
      <c r="K1170" s="24"/>
      <c r="L1170" s="24"/>
      <c r="M1170" s="24"/>
      <c r="N1170" s="24"/>
      <c r="O1170" s="24"/>
      <c r="P1170" s="24"/>
      <c r="Q1170" s="21"/>
      <c r="R1170" s="21"/>
      <c r="S1170" s="12"/>
      <c r="T1170" s="12"/>
      <c r="U1170" s="12"/>
      <c r="V1170" s="12"/>
      <c r="W1170" s="12"/>
      <c r="X1170" s="12"/>
      <c r="Y1170" s="12"/>
      <c r="Z1170" s="12"/>
      <c r="AA1170" s="12"/>
      <c r="AB1170" s="12"/>
      <c r="AC1170" s="12"/>
      <c r="AD1170" s="12"/>
    </row>
    <row r="1171" spans="2:30" x14ac:dyDescent="0.35">
      <c r="B1171" s="20"/>
      <c r="D1171" s="24"/>
      <c r="E1171" s="24"/>
      <c r="F1171" s="24"/>
      <c r="G1171" s="24"/>
      <c r="H1171" s="24"/>
      <c r="I1171" s="24"/>
      <c r="J1171" s="24"/>
      <c r="K1171" s="24"/>
      <c r="L1171" s="24"/>
      <c r="M1171" s="24"/>
      <c r="N1171" s="24"/>
      <c r="O1171" s="24"/>
      <c r="P1171" s="24"/>
      <c r="Q1171" s="21"/>
      <c r="R1171" s="21"/>
      <c r="S1171" s="12"/>
      <c r="T1171" s="12"/>
      <c r="U1171" s="12"/>
      <c r="V1171" s="12"/>
      <c r="W1171" s="12"/>
      <c r="X1171" s="12"/>
      <c r="Y1171" s="12"/>
      <c r="Z1171" s="12"/>
      <c r="AA1171" s="12"/>
      <c r="AB1171" s="12"/>
      <c r="AC1171" s="12"/>
      <c r="AD1171" s="12"/>
    </row>
    <row r="1172" spans="2:30" x14ac:dyDescent="0.35">
      <c r="B1172" s="20"/>
      <c r="D1172" s="24"/>
      <c r="E1172" s="24"/>
      <c r="F1172" s="24"/>
      <c r="G1172" s="24"/>
      <c r="H1172" s="24"/>
      <c r="I1172" s="24"/>
      <c r="J1172" s="24"/>
      <c r="K1172" s="24"/>
      <c r="L1172" s="24"/>
      <c r="M1172" s="24"/>
      <c r="N1172" s="24"/>
      <c r="O1172" s="24"/>
      <c r="P1172" s="24"/>
      <c r="Q1172" s="14"/>
      <c r="R1172" s="14"/>
      <c r="S1172" s="12"/>
      <c r="T1172" s="12"/>
      <c r="U1172" s="12"/>
      <c r="V1172" s="12"/>
      <c r="W1172" s="12"/>
      <c r="X1172" s="12"/>
      <c r="Y1172" s="12"/>
      <c r="Z1172" s="12"/>
      <c r="AA1172" s="12"/>
      <c r="AB1172" s="12"/>
      <c r="AC1172" s="12"/>
      <c r="AD1172" s="12"/>
    </row>
    <row r="1173" spans="2:30" x14ac:dyDescent="0.35">
      <c r="B1173" s="20"/>
      <c r="D1173" s="24"/>
      <c r="E1173" s="24"/>
      <c r="F1173" s="24"/>
      <c r="G1173" s="24"/>
      <c r="H1173" s="24"/>
      <c r="I1173" s="24"/>
      <c r="J1173" s="24"/>
      <c r="K1173" s="24"/>
      <c r="L1173" s="24"/>
      <c r="M1173" s="24"/>
      <c r="N1173" s="24"/>
      <c r="O1173" s="24"/>
      <c r="P1173" s="24"/>
      <c r="Q1173" s="14"/>
      <c r="R1173" s="14"/>
      <c r="S1173" s="12"/>
      <c r="T1173" s="12"/>
      <c r="U1173" s="12"/>
      <c r="V1173" s="12"/>
      <c r="W1173" s="12"/>
      <c r="X1173" s="12"/>
      <c r="Y1173" s="12"/>
      <c r="Z1173" s="12"/>
      <c r="AA1173" s="12"/>
      <c r="AB1173" s="12"/>
      <c r="AC1173" s="12"/>
      <c r="AD1173" s="12"/>
    </row>
    <row r="1174" spans="2:30" x14ac:dyDescent="0.35">
      <c r="B1174" s="20"/>
      <c r="D1174" s="24"/>
      <c r="E1174" s="24"/>
      <c r="F1174" s="24"/>
      <c r="G1174" s="24"/>
      <c r="H1174" s="24"/>
      <c r="I1174" s="24"/>
      <c r="J1174" s="24"/>
      <c r="K1174" s="24"/>
      <c r="L1174" s="24"/>
      <c r="M1174" s="24"/>
      <c r="N1174" s="24"/>
      <c r="O1174" s="24"/>
      <c r="P1174" s="24"/>
      <c r="Q1174" s="14"/>
      <c r="R1174" s="14"/>
      <c r="S1174" s="12"/>
      <c r="T1174" s="12"/>
      <c r="U1174" s="12"/>
      <c r="V1174" s="12"/>
      <c r="W1174" s="12"/>
      <c r="X1174" s="12"/>
      <c r="Y1174" s="12"/>
      <c r="Z1174" s="12"/>
      <c r="AA1174" s="12"/>
      <c r="AB1174" s="12"/>
      <c r="AC1174" s="12"/>
      <c r="AD1174" s="12"/>
    </row>
    <row r="1175" spans="2:30" x14ac:dyDescent="0.35">
      <c r="B1175" s="20"/>
      <c r="D1175" s="24"/>
      <c r="E1175" s="24"/>
      <c r="F1175" s="24"/>
      <c r="G1175" s="24"/>
      <c r="H1175" s="24"/>
      <c r="I1175" s="24"/>
      <c r="J1175" s="24"/>
      <c r="K1175" s="24"/>
      <c r="L1175" s="24"/>
      <c r="M1175" s="24"/>
      <c r="N1175" s="24"/>
      <c r="O1175" s="24"/>
      <c r="P1175" s="24"/>
      <c r="Q1175" s="14"/>
      <c r="R1175" s="14"/>
      <c r="S1175" s="12"/>
      <c r="T1175" s="12"/>
      <c r="U1175" s="12"/>
      <c r="V1175" s="12"/>
      <c r="W1175" s="12"/>
      <c r="X1175" s="12"/>
      <c r="Y1175" s="12"/>
      <c r="Z1175" s="12"/>
      <c r="AA1175" s="12"/>
      <c r="AB1175" s="12"/>
      <c r="AC1175" s="12"/>
      <c r="AD1175" s="12"/>
    </row>
    <row r="1176" spans="2:30" x14ac:dyDescent="0.35">
      <c r="B1176" s="20"/>
      <c r="D1176" s="24"/>
      <c r="E1176" s="24"/>
      <c r="F1176" s="24"/>
      <c r="G1176" s="24"/>
      <c r="H1176" s="24"/>
      <c r="I1176" s="24"/>
      <c r="J1176" s="24"/>
      <c r="K1176" s="24"/>
      <c r="L1176" s="24"/>
      <c r="M1176" s="24"/>
      <c r="N1176" s="24"/>
      <c r="O1176" s="24"/>
      <c r="P1176" s="24"/>
      <c r="Q1176" s="14"/>
      <c r="R1176" s="14"/>
      <c r="S1176" s="12"/>
      <c r="T1176" s="12"/>
      <c r="U1176" s="12"/>
      <c r="V1176" s="12"/>
      <c r="W1176" s="12"/>
      <c r="X1176" s="12"/>
      <c r="Y1176" s="12"/>
      <c r="Z1176" s="12"/>
      <c r="AA1176" s="12"/>
      <c r="AB1176" s="12"/>
      <c r="AC1176" s="12"/>
      <c r="AD1176" s="12"/>
    </row>
    <row r="1177" spans="2:30" x14ac:dyDescent="0.35">
      <c r="B1177" s="20"/>
      <c r="D1177" s="24"/>
      <c r="E1177" s="24"/>
      <c r="F1177" s="24"/>
      <c r="G1177" s="24"/>
      <c r="H1177" s="24"/>
      <c r="I1177" s="24"/>
      <c r="J1177" s="24"/>
      <c r="K1177" s="24"/>
      <c r="L1177" s="24"/>
      <c r="M1177" s="24"/>
      <c r="N1177" s="24"/>
      <c r="O1177" s="24"/>
      <c r="P1177" s="24"/>
      <c r="Q1177" s="14"/>
      <c r="R1177" s="14"/>
      <c r="S1177" s="12"/>
      <c r="T1177" s="12"/>
      <c r="U1177" s="12"/>
      <c r="V1177" s="12"/>
      <c r="W1177" s="12"/>
      <c r="X1177" s="12"/>
      <c r="Y1177" s="12"/>
      <c r="Z1177" s="12"/>
      <c r="AA1177" s="12"/>
      <c r="AB1177" s="12"/>
      <c r="AC1177" s="12"/>
      <c r="AD1177" s="12"/>
    </row>
    <row r="1178" spans="2:30" x14ac:dyDescent="0.35">
      <c r="B1178" s="20"/>
      <c r="D1178" s="24"/>
      <c r="E1178" s="24"/>
      <c r="F1178" s="24"/>
      <c r="G1178" s="24"/>
      <c r="H1178" s="24"/>
      <c r="I1178" s="24"/>
      <c r="J1178" s="24"/>
      <c r="K1178" s="24"/>
      <c r="L1178" s="24"/>
      <c r="M1178" s="24"/>
      <c r="N1178" s="24"/>
      <c r="O1178" s="24"/>
      <c r="P1178" s="24"/>
      <c r="Q1178" s="14"/>
      <c r="R1178" s="14"/>
      <c r="S1178" s="12"/>
      <c r="T1178" s="12"/>
      <c r="U1178" s="12"/>
      <c r="V1178" s="12"/>
      <c r="W1178" s="12"/>
      <c r="X1178" s="12"/>
      <c r="Y1178" s="12"/>
      <c r="Z1178" s="12"/>
      <c r="AA1178" s="12"/>
      <c r="AB1178" s="12"/>
      <c r="AC1178" s="12"/>
      <c r="AD1178" s="12"/>
    </row>
    <row r="1179" spans="2:30" x14ac:dyDescent="0.35">
      <c r="B1179" s="20"/>
      <c r="D1179" s="24"/>
      <c r="E1179" s="24"/>
      <c r="F1179" s="24"/>
      <c r="G1179" s="24"/>
      <c r="H1179" s="24"/>
      <c r="I1179" s="24"/>
      <c r="J1179" s="24"/>
      <c r="K1179" s="24"/>
      <c r="L1179" s="24"/>
      <c r="M1179" s="24"/>
      <c r="N1179" s="24"/>
      <c r="O1179" s="24"/>
      <c r="P1179" s="24"/>
      <c r="Q1179" s="14"/>
      <c r="R1179" s="14"/>
      <c r="S1179" s="12"/>
      <c r="T1179" s="12"/>
      <c r="U1179" s="12"/>
      <c r="V1179" s="12"/>
      <c r="W1179" s="12"/>
      <c r="X1179" s="12"/>
      <c r="Y1179" s="12"/>
      <c r="Z1179" s="12"/>
      <c r="AA1179" s="12"/>
      <c r="AB1179" s="12"/>
      <c r="AC1179" s="12"/>
      <c r="AD1179" s="12"/>
    </row>
    <row r="1180" spans="2:30" x14ac:dyDescent="0.35">
      <c r="B1180" s="20"/>
      <c r="D1180" s="24"/>
      <c r="E1180" s="24"/>
      <c r="F1180" s="24"/>
      <c r="G1180" s="24"/>
      <c r="H1180" s="24"/>
      <c r="I1180" s="24"/>
      <c r="J1180" s="24"/>
      <c r="K1180" s="24"/>
      <c r="L1180" s="24"/>
      <c r="M1180" s="24"/>
      <c r="N1180" s="24"/>
      <c r="O1180" s="24"/>
      <c r="P1180" s="24"/>
      <c r="Q1180" s="14"/>
      <c r="R1180" s="14"/>
      <c r="S1180" s="12"/>
      <c r="T1180" s="12"/>
      <c r="U1180" s="12"/>
      <c r="V1180" s="12"/>
      <c r="W1180" s="12"/>
      <c r="X1180" s="12"/>
      <c r="Y1180" s="12"/>
      <c r="Z1180" s="12"/>
      <c r="AA1180" s="12"/>
      <c r="AB1180" s="12"/>
      <c r="AC1180" s="12"/>
      <c r="AD1180" s="12"/>
    </row>
    <row r="1181" spans="2:30" x14ac:dyDescent="0.35">
      <c r="B1181" s="20"/>
      <c r="D1181" s="24"/>
      <c r="E1181" s="24"/>
      <c r="F1181" s="24"/>
      <c r="G1181" s="24"/>
      <c r="H1181" s="24"/>
      <c r="I1181" s="24"/>
      <c r="J1181" s="24"/>
      <c r="K1181" s="24"/>
      <c r="L1181" s="24"/>
      <c r="M1181" s="24"/>
      <c r="N1181" s="24"/>
      <c r="O1181" s="24"/>
      <c r="P1181" s="24"/>
      <c r="Q1181" s="14"/>
      <c r="R1181" s="14"/>
      <c r="S1181" s="12"/>
      <c r="T1181" s="12"/>
      <c r="U1181" s="12"/>
      <c r="V1181" s="12"/>
      <c r="W1181" s="12"/>
      <c r="X1181" s="12"/>
      <c r="Y1181" s="12"/>
      <c r="Z1181" s="12"/>
      <c r="AA1181" s="12"/>
      <c r="AB1181" s="12"/>
      <c r="AC1181" s="12"/>
      <c r="AD1181" s="12"/>
    </row>
    <row r="1182" spans="2:30" x14ac:dyDescent="0.35">
      <c r="B1182" s="20"/>
      <c r="D1182" s="24"/>
      <c r="E1182" s="24"/>
      <c r="F1182" s="24"/>
      <c r="G1182" s="24"/>
      <c r="H1182" s="24"/>
      <c r="I1182" s="24"/>
      <c r="J1182" s="24"/>
      <c r="K1182" s="24"/>
      <c r="L1182" s="24"/>
      <c r="M1182" s="24"/>
      <c r="N1182" s="24"/>
      <c r="O1182" s="24"/>
      <c r="P1182" s="24"/>
      <c r="Q1182" s="14"/>
      <c r="R1182" s="14"/>
      <c r="S1182" s="12"/>
      <c r="T1182" s="12"/>
      <c r="U1182" s="12"/>
      <c r="V1182" s="12"/>
      <c r="W1182" s="12"/>
      <c r="X1182" s="12"/>
      <c r="Y1182" s="12"/>
      <c r="Z1182" s="12"/>
      <c r="AA1182" s="12"/>
      <c r="AB1182" s="12"/>
      <c r="AC1182" s="12"/>
      <c r="AD1182" s="12"/>
    </row>
    <row r="1183" spans="2:30" x14ac:dyDescent="0.35">
      <c r="B1183" s="20"/>
      <c r="D1183" s="24"/>
      <c r="E1183" s="24"/>
      <c r="F1183" s="24"/>
      <c r="G1183" s="24"/>
      <c r="H1183" s="24"/>
      <c r="I1183" s="24"/>
      <c r="J1183" s="24"/>
      <c r="K1183" s="24"/>
      <c r="L1183" s="24"/>
      <c r="M1183" s="24"/>
      <c r="N1183" s="24"/>
      <c r="O1183" s="24"/>
      <c r="P1183" s="24"/>
      <c r="Q1183" s="14"/>
      <c r="R1183" s="14"/>
      <c r="S1183" s="12"/>
      <c r="T1183" s="12"/>
      <c r="U1183" s="12"/>
      <c r="V1183" s="12"/>
      <c r="W1183" s="12"/>
      <c r="X1183" s="12"/>
      <c r="Y1183" s="12"/>
      <c r="Z1183" s="12"/>
      <c r="AA1183" s="12"/>
      <c r="AB1183" s="12"/>
      <c r="AC1183" s="12"/>
      <c r="AD1183" s="12"/>
    </row>
    <row r="1184" spans="2:30" x14ac:dyDescent="0.35">
      <c r="B1184" s="20"/>
      <c r="D1184" s="29"/>
      <c r="E1184" s="29"/>
      <c r="F1184" s="29"/>
      <c r="G1184" s="29"/>
      <c r="H1184" s="29"/>
      <c r="I1184" s="29"/>
      <c r="J1184" s="29"/>
      <c r="K1184" s="29"/>
      <c r="L1184" s="29"/>
      <c r="M1184" s="29"/>
      <c r="N1184" s="29"/>
      <c r="O1184" s="29"/>
      <c r="P1184" s="29"/>
      <c r="Q1184" s="14"/>
      <c r="R1184" s="14"/>
      <c r="S1184" s="12"/>
      <c r="T1184" s="12"/>
      <c r="U1184" s="12"/>
      <c r="V1184" s="12"/>
      <c r="W1184" s="12"/>
      <c r="X1184" s="12"/>
      <c r="Y1184" s="12"/>
      <c r="Z1184" s="12"/>
      <c r="AA1184" s="12"/>
      <c r="AB1184" s="12"/>
      <c r="AC1184" s="12"/>
      <c r="AD1184" s="12"/>
    </row>
    <row r="1185" spans="1:30" x14ac:dyDescent="0.35">
      <c r="B1185" s="20"/>
      <c r="D1185" s="29"/>
      <c r="E1185" s="29"/>
      <c r="F1185" s="29"/>
      <c r="G1185" s="29"/>
      <c r="H1185" s="29"/>
      <c r="I1185" s="29"/>
      <c r="J1185" s="29"/>
      <c r="K1185" s="29"/>
      <c r="L1185" s="29"/>
      <c r="M1185" s="29"/>
      <c r="N1185" s="29"/>
      <c r="O1185" s="29"/>
      <c r="P1185" s="29"/>
      <c r="Q1185" s="14"/>
      <c r="R1185" s="14"/>
      <c r="S1185" s="12"/>
      <c r="T1185" s="12"/>
      <c r="U1185" s="12"/>
      <c r="V1185" s="12"/>
      <c r="W1185" s="12"/>
      <c r="X1185" s="12"/>
      <c r="Y1185" s="12"/>
      <c r="Z1185" s="12"/>
      <c r="AA1185" s="12"/>
      <c r="AB1185" s="12"/>
      <c r="AC1185" s="12"/>
      <c r="AD1185" s="12"/>
    </row>
    <row r="1186" spans="1:30" x14ac:dyDescent="0.35">
      <c r="B1186" s="20"/>
      <c r="D1186" s="29"/>
      <c r="E1186" s="29"/>
      <c r="F1186" s="29"/>
      <c r="G1186" s="29"/>
      <c r="H1186" s="29"/>
      <c r="I1186" s="29"/>
      <c r="J1186" s="29"/>
      <c r="K1186" s="29"/>
      <c r="L1186" s="29"/>
      <c r="M1186" s="29"/>
      <c r="N1186" s="29"/>
      <c r="O1186" s="29"/>
      <c r="P1186" s="29"/>
      <c r="Q1186" s="14"/>
      <c r="R1186" s="14"/>
      <c r="S1186" s="12"/>
      <c r="T1186" s="12"/>
      <c r="U1186" s="12"/>
      <c r="V1186" s="12"/>
      <c r="W1186" s="12"/>
      <c r="X1186" s="12"/>
      <c r="Y1186" s="12"/>
      <c r="Z1186" s="12"/>
      <c r="AA1186" s="12"/>
      <c r="AB1186" s="12"/>
      <c r="AC1186" s="12"/>
      <c r="AD1186" s="12"/>
    </row>
    <row r="1187" spans="1:30" x14ac:dyDescent="0.35">
      <c r="B1187" s="20"/>
      <c r="D1187" s="24"/>
      <c r="E1187" s="24"/>
      <c r="F1187" s="24"/>
      <c r="G1187" s="24"/>
      <c r="H1187" s="24"/>
      <c r="I1187" s="24"/>
      <c r="J1187" s="24"/>
      <c r="K1187" s="24"/>
      <c r="L1187" s="24"/>
      <c r="M1187" s="24"/>
      <c r="N1187" s="24"/>
      <c r="O1187" s="24"/>
      <c r="P1187" s="24"/>
      <c r="Q1187" s="21"/>
      <c r="R1187" s="21"/>
      <c r="S1187" s="12"/>
      <c r="T1187" s="12"/>
      <c r="U1187" s="12"/>
      <c r="V1187" s="12"/>
      <c r="W1187" s="12"/>
      <c r="X1187" s="12"/>
      <c r="Y1187" s="12"/>
      <c r="Z1187" s="12"/>
      <c r="AA1187" s="12"/>
      <c r="AB1187" s="12"/>
      <c r="AC1187" s="12"/>
      <c r="AD1187" s="12"/>
    </row>
    <row r="1188" spans="1:30" x14ac:dyDescent="0.35">
      <c r="B1188" s="20"/>
      <c r="D1188" s="24"/>
      <c r="E1188" s="24"/>
      <c r="F1188" s="24"/>
      <c r="G1188" s="24"/>
      <c r="H1188" s="24"/>
      <c r="I1188" s="24"/>
      <c r="J1188" s="24"/>
      <c r="K1188" s="24"/>
      <c r="L1188" s="24"/>
      <c r="M1188" s="24"/>
      <c r="N1188" s="24"/>
      <c r="O1188" s="24"/>
      <c r="P1188" s="24"/>
      <c r="Q1188" s="21"/>
      <c r="R1188" s="21"/>
      <c r="S1188" s="12"/>
      <c r="T1188" s="12"/>
      <c r="U1188" s="12"/>
      <c r="V1188" s="12"/>
      <c r="W1188" s="12"/>
      <c r="X1188" s="12"/>
      <c r="Y1188" s="12"/>
      <c r="Z1188" s="12"/>
      <c r="AA1188" s="12"/>
      <c r="AB1188" s="12"/>
      <c r="AC1188" s="12"/>
      <c r="AD1188" s="12"/>
    </row>
    <row r="1189" spans="1:30" x14ac:dyDescent="0.35">
      <c r="B1189" s="20"/>
      <c r="D1189" s="24"/>
      <c r="E1189" s="24"/>
      <c r="F1189" s="24"/>
      <c r="G1189" s="24"/>
      <c r="H1189" s="24"/>
      <c r="I1189" s="24"/>
      <c r="J1189" s="24"/>
      <c r="K1189" s="24"/>
      <c r="L1189" s="24"/>
      <c r="M1189" s="24"/>
      <c r="N1189" s="24"/>
      <c r="O1189" s="24"/>
      <c r="P1189" s="24"/>
      <c r="Q1189" s="21"/>
      <c r="R1189" s="21"/>
      <c r="S1189" s="12"/>
      <c r="T1189" s="12"/>
      <c r="U1189" s="12"/>
      <c r="V1189" s="12"/>
      <c r="W1189" s="12"/>
      <c r="X1189" s="12"/>
      <c r="Y1189" s="12"/>
      <c r="Z1189" s="12"/>
      <c r="AA1189" s="12"/>
      <c r="AB1189" s="12"/>
      <c r="AC1189" s="12"/>
      <c r="AD1189" s="12"/>
    </row>
    <row r="1190" spans="1:30" x14ac:dyDescent="0.35">
      <c r="B1190" s="20"/>
      <c r="D1190" s="24"/>
      <c r="E1190" s="24"/>
      <c r="F1190" s="24"/>
      <c r="G1190" s="24"/>
      <c r="H1190" s="24"/>
      <c r="I1190" s="24"/>
      <c r="J1190" s="24"/>
      <c r="K1190" s="24"/>
      <c r="L1190" s="24"/>
      <c r="M1190" s="24"/>
      <c r="N1190" s="24"/>
      <c r="O1190" s="24"/>
      <c r="P1190" s="24"/>
      <c r="Q1190" s="21"/>
      <c r="R1190" s="21"/>
      <c r="S1190" s="12"/>
      <c r="T1190" s="12"/>
      <c r="U1190" s="12"/>
      <c r="V1190" s="12"/>
      <c r="W1190" s="12"/>
      <c r="X1190" s="12"/>
      <c r="Y1190" s="12"/>
      <c r="Z1190" s="12"/>
      <c r="AA1190" s="12"/>
      <c r="AB1190" s="12"/>
      <c r="AC1190" s="12"/>
      <c r="AD1190" s="12"/>
    </row>
    <row r="1191" spans="1:30" x14ac:dyDescent="0.35">
      <c r="B1191" s="20"/>
      <c r="D1191" s="24"/>
      <c r="E1191" s="24"/>
      <c r="F1191" s="24"/>
      <c r="G1191" s="24"/>
      <c r="H1191" s="24"/>
      <c r="I1191" s="24"/>
      <c r="J1191" s="24"/>
      <c r="K1191" s="24"/>
      <c r="L1191" s="24"/>
      <c r="M1191" s="24"/>
      <c r="N1191" s="24"/>
      <c r="O1191" s="24"/>
      <c r="P1191" s="24"/>
      <c r="Q1191" s="21"/>
      <c r="R1191" s="21"/>
      <c r="S1191" s="12"/>
      <c r="T1191" s="12"/>
      <c r="U1191" s="12"/>
      <c r="V1191" s="12"/>
      <c r="W1191" s="12"/>
      <c r="X1191" s="12"/>
      <c r="Y1191" s="12"/>
      <c r="Z1191" s="12"/>
      <c r="AA1191" s="12"/>
      <c r="AB1191" s="12"/>
      <c r="AC1191" s="12"/>
      <c r="AD1191" s="12"/>
    </row>
    <row r="1192" spans="1:30" x14ac:dyDescent="0.35">
      <c r="B1192" s="20"/>
      <c r="D1192" s="24"/>
      <c r="E1192" s="24"/>
      <c r="F1192" s="24"/>
      <c r="G1192" s="24"/>
      <c r="H1192" s="24"/>
      <c r="I1192" s="24"/>
      <c r="J1192" s="24"/>
      <c r="K1192" s="24"/>
      <c r="L1192" s="24"/>
      <c r="M1192" s="24"/>
      <c r="N1192" s="24"/>
      <c r="O1192" s="24"/>
      <c r="P1192" s="24"/>
      <c r="Q1192" s="21"/>
      <c r="R1192" s="21"/>
      <c r="S1192" s="12"/>
      <c r="T1192" s="12"/>
      <c r="U1192" s="12"/>
      <c r="V1192" s="12"/>
      <c r="W1192" s="12"/>
      <c r="X1192" s="12"/>
      <c r="Y1192" s="12"/>
      <c r="Z1192" s="12"/>
      <c r="AA1192" s="12"/>
      <c r="AB1192" s="12"/>
      <c r="AC1192" s="12"/>
      <c r="AD1192" s="12"/>
    </row>
    <row r="1193" spans="1:30" x14ac:dyDescent="0.35">
      <c r="B1193" s="20"/>
      <c r="D1193" s="24"/>
      <c r="E1193" s="24"/>
      <c r="F1193" s="24"/>
      <c r="G1193" s="24"/>
      <c r="H1193" s="24"/>
      <c r="I1193" s="24"/>
      <c r="J1193" s="24"/>
      <c r="K1193" s="24"/>
      <c r="L1193" s="24"/>
      <c r="M1193" s="24"/>
      <c r="N1193" s="24"/>
      <c r="O1193" s="24"/>
      <c r="P1193" s="24"/>
      <c r="Q1193" s="21"/>
      <c r="R1193" s="21"/>
      <c r="S1193" s="12"/>
      <c r="T1193" s="12"/>
      <c r="U1193" s="12"/>
      <c r="V1193" s="12"/>
      <c r="W1193" s="12"/>
      <c r="X1193" s="12"/>
      <c r="Y1193" s="12"/>
      <c r="Z1193" s="12"/>
      <c r="AA1193" s="12"/>
      <c r="AB1193" s="12"/>
      <c r="AC1193" s="12"/>
      <c r="AD1193" s="12"/>
    </row>
    <row r="1194" spans="1:30" x14ac:dyDescent="0.35">
      <c r="A1194" s="23"/>
      <c r="B1194" s="22"/>
      <c r="C1194" s="23"/>
      <c r="D1194"/>
      <c r="E1194"/>
      <c r="F1194"/>
      <c r="G1194"/>
      <c r="H1194"/>
      <c r="I1194"/>
      <c r="J1194"/>
      <c r="K1194"/>
      <c r="Q1194" s="21"/>
      <c r="R1194" s="21"/>
      <c r="S1194" s="12"/>
      <c r="T1194" s="12"/>
      <c r="U1194" s="12"/>
      <c r="V1194" s="12"/>
      <c r="W1194" s="12"/>
      <c r="X1194" s="12"/>
      <c r="Y1194" s="12"/>
      <c r="Z1194" s="12"/>
      <c r="AA1194" s="12"/>
      <c r="AB1194" s="12"/>
      <c r="AC1194" s="12"/>
      <c r="AD1194" s="12"/>
    </row>
    <row r="1195" spans="1:30" x14ac:dyDescent="0.35">
      <c r="A1195" s="23"/>
      <c r="B1195" s="22"/>
      <c r="C1195" s="23"/>
      <c r="D1195"/>
      <c r="E1195"/>
      <c r="F1195"/>
      <c r="G1195"/>
      <c r="H1195"/>
      <c r="I1195"/>
      <c r="J1195"/>
      <c r="K1195"/>
      <c r="Q1195" s="21"/>
      <c r="R1195" s="21"/>
      <c r="S1195" s="12"/>
      <c r="T1195" s="12"/>
      <c r="U1195" s="12"/>
      <c r="V1195" s="12"/>
      <c r="W1195" s="12"/>
      <c r="X1195" s="12"/>
      <c r="Y1195" s="12"/>
      <c r="Z1195" s="12"/>
      <c r="AA1195" s="12"/>
      <c r="AB1195" s="12"/>
      <c r="AC1195" s="12"/>
      <c r="AD1195" s="12"/>
    </row>
    <row r="1196" spans="1:30" x14ac:dyDescent="0.35">
      <c r="A1196" s="23"/>
      <c r="B1196" s="22"/>
      <c r="C1196" s="23"/>
      <c r="D1196"/>
      <c r="E1196"/>
      <c r="F1196"/>
      <c r="G1196"/>
      <c r="H1196"/>
      <c r="I1196"/>
      <c r="J1196"/>
      <c r="K1196"/>
      <c r="Q1196" s="21"/>
      <c r="R1196" s="21"/>
      <c r="S1196" s="12"/>
      <c r="T1196" s="12"/>
      <c r="U1196" s="12"/>
      <c r="V1196" s="12"/>
      <c r="W1196" s="12"/>
      <c r="X1196" s="12"/>
      <c r="Y1196" s="12"/>
      <c r="Z1196" s="12"/>
      <c r="AA1196" s="12"/>
      <c r="AB1196" s="12"/>
      <c r="AC1196" s="12"/>
      <c r="AD1196" s="12"/>
    </row>
    <row r="1197" spans="1:30" x14ac:dyDescent="0.35">
      <c r="A1197" s="23"/>
      <c r="B1197" s="22"/>
      <c r="C1197" s="23"/>
      <c r="D1197"/>
      <c r="E1197"/>
      <c r="F1197"/>
      <c r="G1197"/>
      <c r="H1197"/>
      <c r="I1197"/>
      <c r="J1197"/>
      <c r="K1197"/>
      <c r="Q1197" s="21"/>
      <c r="R1197" s="21"/>
      <c r="S1197" s="12"/>
      <c r="T1197" s="12"/>
      <c r="U1197" s="12"/>
      <c r="V1197" s="12"/>
      <c r="W1197" s="12"/>
      <c r="X1197" s="12"/>
      <c r="Y1197" s="12"/>
      <c r="Z1197" s="12"/>
      <c r="AA1197" s="12"/>
      <c r="AB1197" s="12"/>
      <c r="AC1197" s="12"/>
      <c r="AD1197" s="12"/>
    </row>
    <row r="1198" spans="1:30" x14ac:dyDescent="0.35">
      <c r="A1198" s="23"/>
      <c r="B1198" s="22"/>
      <c r="C1198" s="23"/>
      <c r="D1198"/>
      <c r="E1198"/>
      <c r="F1198"/>
      <c r="G1198"/>
      <c r="H1198"/>
      <c r="I1198"/>
      <c r="J1198"/>
      <c r="K1198"/>
      <c r="Q1198" s="21"/>
      <c r="R1198" s="21"/>
      <c r="S1198" s="12"/>
      <c r="T1198" s="12"/>
      <c r="U1198" s="12"/>
      <c r="V1198" s="12"/>
      <c r="W1198" s="12"/>
      <c r="X1198" s="12"/>
      <c r="Y1198" s="12"/>
      <c r="Z1198" s="12"/>
      <c r="AA1198" s="12"/>
      <c r="AB1198" s="12"/>
      <c r="AC1198" s="12"/>
      <c r="AD1198" s="12"/>
    </row>
    <row r="1199" spans="1:30" x14ac:dyDescent="0.35">
      <c r="A1199" s="23"/>
      <c r="B1199" s="22"/>
      <c r="C1199" s="23"/>
      <c r="D1199"/>
      <c r="E1199"/>
      <c r="F1199"/>
      <c r="G1199"/>
      <c r="H1199"/>
      <c r="I1199"/>
      <c r="J1199"/>
      <c r="K1199"/>
      <c r="Q1199" s="21"/>
      <c r="R1199" s="21"/>
      <c r="S1199" s="12"/>
      <c r="T1199" s="12"/>
      <c r="U1199" s="12"/>
      <c r="V1199" s="12"/>
      <c r="W1199" s="12"/>
      <c r="X1199" s="12"/>
      <c r="Y1199" s="12"/>
      <c r="Z1199" s="12"/>
      <c r="AA1199" s="12"/>
      <c r="AB1199" s="12"/>
      <c r="AC1199" s="12"/>
      <c r="AD1199" s="12"/>
    </row>
    <row r="1200" spans="1:30" x14ac:dyDescent="0.35">
      <c r="A1200" s="16"/>
      <c r="B1200" s="5"/>
      <c r="C1200" s="5"/>
      <c r="D1200" s="5"/>
      <c r="E1200" s="5"/>
      <c r="F1200" s="5"/>
      <c r="G1200" s="5"/>
      <c r="H1200" s="5"/>
      <c r="I1200" s="5"/>
      <c r="J1200" s="5"/>
      <c r="K1200" s="5"/>
      <c r="L1200" s="5"/>
      <c r="M1200" s="5"/>
      <c r="N1200" s="5"/>
      <c r="O1200" s="5"/>
      <c r="P1200" s="5"/>
      <c r="Q1200" s="21"/>
      <c r="R1200" s="21"/>
      <c r="S1200" s="12"/>
      <c r="T1200" s="12"/>
      <c r="U1200" s="12"/>
      <c r="V1200" s="12"/>
      <c r="W1200" s="12"/>
      <c r="X1200" s="12"/>
      <c r="Y1200" s="12"/>
      <c r="Z1200" s="12"/>
      <c r="AA1200" s="12"/>
      <c r="AB1200" s="12"/>
      <c r="AC1200" s="12"/>
      <c r="AD1200" s="12"/>
    </row>
    <row r="1201" spans="1:30" x14ac:dyDescent="0.35">
      <c r="A1201" s="15"/>
      <c r="B1201" s="20"/>
      <c r="D1201" s="30"/>
      <c r="E1201" s="30"/>
      <c r="F1201" s="30"/>
      <c r="G1201" s="30"/>
      <c r="H1201" s="30"/>
      <c r="I1201" s="30"/>
      <c r="J1201" s="30"/>
      <c r="K1201" s="30"/>
      <c r="L1201" s="30"/>
      <c r="M1201" s="30"/>
      <c r="N1201" s="30"/>
      <c r="O1201" s="30"/>
      <c r="P1201" s="30"/>
      <c r="Q1201" s="21"/>
      <c r="R1201" s="21"/>
      <c r="S1201" s="12"/>
      <c r="T1201" s="12"/>
      <c r="U1201" s="12"/>
      <c r="V1201" s="12"/>
      <c r="W1201" s="12"/>
      <c r="X1201" s="12"/>
      <c r="Y1201" s="12"/>
      <c r="Z1201" s="12"/>
      <c r="AA1201" s="12"/>
      <c r="AB1201" s="12"/>
      <c r="AC1201" s="12"/>
      <c r="AD1201" s="12"/>
    </row>
    <row r="1202" spans="1:30" x14ac:dyDescent="0.35">
      <c r="A1202" s="15"/>
      <c r="B1202" s="20"/>
      <c r="D1202" s="30"/>
      <c r="E1202" s="30"/>
      <c r="F1202" s="30"/>
      <c r="G1202" s="30"/>
      <c r="H1202" s="30"/>
      <c r="I1202" s="30"/>
      <c r="J1202" s="30"/>
      <c r="K1202" s="30"/>
      <c r="L1202" s="30"/>
      <c r="M1202" s="30"/>
      <c r="N1202" s="30"/>
      <c r="O1202" s="30"/>
      <c r="P1202" s="30"/>
      <c r="Q1202" s="21"/>
      <c r="R1202" s="21"/>
      <c r="S1202" s="12"/>
      <c r="T1202" s="12"/>
      <c r="U1202" s="12"/>
      <c r="V1202" s="12"/>
      <c r="W1202" s="12"/>
      <c r="X1202" s="12"/>
      <c r="Y1202" s="12"/>
      <c r="Z1202" s="12"/>
      <c r="AA1202" s="12"/>
      <c r="AB1202" s="12"/>
      <c r="AC1202" s="12"/>
      <c r="AD1202" s="12"/>
    </row>
    <row r="1203" spans="1:30" x14ac:dyDescent="0.35">
      <c r="A1203" s="15"/>
      <c r="B1203" s="20"/>
      <c r="D1203" s="30"/>
      <c r="E1203" s="30"/>
      <c r="F1203" s="30"/>
      <c r="G1203" s="30"/>
      <c r="H1203" s="30"/>
      <c r="I1203" s="30"/>
      <c r="J1203" s="30"/>
      <c r="K1203" s="30"/>
      <c r="L1203" s="30"/>
      <c r="M1203" s="30"/>
      <c r="N1203" s="30"/>
      <c r="O1203" s="30"/>
      <c r="P1203" s="30"/>
      <c r="Q1203" s="14"/>
      <c r="R1203" s="14"/>
      <c r="S1203" s="12"/>
      <c r="T1203" s="12"/>
      <c r="U1203" s="12"/>
      <c r="V1203" s="12"/>
      <c r="W1203" s="12"/>
      <c r="X1203" s="12"/>
      <c r="Y1203" s="12"/>
      <c r="Z1203" s="12"/>
      <c r="AA1203" s="12"/>
      <c r="AB1203" s="12"/>
      <c r="AC1203" s="12"/>
      <c r="AD1203" s="12"/>
    </row>
    <row r="1204" spans="1:30" x14ac:dyDescent="0.35">
      <c r="A1204" s="15"/>
      <c r="B1204" s="20"/>
      <c r="D1204" s="30"/>
      <c r="E1204" s="30"/>
      <c r="F1204" s="30"/>
      <c r="G1204" s="30"/>
      <c r="H1204" s="30"/>
      <c r="I1204" s="30"/>
      <c r="J1204" s="30"/>
      <c r="K1204" s="30"/>
      <c r="L1204" s="30"/>
      <c r="M1204" s="30"/>
      <c r="N1204" s="30"/>
      <c r="O1204" s="30"/>
      <c r="P1204" s="30"/>
      <c r="Q1204" s="14"/>
      <c r="R1204" s="14"/>
      <c r="S1204" s="12"/>
      <c r="T1204" s="12"/>
      <c r="U1204" s="12"/>
      <c r="V1204" s="12"/>
      <c r="W1204" s="12"/>
      <c r="X1204" s="12"/>
      <c r="Y1204" s="12"/>
      <c r="Z1204" s="12"/>
      <c r="AA1204" s="12"/>
      <c r="AB1204" s="12"/>
      <c r="AC1204" s="12"/>
      <c r="AD1204" s="12"/>
    </row>
    <row r="1205" spans="1:30" x14ac:dyDescent="0.35">
      <c r="A1205" s="15"/>
      <c r="B1205" s="20"/>
      <c r="D1205" s="30"/>
      <c r="E1205" s="30"/>
      <c r="F1205" s="30"/>
      <c r="G1205" s="30"/>
      <c r="H1205" s="30"/>
      <c r="I1205" s="30"/>
      <c r="J1205" s="30"/>
      <c r="K1205" s="30"/>
      <c r="L1205" s="30"/>
      <c r="M1205" s="30"/>
      <c r="N1205" s="30"/>
      <c r="O1205" s="30"/>
      <c r="P1205" s="30"/>
      <c r="Q1205" s="14"/>
      <c r="R1205" s="14"/>
      <c r="S1205" s="12"/>
      <c r="T1205" s="12"/>
      <c r="U1205" s="12"/>
      <c r="V1205" s="12"/>
      <c r="W1205" s="12"/>
      <c r="X1205" s="12"/>
      <c r="Y1205" s="12"/>
      <c r="Z1205" s="12"/>
      <c r="AA1205" s="12"/>
      <c r="AB1205" s="12"/>
      <c r="AC1205" s="12"/>
      <c r="AD1205" s="12"/>
    </row>
    <row r="1206" spans="1:30" x14ac:dyDescent="0.35">
      <c r="A1206" s="15"/>
      <c r="B1206" s="20"/>
      <c r="D1206" s="30"/>
      <c r="E1206" s="30"/>
      <c r="F1206" s="30"/>
      <c r="G1206" s="30"/>
      <c r="H1206" s="30"/>
      <c r="I1206" s="30"/>
      <c r="J1206" s="30"/>
      <c r="K1206" s="30"/>
      <c r="L1206" s="30"/>
      <c r="M1206" s="30"/>
      <c r="N1206" s="30"/>
      <c r="O1206" s="30"/>
      <c r="P1206" s="30"/>
      <c r="Q1206" s="14"/>
      <c r="R1206" s="14"/>
      <c r="S1206" s="12"/>
      <c r="T1206" s="12"/>
      <c r="U1206" s="12"/>
      <c r="V1206" s="12"/>
      <c r="W1206" s="12"/>
      <c r="X1206" s="12"/>
      <c r="Y1206" s="12"/>
      <c r="Z1206" s="12"/>
      <c r="AA1206" s="12"/>
      <c r="AB1206" s="12"/>
      <c r="AC1206" s="12"/>
      <c r="AD1206" s="12"/>
    </row>
    <row r="1207" spans="1:30" x14ac:dyDescent="0.35">
      <c r="A1207" s="15"/>
      <c r="B1207" s="20"/>
      <c r="D1207" s="30"/>
      <c r="E1207" s="30"/>
      <c r="F1207" s="30"/>
      <c r="G1207" s="30"/>
      <c r="H1207" s="30"/>
      <c r="I1207" s="30"/>
      <c r="J1207" s="30"/>
      <c r="K1207" s="30"/>
      <c r="L1207" s="30"/>
      <c r="M1207" s="30"/>
      <c r="N1207" s="30"/>
      <c r="O1207" s="30"/>
      <c r="P1207" s="30"/>
      <c r="Q1207" s="14"/>
      <c r="R1207" s="14"/>
      <c r="S1207" s="12"/>
      <c r="T1207" s="12"/>
      <c r="U1207" s="12"/>
      <c r="V1207" s="12"/>
      <c r="W1207" s="12"/>
      <c r="X1207" s="12"/>
      <c r="Y1207" s="12"/>
      <c r="Z1207" s="12"/>
      <c r="AA1207" s="12"/>
      <c r="AB1207" s="12"/>
      <c r="AC1207" s="12"/>
      <c r="AD1207" s="12"/>
    </row>
    <row r="1208" spans="1:30" x14ac:dyDescent="0.35">
      <c r="A1208" s="15"/>
      <c r="B1208" s="20"/>
      <c r="D1208" s="31"/>
      <c r="E1208" s="31"/>
      <c r="F1208" s="31"/>
      <c r="G1208" s="31"/>
      <c r="H1208" s="31"/>
      <c r="I1208" s="31"/>
      <c r="J1208" s="31"/>
      <c r="K1208" s="31"/>
      <c r="L1208" s="31"/>
      <c r="M1208" s="31"/>
      <c r="N1208" s="31"/>
      <c r="O1208" s="31"/>
      <c r="P1208" s="31"/>
      <c r="Q1208" s="14"/>
      <c r="R1208" s="14"/>
      <c r="S1208" s="12"/>
      <c r="T1208" s="12"/>
      <c r="U1208" s="12"/>
      <c r="V1208" s="12"/>
      <c r="W1208" s="12"/>
      <c r="X1208" s="12"/>
      <c r="Y1208" s="12"/>
      <c r="Z1208" s="12"/>
      <c r="AA1208" s="12"/>
      <c r="AB1208" s="12"/>
      <c r="AC1208" s="12"/>
      <c r="AD1208" s="12"/>
    </row>
    <row r="1209" spans="1:30" x14ac:dyDescent="0.35">
      <c r="A1209" s="27"/>
      <c r="B1209" s="20"/>
      <c r="D1209" s="30"/>
      <c r="E1209" s="30"/>
      <c r="F1209" s="30"/>
      <c r="G1209" s="30"/>
      <c r="H1209" s="30"/>
      <c r="I1209" s="30"/>
      <c r="J1209" s="30"/>
      <c r="K1209" s="30"/>
      <c r="L1209" s="30"/>
      <c r="M1209" s="30"/>
      <c r="N1209" s="30"/>
      <c r="O1209" s="30"/>
      <c r="P1209" s="30"/>
      <c r="Q1209" s="14"/>
      <c r="R1209" s="14"/>
      <c r="S1209" s="12"/>
      <c r="T1209" s="12"/>
      <c r="U1209" s="12"/>
      <c r="V1209" s="12"/>
      <c r="W1209" s="12"/>
      <c r="X1209" s="12"/>
      <c r="Y1209" s="12"/>
      <c r="Z1209" s="12"/>
      <c r="AA1209" s="12"/>
      <c r="AB1209" s="12"/>
      <c r="AC1209" s="12"/>
      <c r="AD1209" s="12"/>
    </row>
    <row r="1210" spans="1:30" x14ac:dyDescent="0.35">
      <c r="A1210" s="27"/>
      <c r="B1210" s="20"/>
      <c r="D1210" s="30"/>
      <c r="E1210" s="30"/>
      <c r="F1210" s="30"/>
      <c r="G1210" s="30"/>
      <c r="H1210" s="30"/>
      <c r="I1210" s="30"/>
      <c r="J1210" s="30"/>
      <c r="K1210" s="30"/>
      <c r="L1210" s="30"/>
      <c r="M1210" s="30"/>
      <c r="N1210" s="30"/>
      <c r="O1210" s="30"/>
      <c r="P1210" s="30"/>
      <c r="Q1210" s="21"/>
      <c r="R1210" s="21"/>
      <c r="S1210" s="12"/>
      <c r="T1210" s="12"/>
      <c r="U1210" s="12"/>
      <c r="V1210" s="12"/>
      <c r="W1210" s="12"/>
      <c r="X1210" s="12"/>
      <c r="Y1210" s="12"/>
      <c r="Z1210" s="12"/>
      <c r="AA1210" s="12"/>
      <c r="AB1210" s="12"/>
      <c r="AC1210" s="12"/>
      <c r="AD1210" s="12"/>
    </row>
    <row r="1211" spans="1:30" x14ac:dyDescent="0.35">
      <c r="A1211" s="27"/>
      <c r="B1211" s="20"/>
      <c r="D1211" s="30"/>
      <c r="E1211" s="30"/>
      <c r="F1211" s="30"/>
      <c r="G1211" s="30"/>
      <c r="H1211" s="30"/>
      <c r="I1211" s="30"/>
      <c r="J1211" s="30"/>
      <c r="K1211" s="30"/>
      <c r="L1211" s="30"/>
      <c r="M1211" s="30"/>
      <c r="N1211" s="30"/>
      <c r="O1211" s="30"/>
      <c r="P1211" s="30"/>
      <c r="Q1211" s="21"/>
      <c r="R1211" s="21"/>
      <c r="S1211" s="12"/>
      <c r="T1211" s="12"/>
      <c r="U1211" s="12"/>
      <c r="V1211" s="12"/>
      <c r="W1211" s="12"/>
      <c r="X1211" s="12"/>
      <c r="Y1211" s="12"/>
      <c r="Z1211" s="12"/>
      <c r="AA1211" s="12"/>
      <c r="AB1211" s="12"/>
      <c r="AC1211" s="12"/>
      <c r="AD1211" s="12"/>
    </row>
    <row r="1212" spans="1:30" x14ac:dyDescent="0.35">
      <c r="A1212" s="27"/>
      <c r="B1212" s="20"/>
      <c r="D1212" s="30"/>
      <c r="E1212" s="30"/>
      <c r="F1212" s="30"/>
      <c r="G1212" s="30"/>
      <c r="H1212" s="30"/>
      <c r="I1212" s="30"/>
      <c r="J1212" s="30"/>
      <c r="K1212" s="30"/>
      <c r="L1212" s="30"/>
      <c r="M1212" s="30"/>
      <c r="N1212" s="30"/>
      <c r="O1212" s="30"/>
      <c r="P1212" s="30"/>
      <c r="Q1212" s="21"/>
      <c r="R1212" s="21"/>
      <c r="S1212" s="12"/>
      <c r="T1212" s="12"/>
      <c r="U1212" s="12"/>
      <c r="V1212" s="12"/>
      <c r="W1212" s="12"/>
      <c r="X1212" s="12"/>
      <c r="Y1212" s="12"/>
      <c r="Z1212" s="12"/>
      <c r="AA1212" s="12"/>
      <c r="AB1212" s="12"/>
      <c r="AC1212" s="12"/>
      <c r="AD1212" s="12"/>
    </row>
    <row r="1213" spans="1:30" x14ac:dyDescent="0.35">
      <c r="A1213" s="27"/>
      <c r="B1213" s="20"/>
      <c r="D1213" s="30"/>
      <c r="E1213" s="30"/>
      <c r="F1213" s="30"/>
      <c r="G1213" s="30"/>
      <c r="H1213" s="30"/>
      <c r="I1213" s="30"/>
      <c r="J1213" s="30"/>
      <c r="K1213" s="30"/>
      <c r="L1213" s="30"/>
      <c r="M1213" s="30"/>
      <c r="N1213" s="30"/>
      <c r="O1213" s="30"/>
      <c r="P1213" s="30"/>
      <c r="Q1213" s="21"/>
      <c r="R1213" s="21"/>
      <c r="S1213" s="12"/>
      <c r="T1213" s="12"/>
      <c r="U1213" s="12"/>
      <c r="V1213" s="12"/>
      <c r="W1213" s="12"/>
      <c r="X1213" s="12"/>
      <c r="Y1213" s="12"/>
      <c r="Z1213" s="12"/>
      <c r="AA1213" s="12"/>
      <c r="AB1213" s="12"/>
      <c r="AC1213" s="12"/>
      <c r="AD1213" s="12"/>
    </row>
    <row r="1214" spans="1:30" x14ac:dyDescent="0.35">
      <c r="A1214" s="27"/>
      <c r="B1214" s="20"/>
      <c r="D1214" s="30"/>
      <c r="E1214" s="30"/>
      <c r="F1214" s="30"/>
      <c r="G1214" s="30"/>
      <c r="H1214" s="30"/>
      <c r="I1214" s="30"/>
      <c r="J1214" s="30"/>
      <c r="K1214" s="30"/>
      <c r="L1214" s="30"/>
      <c r="M1214" s="30"/>
      <c r="N1214" s="30"/>
      <c r="O1214" s="30"/>
      <c r="P1214" s="30"/>
      <c r="Q1214" s="21"/>
      <c r="R1214" s="21"/>
      <c r="S1214" s="12"/>
      <c r="T1214" s="12"/>
      <c r="U1214" s="12"/>
      <c r="V1214" s="12"/>
      <c r="W1214" s="12"/>
      <c r="X1214" s="12"/>
      <c r="Y1214" s="12"/>
      <c r="Z1214" s="12"/>
      <c r="AA1214" s="12"/>
      <c r="AB1214" s="12"/>
      <c r="AC1214" s="12"/>
      <c r="AD1214" s="12"/>
    </row>
    <row r="1215" spans="1:30" x14ac:dyDescent="0.35">
      <c r="A1215" s="27"/>
      <c r="B1215" s="20"/>
      <c r="D1215" s="30"/>
      <c r="E1215" s="30"/>
      <c r="F1215" s="30"/>
      <c r="G1215" s="30"/>
      <c r="H1215" s="30"/>
      <c r="I1215" s="30"/>
      <c r="J1215" s="30"/>
      <c r="K1215" s="30"/>
      <c r="L1215" s="30"/>
      <c r="M1215" s="30"/>
      <c r="N1215" s="30"/>
      <c r="O1215" s="30"/>
      <c r="P1215" s="30"/>
      <c r="Q1215" s="21"/>
      <c r="R1215" s="21"/>
      <c r="S1215" s="12"/>
      <c r="T1215" s="12"/>
      <c r="U1215" s="12"/>
      <c r="V1215" s="12"/>
      <c r="W1215" s="12"/>
      <c r="X1215" s="12"/>
      <c r="Y1215" s="12"/>
      <c r="Z1215" s="12"/>
      <c r="AA1215" s="12"/>
      <c r="AB1215" s="12"/>
      <c r="AC1215" s="12"/>
      <c r="AD1215" s="12"/>
    </row>
    <row r="1216" spans="1:30" x14ac:dyDescent="0.35">
      <c r="A1216" s="27"/>
      <c r="B1216" s="20"/>
      <c r="D1216" s="31"/>
      <c r="E1216" s="31"/>
      <c r="F1216" s="31"/>
      <c r="G1216" s="31"/>
      <c r="H1216" s="31"/>
      <c r="I1216" s="31"/>
      <c r="J1216" s="31"/>
      <c r="K1216" s="31"/>
      <c r="L1216" s="31"/>
      <c r="M1216" s="31"/>
      <c r="N1216" s="31"/>
      <c r="O1216" s="31"/>
      <c r="P1216" s="31"/>
      <c r="Q1216" s="21"/>
      <c r="R1216" s="21"/>
      <c r="S1216" s="12"/>
      <c r="T1216" s="12"/>
      <c r="U1216" s="12"/>
      <c r="V1216" s="12"/>
      <c r="W1216" s="12"/>
      <c r="X1216" s="12"/>
      <c r="Y1216" s="12"/>
      <c r="Z1216" s="12"/>
      <c r="AA1216" s="12"/>
      <c r="AB1216" s="12"/>
      <c r="AC1216" s="12"/>
      <c r="AD1216" s="12"/>
    </row>
    <row r="1217" spans="2:30" x14ac:dyDescent="0.35">
      <c r="B1217" s="20"/>
      <c r="D1217" s="30"/>
      <c r="E1217" s="30"/>
      <c r="F1217" s="30"/>
      <c r="G1217" s="30"/>
      <c r="H1217" s="30"/>
      <c r="I1217" s="30"/>
      <c r="J1217" s="30"/>
      <c r="K1217" s="30"/>
      <c r="L1217" s="30"/>
      <c r="M1217" s="30"/>
      <c r="N1217" s="30"/>
      <c r="O1217" s="30"/>
      <c r="P1217" s="30"/>
      <c r="Q1217" s="21"/>
      <c r="R1217" s="21"/>
      <c r="S1217" s="12"/>
      <c r="T1217" s="12"/>
      <c r="U1217" s="12"/>
      <c r="V1217" s="12"/>
      <c r="W1217" s="12"/>
      <c r="X1217" s="12"/>
      <c r="Y1217" s="12"/>
      <c r="Z1217" s="12"/>
      <c r="AA1217" s="12"/>
      <c r="AB1217" s="12"/>
      <c r="AC1217" s="12"/>
      <c r="AD1217" s="12"/>
    </row>
    <row r="1218" spans="2:30" x14ac:dyDescent="0.35">
      <c r="B1218" s="20"/>
      <c r="D1218" s="30"/>
      <c r="E1218" s="30"/>
      <c r="F1218" s="30"/>
      <c r="G1218" s="30"/>
      <c r="H1218" s="30"/>
      <c r="I1218" s="30"/>
      <c r="J1218" s="30"/>
      <c r="K1218" s="30"/>
      <c r="L1218" s="30"/>
      <c r="M1218" s="30"/>
      <c r="N1218" s="30"/>
      <c r="O1218" s="30"/>
      <c r="P1218" s="30"/>
      <c r="Q1218" s="21"/>
      <c r="R1218" s="21"/>
      <c r="S1218" s="12"/>
      <c r="T1218" s="12"/>
      <c r="U1218" s="12"/>
      <c r="V1218" s="12"/>
      <c r="W1218" s="12"/>
      <c r="X1218" s="12"/>
      <c r="Y1218" s="12"/>
      <c r="Z1218" s="12"/>
      <c r="AA1218" s="12"/>
      <c r="AB1218" s="12"/>
      <c r="AC1218" s="12"/>
      <c r="AD1218" s="12"/>
    </row>
    <row r="1219" spans="2:30" x14ac:dyDescent="0.35">
      <c r="B1219" s="20"/>
      <c r="D1219" s="30"/>
      <c r="E1219" s="30"/>
      <c r="F1219" s="30"/>
      <c r="G1219" s="30"/>
      <c r="H1219" s="30"/>
      <c r="I1219" s="30"/>
      <c r="J1219" s="30"/>
      <c r="K1219" s="30"/>
      <c r="L1219" s="30"/>
      <c r="M1219" s="30"/>
      <c r="N1219" s="30"/>
      <c r="O1219" s="30"/>
      <c r="P1219" s="30"/>
      <c r="Q1219" s="14"/>
      <c r="R1219" s="14"/>
      <c r="S1219" s="12"/>
      <c r="T1219" s="12"/>
      <c r="U1219" s="12"/>
      <c r="V1219" s="12"/>
      <c r="W1219" s="12"/>
      <c r="X1219" s="12"/>
      <c r="Y1219" s="12"/>
      <c r="Z1219" s="12"/>
      <c r="AA1219" s="12"/>
      <c r="AB1219" s="12"/>
      <c r="AC1219" s="12"/>
      <c r="AD1219" s="12"/>
    </row>
    <row r="1220" spans="2:30" x14ac:dyDescent="0.35">
      <c r="B1220" s="20"/>
      <c r="D1220" s="30"/>
      <c r="E1220" s="30"/>
      <c r="F1220" s="30"/>
      <c r="G1220" s="30"/>
      <c r="H1220" s="30"/>
      <c r="I1220" s="30"/>
      <c r="J1220" s="30"/>
      <c r="K1220" s="30"/>
      <c r="L1220" s="30"/>
      <c r="M1220" s="30"/>
      <c r="N1220" s="30"/>
      <c r="O1220" s="30"/>
      <c r="P1220" s="30"/>
      <c r="Q1220" s="14"/>
      <c r="R1220" s="14"/>
      <c r="S1220" s="12"/>
      <c r="T1220" s="12"/>
      <c r="U1220" s="12"/>
      <c r="V1220" s="12"/>
      <c r="W1220" s="12"/>
      <c r="X1220" s="12"/>
      <c r="Y1220" s="12"/>
      <c r="Z1220" s="12"/>
      <c r="AA1220" s="12"/>
      <c r="AB1220" s="12"/>
      <c r="AC1220" s="12"/>
      <c r="AD1220" s="12"/>
    </row>
    <row r="1221" spans="2:30" x14ac:dyDescent="0.35">
      <c r="B1221" s="20"/>
      <c r="D1221" s="30"/>
      <c r="E1221" s="30"/>
      <c r="F1221" s="30"/>
      <c r="G1221" s="30"/>
      <c r="H1221" s="30"/>
      <c r="I1221" s="30"/>
      <c r="J1221" s="30"/>
      <c r="K1221" s="30"/>
      <c r="L1221" s="30"/>
      <c r="M1221" s="30"/>
      <c r="N1221" s="30"/>
      <c r="O1221" s="30"/>
      <c r="P1221" s="30"/>
      <c r="Q1221" s="14"/>
      <c r="R1221" s="14"/>
      <c r="S1221" s="12"/>
      <c r="T1221" s="12"/>
      <c r="U1221" s="12"/>
      <c r="V1221" s="12"/>
      <c r="W1221" s="12"/>
      <c r="X1221" s="12"/>
      <c r="Y1221" s="12"/>
      <c r="Z1221" s="12"/>
      <c r="AA1221" s="12"/>
      <c r="AB1221" s="12"/>
      <c r="AC1221" s="12"/>
      <c r="AD1221" s="12"/>
    </row>
    <row r="1222" spans="2:30" x14ac:dyDescent="0.35">
      <c r="B1222" s="20"/>
      <c r="D1222" s="30"/>
      <c r="E1222" s="30"/>
      <c r="F1222" s="30"/>
      <c r="G1222" s="30"/>
      <c r="H1222" s="30"/>
      <c r="I1222" s="30"/>
      <c r="J1222" s="30"/>
      <c r="K1222" s="30"/>
      <c r="L1222" s="30"/>
      <c r="M1222" s="30"/>
      <c r="N1222" s="30"/>
      <c r="O1222" s="30"/>
      <c r="P1222" s="30"/>
      <c r="Q1222" s="14"/>
      <c r="R1222" s="14"/>
      <c r="S1222" s="12"/>
      <c r="T1222" s="12"/>
      <c r="U1222" s="12"/>
      <c r="V1222" s="12"/>
      <c r="W1222" s="12"/>
      <c r="X1222" s="12"/>
      <c r="Y1222" s="12"/>
      <c r="Z1222" s="12"/>
      <c r="AA1222" s="12"/>
      <c r="AB1222" s="12"/>
      <c r="AC1222" s="12"/>
      <c r="AD1222" s="12"/>
    </row>
    <row r="1223" spans="2:30" x14ac:dyDescent="0.35">
      <c r="B1223" s="20"/>
      <c r="D1223" s="30"/>
      <c r="E1223" s="30"/>
      <c r="F1223" s="30"/>
      <c r="G1223" s="30"/>
      <c r="H1223" s="30"/>
      <c r="I1223" s="30"/>
      <c r="J1223" s="30"/>
      <c r="K1223" s="30"/>
      <c r="L1223" s="30"/>
      <c r="M1223" s="30"/>
      <c r="N1223" s="30"/>
      <c r="O1223" s="30"/>
      <c r="P1223" s="30"/>
      <c r="Q1223" s="14"/>
      <c r="R1223" s="14"/>
      <c r="S1223" s="12"/>
      <c r="T1223" s="12"/>
      <c r="U1223" s="12"/>
      <c r="V1223" s="12"/>
      <c r="W1223" s="12"/>
      <c r="X1223" s="12"/>
      <c r="Y1223" s="12"/>
      <c r="Z1223" s="12"/>
      <c r="AA1223" s="12"/>
      <c r="AB1223" s="12"/>
      <c r="AC1223" s="12"/>
      <c r="AD1223" s="12"/>
    </row>
    <row r="1224" spans="2:30" x14ac:dyDescent="0.35">
      <c r="B1224" s="20"/>
      <c r="D1224" s="31"/>
      <c r="E1224" s="31"/>
      <c r="F1224" s="31"/>
      <c r="G1224" s="31"/>
      <c r="H1224" s="31"/>
      <c r="I1224" s="31"/>
      <c r="J1224" s="31"/>
      <c r="K1224" s="31"/>
      <c r="L1224" s="31"/>
      <c r="M1224" s="31"/>
      <c r="N1224" s="31"/>
      <c r="O1224" s="31"/>
      <c r="P1224" s="31"/>
      <c r="Q1224" s="14"/>
      <c r="R1224" s="14"/>
      <c r="S1224" s="12"/>
      <c r="T1224" s="12"/>
      <c r="U1224" s="12"/>
      <c r="V1224" s="12"/>
      <c r="W1224" s="12"/>
      <c r="X1224" s="12"/>
      <c r="Y1224" s="12"/>
      <c r="Z1224" s="12"/>
      <c r="AA1224" s="12"/>
      <c r="AB1224" s="12"/>
      <c r="AC1224" s="12"/>
      <c r="AD1224" s="12"/>
    </row>
    <row r="1225" spans="2:30" x14ac:dyDescent="0.35">
      <c r="B1225" s="20"/>
      <c r="D1225" s="30"/>
      <c r="E1225" s="30"/>
      <c r="F1225" s="30"/>
      <c r="G1225" s="30"/>
      <c r="H1225" s="30"/>
      <c r="I1225" s="30"/>
      <c r="J1225" s="30"/>
      <c r="K1225" s="30"/>
      <c r="L1225" s="30"/>
      <c r="M1225" s="30"/>
      <c r="N1225" s="30"/>
      <c r="O1225" s="30"/>
      <c r="P1225" s="30"/>
      <c r="Q1225" s="14"/>
      <c r="R1225" s="14"/>
      <c r="S1225" s="12"/>
      <c r="T1225" s="12"/>
      <c r="U1225" s="12"/>
      <c r="V1225" s="12"/>
      <c r="W1225" s="12"/>
      <c r="X1225" s="12"/>
      <c r="Y1225" s="12"/>
      <c r="Z1225" s="12"/>
      <c r="AA1225" s="12"/>
      <c r="AB1225" s="12"/>
      <c r="AC1225" s="12"/>
      <c r="AD1225" s="12"/>
    </row>
    <row r="1226" spans="2:30" x14ac:dyDescent="0.35">
      <c r="B1226" s="20"/>
      <c r="D1226" s="30"/>
      <c r="E1226" s="30"/>
      <c r="F1226" s="30"/>
      <c r="G1226" s="30"/>
      <c r="H1226" s="30"/>
      <c r="I1226" s="30"/>
      <c r="J1226" s="30"/>
      <c r="K1226" s="30"/>
      <c r="L1226" s="30"/>
      <c r="M1226" s="30"/>
      <c r="N1226" s="30"/>
      <c r="O1226" s="30"/>
      <c r="P1226" s="30"/>
      <c r="Q1226" s="14"/>
      <c r="R1226" s="14"/>
      <c r="S1226" s="12"/>
      <c r="T1226" s="12"/>
      <c r="U1226" s="12"/>
      <c r="V1226" s="12"/>
      <c r="W1226" s="12"/>
      <c r="X1226" s="12"/>
      <c r="Y1226" s="12"/>
      <c r="Z1226" s="12"/>
      <c r="AA1226" s="12"/>
      <c r="AB1226" s="12"/>
      <c r="AC1226" s="12"/>
      <c r="AD1226" s="12"/>
    </row>
    <row r="1227" spans="2:30" x14ac:dyDescent="0.35">
      <c r="B1227" s="20"/>
      <c r="D1227" s="30"/>
      <c r="E1227" s="30"/>
      <c r="F1227" s="30"/>
      <c r="G1227" s="30"/>
      <c r="H1227" s="30"/>
      <c r="I1227" s="30"/>
      <c r="J1227" s="30"/>
      <c r="K1227" s="30"/>
      <c r="L1227" s="30"/>
      <c r="M1227" s="30"/>
      <c r="N1227" s="30"/>
      <c r="O1227" s="30"/>
      <c r="P1227" s="30"/>
      <c r="Q1227" s="14"/>
      <c r="R1227" s="14"/>
      <c r="S1227" s="12"/>
      <c r="T1227" s="12"/>
      <c r="U1227" s="12"/>
      <c r="V1227" s="12"/>
      <c r="W1227" s="12"/>
      <c r="X1227" s="12"/>
      <c r="Y1227" s="12"/>
      <c r="Z1227" s="12"/>
      <c r="AA1227" s="12"/>
      <c r="AB1227" s="12"/>
      <c r="AC1227" s="12"/>
      <c r="AD1227" s="12"/>
    </row>
    <row r="1228" spans="2:30" x14ac:dyDescent="0.35">
      <c r="B1228" s="20"/>
      <c r="D1228" s="30"/>
      <c r="E1228" s="30"/>
      <c r="F1228" s="30"/>
      <c r="G1228" s="30"/>
      <c r="H1228" s="30"/>
      <c r="I1228" s="30"/>
      <c r="J1228" s="30"/>
      <c r="K1228" s="30"/>
      <c r="L1228" s="30"/>
      <c r="M1228" s="30"/>
      <c r="N1228" s="30"/>
      <c r="O1228" s="30"/>
      <c r="P1228" s="30"/>
      <c r="Q1228" s="14"/>
      <c r="R1228" s="14"/>
      <c r="S1228" s="12"/>
      <c r="T1228" s="12"/>
      <c r="U1228" s="12"/>
      <c r="V1228" s="12"/>
      <c r="W1228" s="12"/>
      <c r="X1228" s="12"/>
      <c r="Y1228" s="12"/>
      <c r="Z1228" s="12"/>
      <c r="AA1228" s="12"/>
      <c r="AB1228" s="12"/>
      <c r="AC1228" s="12"/>
      <c r="AD1228" s="12"/>
    </row>
    <row r="1229" spans="2:30" x14ac:dyDescent="0.35">
      <c r="B1229" s="20"/>
      <c r="D1229" s="30"/>
      <c r="E1229" s="30"/>
      <c r="F1229" s="30"/>
      <c r="G1229" s="30"/>
      <c r="H1229" s="30"/>
      <c r="I1229" s="30"/>
      <c r="J1229" s="30"/>
      <c r="K1229" s="30"/>
      <c r="L1229" s="30"/>
      <c r="M1229" s="30"/>
      <c r="N1229" s="30"/>
      <c r="O1229" s="30"/>
      <c r="P1229" s="30"/>
      <c r="Q1229" s="14"/>
      <c r="R1229" s="14"/>
      <c r="S1229" s="12"/>
      <c r="T1229" s="12"/>
      <c r="U1229" s="12"/>
      <c r="V1229" s="12"/>
      <c r="W1229" s="12"/>
      <c r="X1229" s="12"/>
      <c r="Y1229" s="12"/>
      <c r="Z1229" s="12"/>
      <c r="AA1229" s="12"/>
      <c r="AB1229" s="12"/>
      <c r="AC1229" s="12"/>
      <c r="AD1229" s="12"/>
    </row>
    <row r="1230" spans="2:30" x14ac:dyDescent="0.35">
      <c r="B1230" s="20"/>
      <c r="D1230" s="30"/>
      <c r="E1230" s="30"/>
      <c r="F1230" s="30"/>
      <c r="G1230" s="30"/>
      <c r="H1230" s="30"/>
      <c r="I1230" s="30"/>
      <c r="J1230" s="30"/>
      <c r="K1230" s="30"/>
      <c r="L1230" s="30"/>
      <c r="M1230" s="30"/>
      <c r="N1230" s="30"/>
      <c r="O1230" s="30"/>
      <c r="P1230" s="30"/>
      <c r="Q1230" s="14"/>
      <c r="R1230" s="14"/>
      <c r="S1230" s="12"/>
      <c r="T1230" s="12"/>
      <c r="U1230" s="12"/>
      <c r="V1230" s="12"/>
      <c r="W1230" s="12"/>
      <c r="X1230" s="12"/>
      <c r="Y1230" s="12"/>
      <c r="Z1230" s="12"/>
      <c r="AA1230" s="12"/>
      <c r="AB1230" s="12"/>
      <c r="AC1230" s="12"/>
      <c r="AD1230" s="12"/>
    </row>
    <row r="1231" spans="2:30" x14ac:dyDescent="0.35">
      <c r="B1231" s="20"/>
      <c r="D1231" s="30"/>
      <c r="E1231" s="30"/>
      <c r="F1231" s="30"/>
      <c r="G1231" s="30"/>
      <c r="H1231" s="30"/>
      <c r="I1231" s="30"/>
      <c r="J1231" s="30"/>
      <c r="K1231" s="30"/>
      <c r="L1231" s="30"/>
      <c r="M1231" s="30"/>
      <c r="N1231" s="30"/>
      <c r="O1231" s="30"/>
      <c r="P1231" s="30"/>
      <c r="Q1231" s="14"/>
      <c r="R1231" s="14"/>
      <c r="S1231" s="12"/>
      <c r="T1231" s="12"/>
      <c r="U1231" s="12"/>
      <c r="V1231" s="12"/>
      <c r="W1231" s="12"/>
      <c r="X1231" s="12"/>
      <c r="Y1231" s="12"/>
      <c r="Z1231" s="12"/>
      <c r="AA1231" s="12"/>
      <c r="AB1231" s="12"/>
      <c r="AC1231" s="12"/>
      <c r="AD1231" s="12"/>
    </row>
    <row r="1232" spans="2:30" x14ac:dyDescent="0.35">
      <c r="B1232" s="20"/>
      <c r="D1232" s="31"/>
      <c r="E1232" s="31"/>
      <c r="F1232" s="31"/>
      <c r="G1232" s="31"/>
      <c r="H1232" s="31"/>
      <c r="I1232" s="31"/>
      <c r="J1232" s="31"/>
      <c r="K1232" s="31"/>
      <c r="L1232" s="31"/>
      <c r="M1232" s="31"/>
      <c r="N1232" s="31"/>
      <c r="O1232" s="31"/>
      <c r="P1232" s="31"/>
      <c r="Q1232" s="14"/>
      <c r="R1232" s="14"/>
      <c r="S1232" s="12"/>
      <c r="T1232" s="12"/>
      <c r="U1232" s="12"/>
      <c r="V1232" s="12"/>
      <c r="W1232" s="12"/>
      <c r="X1232" s="12"/>
      <c r="Y1232" s="12"/>
      <c r="Z1232" s="12"/>
      <c r="AA1232" s="12"/>
      <c r="AB1232" s="12"/>
      <c r="AC1232" s="12"/>
      <c r="AD1232" s="12"/>
    </row>
    <row r="1233" spans="1:30" x14ac:dyDescent="0.35">
      <c r="A1233" s="28"/>
      <c r="B1233" s="20"/>
      <c r="D1233" s="30"/>
      <c r="E1233" s="30"/>
      <c r="F1233" s="30"/>
      <c r="G1233" s="30"/>
      <c r="H1233" s="30"/>
      <c r="I1233" s="30"/>
      <c r="J1233" s="30"/>
      <c r="K1233" s="30"/>
      <c r="L1233" s="30"/>
      <c r="M1233" s="30"/>
      <c r="N1233" s="30"/>
      <c r="O1233" s="30"/>
      <c r="P1233" s="30"/>
      <c r="Q1233" s="14"/>
      <c r="R1233" s="14"/>
      <c r="S1233" s="12"/>
      <c r="T1233" s="12"/>
      <c r="U1233" s="12"/>
      <c r="V1233" s="12"/>
      <c r="W1233" s="12"/>
      <c r="X1233" s="12"/>
      <c r="Y1233" s="12"/>
      <c r="Z1233" s="12"/>
      <c r="AA1233" s="12"/>
      <c r="AB1233" s="12"/>
      <c r="AC1233" s="12"/>
      <c r="AD1233" s="12"/>
    </row>
    <row r="1234" spans="1:30" x14ac:dyDescent="0.35">
      <c r="A1234" s="28"/>
      <c r="B1234" s="20"/>
      <c r="D1234" s="30"/>
      <c r="E1234" s="30"/>
      <c r="F1234" s="30"/>
      <c r="G1234" s="30"/>
      <c r="H1234" s="30"/>
      <c r="I1234" s="30"/>
      <c r="J1234" s="30"/>
      <c r="K1234" s="30"/>
      <c r="L1234" s="30"/>
      <c r="M1234" s="30"/>
      <c r="N1234" s="30"/>
      <c r="O1234" s="30"/>
      <c r="P1234" s="30"/>
      <c r="Q1234" s="14"/>
      <c r="R1234" s="14"/>
      <c r="S1234" s="12"/>
      <c r="T1234" s="12"/>
      <c r="U1234" s="12"/>
      <c r="V1234" s="12"/>
      <c r="W1234" s="12"/>
      <c r="X1234" s="12"/>
      <c r="Y1234" s="12"/>
      <c r="Z1234" s="12"/>
      <c r="AA1234" s="12"/>
      <c r="AB1234" s="12"/>
      <c r="AC1234" s="12"/>
      <c r="AD1234" s="12"/>
    </row>
    <row r="1235" spans="1:30" x14ac:dyDescent="0.35">
      <c r="A1235" s="28"/>
      <c r="B1235" s="20"/>
      <c r="D1235" s="30"/>
      <c r="E1235" s="30"/>
      <c r="F1235" s="30"/>
      <c r="G1235" s="30"/>
      <c r="H1235" s="30"/>
      <c r="I1235" s="30"/>
      <c r="J1235" s="30"/>
      <c r="K1235" s="30"/>
      <c r="L1235" s="30"/>
      <c r="M1235" s="30"/>
      <c r="N1235" s="30"/>
      <c r="O1235" s="30"/>
      <c r="P1235" s="30"/>
      <c r="Q1235" s="14"/>
      <c r="R1235" s="14"/>
      <c r="S1235" s="12"/>
      <c r="T1235" s="12"/>
      <c r="U1235" s="12"/>
      <c r="V1235" s="12"/>
      <c r="W1235" s="12"/>
      <c r="X1235" s="12"/>
      <c r="Y1235" s="12"/>
      <c r="Z1235" s="12"/>
      <c r="AA1235" s="12"/>
      <c r="AB1235" s="12"/>
      <c r="AC1235" s="12"/>
      <c r="AD1235" s="12"/>
    </row>
    <row r="1236" spans="1:30" x14ac:dyDescent="0.35">
      <c r="A1236" s="28"/>
      <c r="B1236" s="20"/>
      <c r="D1236" s="30"/>
      <c r="E1236" s="30"/>
      <c r="F1236" s="30"/>
      <c r="G1236" s="30"/>
      <c r="H1236" s="30"/>
      <c r="I1236" s="30"/>
      <c r="J1236" s="30"/>
      <c r="K1236" s="30"/>
      <c r="L1236" s="30"/>
      <c r="M1236" s="30"/>
      <c r="N1236" s="30"/>
      <c r="O1236" s="30"/>
      <c r="P1236" s="30"/>
      <c r="Q1236" s="14"/>
      <c r="R1236" s="14"/>
      <c r="S1236" s="12"/>
      <c r="T1236" s="12"/>
      <c r="U1236" s="12"/>
      <c r="V1236" s="12"/>
      <c r="W1236" s="12"/>
      <c r="X1236" s="12"/>
      <c r="Y1236" s="12"/>
      <c r="Z1236" s="12"/>
      <c r="AA1236" s="12"/>
      <c r="AB1236" s="12"/>
      <c r="AC1236" s="12"/>
      <c r="AD1236" s="12"/>
    </row>
    <row r="1237" spans="1:30" x14ac:dyDescent="0.35">
      <c r="A1237" s="28"/>
      <c r="B1237" s="20"/>
      <c r="D1237" s="30"/>
      <c r="E1237" s="30"/>
      <c r="F1237" s="30"/>
      <c r="G1237" s="30"/>
      <c r="H1237" s="30"/>
      <c r="I1237" s="30"/>
      <c r="J1237" s="30"/>
      <c r="K1237" s="30"/>
      <c r="L1237" s="30"/>
      <c r="M1237" s="30"/>
      <c r="N1237" s="30"/>
      <c r="O1237" s="30"/>
      <c r="P1237" s="30"/>
      <c r="Q1237" s="14"/>
      <c r="R1237" s="14"/>
      <c r="S1237" s="12"/>
      <c r="T1237" s="12"/>
      <c r="U1237" s="12"/>
      <c r="V1237" s="12"/>
      <c r="W1237" s="12"/>
      <c r="X1237" s="12"/>
      <c r="Y1237" s="12"/>
      <c r="Z1237" s="12"/>
      <c r="AA1237" s="12"/>
      <c r="AB1237" s="12"/>
      <c r="AC1237" s="12"/>
      <c r="AD1237" s="12"/>
    </row>
    <row r="1238" spans="1:30" x14ac:dyDescent="0.35">
      <c r="A1238" s="28"/>
      <c r="B1238" s="20"/>
      <c r="D1238" s="30"/>
      <c r="E1238" s="30"/>
      <c r="F1238" s="30"/>
      <c r="G1238" s="30"/>
      <c r="H1238" s="30"/>
      <c r="I1238" s="30"/>
      <c r="J1238" s="30"/>
      <c r="K1238" s="30"/>
      <c r="L1238" s="30"/>
      <c r="M1238" s="30"/>
      <c r="N1238" s="30"/>
      <c r="O1238" s="30"/>
      <c r="P1238" s="30"/>
      <c r="Q1238" s="14"/>
      <c r="R1238" s="14"/>
      <c r="S1238" s="12"/>
      <c r="T1238" s="12"/>
      <c r="U1238" s="12"/>
      <c r="V1238" s="12"/>
      <c r="W1238" s="12"/>
      <c r="X1238" s="12"/>
      <c r="Y1238" s="12"/>
      <c r="Z1238" s="12"/>
      <c r="AA1238" s="12"/>
      <c r="AB1238" s="12"/>
      <c r="AC1238" s="12"/>
      <c r="AD1238" s="12"/>
    </row>
    <row r="1239" spans="1:30" x14ac:dyDescent="0.35">
      <c r="A1239" s="28"/>
      <c r="B1239" s="20"/>
      <c r="D1239" s="30"/>
      <c r="E1239" s="30"/>
      <c r="F1239" s="30"/>
      <c r="G1239" s="30"/>
      <c r="H1239" s="30"/>
      <c r="I1239" s="30"/>
      <c r="J1239" s="30"/>
      <c r="K1239" s="30"/>
      <c r="L1239" s="30"/>
      <c r="M1239" s="30"/>
      <c r="N1239" s="30"/>
      <c r="O1239" s="30"/>
      <c r="P1239" s="30"/>
      <c r="Q1239" s="14"/>
      <c r="R1239" s="14"/>
      <c r="S1239" s="12"/>
      <c r="T1239" s="12"/>
      <c r="U1239" s="12"/>
      <c r="V1239" s="12"/>
      <c r="W1239" s="12"/>
      <c r="X1239" s="12"/>
      <c r="Y1239" s="12"/>
      <c r="Z1239" s="12"/>
      <c r="AA1239" s="12"/>
      <c r="AB1239" s="12"/>
      <c r="AC1239" s="12"/>
      <c r="AD1239" s="12"/>
    </row>
    <row r="1240" spans="1:30" x14ac:dyDescent="0.35">
      <c r="A1240" s="28"/>
      <c r="B1240" s="20"/>
      <c r="D1240" s="31"/>
      <c r="E1240" s="31"/>
      <c r="F1240" s="31"/>
      <c r="G1240" s="31"/>
      <c r="H1240" s="31"/>
      <c r="I1240" s="31"/>
      <c r="J1240" s="31"/>
      <c r="K1240" s="31"/>
      <c r="L1240" s="31"/>
      <c r="M1240" s="31"/>
      <c r="N1240" s="31"/>
      <c r="O1240" s="31"/>
      <c r="P1240" s="31"/>
      <c r="Q1240" s="14"/>
      <c r="R1240" s="14"/>
      <c r="S1240" s="12"/>
      <c r="T1240" s="12"/>
      <c r="U1240" s="12"/>
      <c r="V1240" s="12"/>
      <c r="W1240" s="12"/>
      <c r="X1240" s="12"/>
      <c r="Y1240" s="12"/>
      <c r="Z1240" s="12"/>
      <c r="AA1240" s="12"/>
      <c r="AB1240" s="12"/>
      <c r="AC1240" s="12"/>
      <c r="AD1240" s="12"/>
    </row>
    <row r="1241" spans="1:30" x14ac:dyDescent="0.35">
      <c r="B1241" s="20"/>
      <c r="D1241" s="30"/>
      <c r="E1241" s="30"/>
      <c r="F1241" s="30"/>
      <c r="G1241" s="30"/>
      <c r="H1241" s="30"/>
      <c r="I1241" s="30"/>
      <c r="J1241" s="30"/>
      <c r="K1241" s="30"/>
      <c r="L1241" s="30"/>
      <c r="M1241" s="30"/>
      <c r="N1241" s="30"/>
      <c r="O1241" s="30"/>
      <c r="P1241" s="30"/>
      <c r="Q1241" s="5"/>
      <c r="R1241" s="21"/>
      <c r="S1241" s="12"/>
      <c r="T1241" s="12"/>
      <c r="U1241" s="12"/>
      <c r="V1241" s="12"/>
      <c r="W1241" s="12"/>
      <c r="X1241" s="12"/>
      <c r="Y1241" s="12"/>
      <c r="Z1241" s="12"/>
      <c r="AA1241" s="12"/>
      <c r="AB1241" s="12"/>
      <c r="AC1241" s="12"/>
      <c r="AD1241" s="12"/>
    </row>
    <row r="1242" spans="1:30" x14ac:dyDescent="0.35">
      <c r="B1242" s="20"/>
      <c r="D1242" s="30"/>
      <c r="E1242" s="30"/>
      <c r="F1242" s="30"/>
      <c r="G1242" s="30"/>
      <c r="H1242" s="30"/>
      <c r="I1242" s="30"/>
      <c r="J1242" s="30"/>
      <c r="K1242" s="30"/>
      <c r="L1242" s="30"/>
      <c r="M1242" s="30"/>
      <c r="N1242" s="30"/>
      <c r="O1242" s="30"/>
      <c r="P1242" s="30"/>
      <c r="Q1242" s="24"/>
      <c r="R1242" s="21"/>
      <c r="S1242" s="12"/>
      <c r="T1242" s="12"/>
      <c r="U1242" s="12"/>
      <c r="V1242" s="12"/>
      <c r="W1242" s="12"/>
      <c r="X1242" s="12"/>
      <c r="Y1242" s="12"/>
      <c r="Z1242" s="12"/>
      <c r="AA1242" s="12"/>
      <c r="AB1242" s="12"/>
      <c r="AC1242" s="12"/>
      <c r="AD1242" s="12"/>
    </row>
    <row r="1243" spans="1:30" x14ac:dyDescent="0.35">
      <c r="B1243" s="20"/>
      <c r="D1243" s="30"/>
      <c r="E1243" s="30"/>
      <c r="F1243" s="30"/>
      <c r="G1243" s="30"/>
      <c r="H1243" s="30"/>
      <c r="I1243" s="30"/>
      <c r="J1243" s="30"/>
      <c r="K1243" s="30"/>
      <c r="L1243" s="30"/>
      <c r="M1243" s="30"/>
      <c r="N1243" s="30"/>
      <c r="O1243" s="30"/>
      <c r="P1243" s="30"/>
      <c r="Q1243" s="24"/>
      <c r="R1243" s="21"/>
      <c r="S1243" s="12"/>
      <c r="T1243" s="12"/>
      <c r="U1243" s="12"/>
      <c r="V1243" s="12"/>
      <c r="W1243" s="12"/>
      <c r="X1243" s="12"/>
      <c r="Y1243" s="12"/>
      <c r="Z1243" s="12"/>
      <c r="AA1243" s="12"/>
      <c r="AB1243" s="12"/>
      <c r="AC1243" s="12"/>
      <c r="AD1243" s="12"/>
    </row>
    <row r="1244" spans="1:30" x14ac:dyDescent="0.35">
      <c r="B1244" s="20"/>
      <c r="D1244" s="30"/>
      <c r="E1244" s="30"/>
      <c r="F1244" s="30"/>
      <c r="G1244" s="30"/>
      <c r="H1244" s="30"/>
      <c r="I1244" s="30"/>
      <c r="J1244" s="30"/>
      <c r="K1244" s="30"/>
      <c r="L1244" s="30"/>
      <c r="M1244" s="30"/>
      <c r="N1244" s="30"/>
      <c r="O1244" s="30"/>
      <c r="P1244" s="30"/>
      <c r="Q1244" s="24"/>
      <c r="R1244" s="21"/>
      <c r="S1244" s="12"/>
      <c r="T1244" s="12"/>
      <c r="U1244" s="12"/>
      <c r="V1244" s="12"/>
      <c r="W1244" s="12"/>
      <c r="X1244" s="12"/>
      <c r="Y1244" s="12"/>
      <c r="Z1244" s="12"/>
      <c r="AA1244" s="12"/>
      <c r="AB1244" s="12"/>
      <c r="AC1244" s="12"/>
      <c r="AD1244" s="12"/>
    </row>
    <row r="1245" spans="1:30" x14ac:dyDescent="0.35">
      <c r="B1245" s="20"/>
      <c r="D1245" s="30"/>
      <c r="E1245" s="30"/>
      <c r="F1245" s="30"/>
      <c r="G1245" s="30"/>
      <c r="H1245" s="30"/>
      <c r="I1245" s="30"/>
      <c r="J1245" s="30"/>
      <c r="K1245" s="30"/>
      <c r="L1245" s="30"/>
      <c r="M1245" s="30"/>
      <c r="N1245" s="30"/>
      <c r="O1245" s="30"/>
      <c r="P1245" s="30"/>
      <c r="Q1245" s="24"/>
      <c r="R1245" s="21"/>
      <c r="S1245" s="12"/>
      <c r="T1245" s="12"/>
      <c r="U1245" s="12"/>
      <c r="V1245" s="12"/>
      <c r="W1245" s="12"/>
      <c r="X1245" s="12"/>
      <c r="Y1245" s="12"/>
      <c r="Z1245" s="12"/>
      <c r="AA1245" s="12"/>
      <c r="AB1245" s="12"/>
      <c r="AC1245" s="12"/>
      <c r="AD1245" s="12"/>
    </row>
    <row r="1246" spans="1:30" x14ac:dyDescent="0.35">
      <c r="B1246" s="20"/>
      <c r="D1246" s="30"/>
      <c r="E1246" s="30"/>
      <c r="F1246" s="30"/>
      <c r="G1246" s="30"/>
      <c r="H1246" s="30"/>
      <c r="I1246" s="30"/>
      <c r="J1246" s="30"/>
      <c r="K1246" s="30"/>
      <c r="L1246" s="30"/>
      <c r="M1246" s="30"/>
      <c r="N1246" s="30"/>
      <c r="O1246" s="30"/>
      <c r="P1246" s="30"/>
      <c r="Q1246" s="24"/>
      <c r="R1246" s="21"/>
      <c r="S1246" s="12"/>
      <c r="T1246" s="12"/>
      <c r="U1246" s="12"/>
      <c r="V1246" s="12"/>
      <c r="W1246" s="12"/>
      <c r="X1246" s="12"/>
      <c r="Y1246" s="12"/>
      <c r="Z1246" s="12"/>
      <c r="AA1246" s="12"/>
      <c r="AB1246" s="12"/>
      <c r="AC1246" s="12"/>
      <c r="AD1246" s="12"/>
    </row>
    <row r="1247" spans="1:30" x14ac:dyDescent="0.35">
      <c r="B1247" s="20"/>
      <c r="D1247" s="30"/>
      <c r="E1247" s="30"/>
      <c r="F1247" s="30"/>
      <c r="G1247" s="30"/>
      <c r="H1247" s="30"/>
      <c r="I1247" s="30"/>
      <c r="J1247" s="30"/>
      <c r="K1247" s="30"/>
      <c r="L1247" s="30"/>
      <c r="M1247" s="30"/>
      <c r="N1247" s="30"/>
      <c r="O1247" s="30"/>
      <c r="P1247" s="30"/>
      <c r="Q1247" s="24"/>
      <c r="R1247" s="21"/>
      <c r="S1247" s="12"/>
      <c r="T1247" s="12"/>
      <c r="U1247" s="12"/>
      <c r="V1247" s="12"/>
      <c r="W1247" s="12"/>
      <c r="X1247" s="12"/>
      <c r="Y1247" s="12"/>
      <c r="Z1247" s="12"/>
      <c r="AA1247" s="12"/>
      <c r="AB1247" s="12"/>
      <c r="AC1247" s="12"/>
      <c r="AD1247" s="12"/>
    </row>
    <row r="1248" spans="1:30" x14ac:dyDescent="0.35">
      <c r="B1248" s="20"/>
      <c r="D1248" s="31"/>
      <c r="E1248" s="31"/>
      <c r="F1248" s="31"/>
      <c r="G1248" s="31"/>
      <c r="H1248" s="31"/>
      <c r="I1248" s="31"/>
      <c r="J1248" s="31"/>
      <c r="K1248" s="31"/>
      <c r="L1248" s="31"/>
      <c r="M1248" s="31"/>
      <c r="N1248" s="31"/>
      <c r="O1248" s="31"/>
      <c r="P1248" s="31"/>
      <c r="Q1248" s="24"/>
      <c r="R1248" s="21"/>
      <c r="S1248" s="12"/>
      <c r="T1248" s="12"/>
      <c r="U1248" s="12"/>
      <c r="V1248" s="12"/>
      <c r="W1248" s="12"/>
      <c r="X1248" s="12"/>
      <c r="Y1248" s="12"/>
      <c r="Z1248" s="12"/>
      <c r="AA1248" s="12"/>
      <c r="AB1248" s="12"/>
      <c r="AC1248" s="12"/>
      <c r="AD1248" s="12"/>
    </row>
    <row r="1249" spans="2:30" x14ac:dyDescent="0.35">
      <c r="B1249" s="20"/>
      <c r="D1249" s="30"/>
      <c r="E1249" s="30"/>
      <c r="F1249" s="30"/>
      <c r="G1249" s="30"/>
      <c r="H1249" s="30"/>
      <c r="I1249" s="30"/>
      <c r="J1249" s="30"/>
      <c r="K1249" s="30"/>
      <c r="L1249" s="30"/>
      <c r="M1249" s="30"/>
      <c r="N1249" s="30"/>
      <c r="O1249" s="30"/>
      <c r="P1249" s="30"/>
      <c r="Q1249" s="24"/>
      <c r="R1249" s="21"/>
      <c r="S1249" s="12"/>
      <c r="T1249" s="12"/>
      <c r="U1249" s="12"/>
      <c r="V1249" s="12"/>
      <c r="W1249" s="12"/>
      <c r="X1249" s="12"/>
      <c r="Y1249" s="12"/>
      <c r="Z1249" s="12"/>
      <c r="AA1249" s="12"/>
      <c r="AB1249" s="12"/>
      <c r="AC1249" s="12"/>
      <c r="AD1249" s="12"/>
    </row>
    <row r="1250" spans="2:30" x14ac:dyDescent="0.35">
      <c r="B1250" s="20"/>
      <c r="D1250" s="30"/>
      <c r="E1250" s="30"/>
      <c r="F1250" s="30"/>
      <c r="G1250" s="30"/>
      <c r="H1250" s="30"/>
      <c r="I1250" s="30"/>
      <c r="J1250" s="30"/>
      <c r="K1250" s="30"/>
      <c r="L1250" s="30"/>
      <c r="M1250" s="30"/>
      <c r="N1250" s="30"/>
      <c r="O1250" s="30"/>
      <c r="P1250" s="30"/>
      <c r="Q1250" s="24"/>
      <c r="R1250" s="21"/>
      <c r="S1250" s="12"/>
      <c r="T1250" s="12"/>
      <c r="U1250" s="12"/>
      <c r="V1250" s="12"/>
      <c r="W1250" s="12"/>
      <c r="X1250" s="12"/>
      <c r="Y1250" s="12"/>
      <c r="Z1250" s="12"/>
      <c r="AA1250" s="12"/>
      <c r="AB1250" s="12"/>
      <c r="AC1250" s="12"/>
      <c r="AD1250" s="12"/>
    </row>
    <row r="1251" spans="2:30" x14ac:dyDescent="0.35">
      <c r="B1251" s="20"/>
      <c r="D1251" s="30"/>
      <c r="E1251" s="30"/>
      <c r="F1251" s="30"/>
      <c r="G1251" s="30"/>
      <c r="H1251" s="30"/>
      <c r="I1251" s="30"/>
      <c r="J1251" s="30"/>
      <c r="K1251" s="30"/>
      <c r="L1251" s="30"/>
      <c r="M1251" s="30"/>
      <c r="N1251" s="30"/>
      <c r="O1251" s="30"/>
      <c r="P1251" s="30"/>
      <c r="Q1251" s="24"/>
      <c r="R1251" s="21"/>
      <c r="S1251" s="12"/>
      <c r="T1251" s="12"/>
      <c r="U1251" s="12"/>
      <c r="V1251" s="12"/>
      <c r="W1251" s="12"/>
      <c r="X1251" s="12"/>
      <c r="Y1251" s="12"/>
      <c r="Z1251" s="12"/>
      <c r="AA1251" s="12"/>
      <c r="AB1251" s="12"/>
      <c r="AC1251" s="12"/>
      <c r="AD1251" s="12"/>
    </row>
    <row r="1252" spans="2:30" x14ac:dyDescent="0.35">
      <c r="B1252" s="20"/>
      <c r="D1252" s="30"/>
      <c r="E1252" s="30"/>
      <c r="F1252" s="30"/>
      <c r="G1252" s="30"/>
      <c r="H1252" s="30"/>
      <c r="I1252" s="30"/>
      <c r="J1252" s="30"/>
      <c r="K1252" s="30"/>
      <c r="L1252" s="30"/>
      <c r="M1252" s="30"/>
      <c r="N1252" s="30"/>
      <c r="O1252" s="30"/>
      <c r="P1252" s="30"/>
      <c r="Q1252" s="24"/>
      <c r="R1252" s="21"/>
      <c r="S1252" s="12"/>
      <c r="T1252" s="12"/>
      <c r="U1252" s="12"/>
      <c r="V1252" s="12"/>
      <c r="W1252" s="12"/>
      <c r="X1252" s="12"/>
      <c r="Y1252" s="12"/>
      <c r="Z1252" s="12"/>
      <c r="AA1252" s="12"/>
      <c r="AB1252" s="12"/>
      <c r="AC1252" s="12"/>
      <c r="AD1252" s="12"/>
    </row>
    <row r="1253" spans="2:30" x14ac:dyDescent="0.35">
      <c r="B1253" s="20"/>
      <c r="D1253" s="30"/>
      <c r="E1253" s="30"/>
      <c r="F1253" s="30"/>
      <c r="G1253" s="30"/>
      <c r="H1253" s="30"/>
      <c r="I1253" s="30"/>
      <c r="J1253" s="30"/>
      <c r="K1253" s="30"/>
      <c r="L1253" s="30"/>
      <c r="M1253" s="30"/>
      <c r="N1253" s="30"/>
      <c r="O1253" s="30"/>
      <c r="P1253" s="30"/>
      <c r="Q1253" s="24"/>
      <c r="R1253" s="21"/>
      <c r="S1253" s="12"/>
      <c r="T1253" s="12"/>
      <c r="U1253" s="12"/>
      <c r="V1253" s="12"/>
      <c r="W1253" s="12"/>
      <c r="X1253" s="12"/>
      <c r="Y1253" s="12"/>
      <c r="Z1253" s="12"/>
      <c r="AA1253" s="12"/>
      <c r="AB1253" s="12"/>
      <c r="AC1253" s="12"/>
      <c r="AD1253" s="12"/>
    </row>
    <row r="1254" spans="2:30" x14ac:dyDescent="0.35">
      <c r="B1254" s="20"/>
      <c r="D1254" s="30"/>
      <c r="E1254" s="30"/>
      <c r="F1254" s="30"/>
      <c r="G1254" s="30"/>
      <c r="H1254" s="30"/>
      <c r="I1254" s="30"/>
      <c r="J1254" s="30"/>
      <c r="K1254" s="30"/>
      <c r="L1254" s="30"/>
      <c r="M1254" s="30"/>
      <c r="N1254" s="30"/>
      <c r="O1254" s="30"/>
      <c r="P1254" s="30"/>
      <c r="Q1254" s="24"/>
      <c r="R1254" s="21"/>
      <c r="S1254" s="12"/>
      <c r="T1254" s="12"/>
      <c r="U1254" s="12"/>
      <c r="V1254" s="12"/>
      <c r="W1254" s="12"/>
      <c r="X1254" s="12"/>
      <c r="Y1254" s="12"/>
      <c r="Z1254" s="12"/>
      <c r="AA1254" s="12"/>
      <c r="AB1254" s="12"/>
      <c r="AC1254" s="12"/>
      <c r="AD1254" s="12"/>
    </row>
    <row r="1255" spans="2:30" x14ac:dyDescent="0.35">
      <c r="B1255" s="20"/>
      <c r="D1255" s="30"/>
      <c r="E1255" s="30"/>
      <c r="F1255" s="30"/>
      <c r="G1255" s="30"/>
      <c r="H1255" s="30"/>
      <c r="I1255" s="30"/>
      <c r="J1255" s="30"/>
      <c r="K1255" s="30"/>
      <c r="L1255" s="30"/>
      <c r="M1255" s="30"/>
      <c r="N1255" s="30"/>
      <c r="O1255" s="30"/>
      <c r="P1255" s="30"/>
      <c r="Q1255" s="24"/>
      <c r="R1255" s="21"/>
      <c r="S1255" s="12"/>
      <c r="T1255" s="12"/>
      <c r="U1255" s="12"/>
      <c r="V1255" s="12"/>
      <c r="W1255" s="12"/>
      <c r="X1255" s="12"/>
      <c r="Y1255" s="12"/>
      <c r="Z1255" s="12"/>
      <c r="AA1255" s="12"/>
      <c r="AB1255" s="12"/>
      <c r="AC1255" s="12"/>
      <c r="AD1255" s="12"/>
    </row>
    <row r="1256" spans="2:30" x14ac:dyDescent="0.35">
      <c r="B1256" s="20"/>
      <c r="D1256" s="31"/>
      <c r="E1256" s="31"/>
      <c r="F1256" s="31"/>
      <c r="G1256" s="31"/>
      <c r="H1256" s="31"/>
      <c r="I1256" s="31"/>
      <c r="J1256" s="31"/>
      <c r="K1256" s="31"/>
      <c r="L1256" s="31"/>
      <c r="M1256" s="31"/>
      <c r="N1256" s="31"/>
      <c r="O1256" s="31"/>
      <c r="P1256" s="31"/>
      <c r="Q1256" s="24"/>
      <c r="R1256" s="21"/>
      <c r="S1256" s="12"/>
      <c r="T1256" s="12"/>
      <c r="U1256" s="12"/>
      <c r="V1256" s="12"/>
      <c r="W1256" s="12"/>
      <c r="X1256" s="12"/>
      <c r="Y1256" s="12"/>
      <c r="Z1256" s="12"/>
      <c r="AA1256" s="12"/>
      <c r="AB1256" s="12"/>
      <c r="AC1256" s="12"/>
      <c r="AD1256" s="12"/>
    </row>
    <row r="1257" spans="2:30" x14ac:dyDescent="0.35">
      <c r="B1257" s="20"/>
      <c r="D1257" s="30"/>
      <c r="E1257" s="30"/>
      <c r="F1257" s="30"/>
      <c r="G1257" s="30"/>
      <c r="H1257" s="30"/>
      <c r="I1257" s="30"/>
      <c r="J1257" s="30"/>
      <c r="K1257" s="30"/>
      <c r="L1257" s="30"/>
      <c r="M1257" s="30"/>
      <c r="N1257" s="30"/>
      <c r="O1257" s="30"/>
      <c r="P1257" s="30"/>
      <c r="Q1257" s="24"/>
      <c r="R1257" s="14"/>
      <c r="S1257" s="12"/>
      <c r="T1257" s="12"/>
      <c r="U1257" s="12"/>
      <c r="V1257" s="12"/>
      <c r="W1257" s="12"/>
      <c r="X1257" s="12"/>
      <c r="Y1257" s="12"/>
      <c r="Z1257" s="12"/>
      <c r="AA1257" s="12"/>
      <c r="AB1257" s="12"/>
      <c r="AC1257" s="12"/>
      <c r="AD1257" s="12"/>
    </row>
    <row r="1258" spans="2:30" x14ac:dyDescent="0.35">
      <c r="B1258" s="20"/>
      <c r="D1258" s="30"/>
      <c r="E1258" s="30"/>
      <c r="F1258" s="30"/>
      <c r="G1258" s="30"/>
      <c r="H1258" s="30"/>
      <c r="I1258" s="30"/>
      <c r="J1258" s="30"/>
      <c r="K1258" s="30"/>
      <c r="L1258" s="30"/>
      <c r="M1258" s="30"/>
      <c r="N1258" s="30"/>
      <c r="O1258" s="30"/>
      <c r="P1258" s="30"/>
      <c r="Q1258" s="24"/>
      <c r="R1258" s="14"/>
      <c r="S1258" s="12"/>
      <c r="T1258" s="12"/>
      <c r="U1258" s="12"/>
      <c r="V1258" s="12"/>
      <c r="W1258" s="12"/>
      <c r="X1258" s="12"/>
      <c r="Y1258" s="12"/>
      <c r="Z1258" s="12"/>
      <c r="AA1258" s="12"/>
      <c r="AB1258" s="12"/>
      <c r="AC1258" s="12"/>
      <c r="AD1258" s="12"/>
    </row>
    <row r="1259" spans="2:30" x14ac:dyDescent="0.35">
      <c r="B1259" s="20"/>
      <c r="D1259" s="30"/>
      <c r="E1259" s="30"/>
      <c r="F1259" s="30"/>
      <c r="G1259" s="30"/>
      <c r="H1259" s="30"/>
      <c r="I1259" s="30"/>
      <c r="J1259" s="30"/>
      <c r="K1259" s="30"/>
      <c r="L1259" s="30"/>
      <c r="M1259" s="30"/>
      <c r="N1259" s="30"/>
      <c r="O1259" s="30"/>
      <c r="P1259" s="30"/>
      <c r="Q1259" s="24"/>
      <c r="R1259" s="14"/>
      <c r="S1259" s="12"/>
      <c r="T1259" s="12"/>
      <c r="U1259" s="12"/>
      <c r="V1259" s="12"/>
      <c r="W1259" s="12"/>
      <c r="X1259" s="12"/>
      <c r="Y1259" s="12"/>
      <c r="Z1259" s="12"/>
      <c r="AA1259" s="12"/>
      <c r="AB1259" s="12"/>
      <c r="AC1259" s="12"/>
      <c r="AD1259" s="12"/>
    </row>
    <row r="1260" spans="2:30" x14ac:dyDescent="0.35">
      <c r="B1260" s="20"/>
      <c r="D1260" s="30"/>
      <c r="E1260" s="30"/>
      <c r="F1260" s="30"/>
      <c r="G1260" s="30"/>
      <c r="H1260" s="30"/>
      <c r="I1260" s="30"/>
      <c r="J1260" s="30"/>
      <c r="K1260" s="30"/>
      <c r="L1260" s="30"/>
      <c r="M1260" s="30"/>
      <c r="N1260" s="30"/>
      <c r="O1260" s="30"/>
      <c r="P1260" s="30"/>
      <c r="Q1260" s="24"/>
      <c r="R1260" s="14"/>
      <c r="S1260" s="12"/>
      <c r="T1260" s="12"/>
      <c r="U1260" s="12"/>
      <c r="V1260" s="12"/>
      <c r="W1260" s="12"/>
      <c r="X1260" s="12"/>
      <c r="Y1260" s="12"/>
      <c r="Z1260" s="12"/>
      <c r="AA1260" s="12"/>
      <c r="AB1260" s="12"/>
      <c r="AC1260" s="12"/>
      <c r="AD1260" s="12"/>
    </row>
    <row r="1261" spans="2:30" x14ac:dyDescent="0.35">
      <c r="B1261" s="20"/>
      <c r="D1261" s="30"/>
      <c r="E1261" s="30"/>
      <c r="F1261" s="30"/>
      <c r="G1261" s="30"/>
      <c r="H1261" s="30"/>
      <c r="I1261" s="30"/>
      <c r="J1261" s="30"/>
      <c r="K1261" s="30"/>
      <c r="L1261" s="30"/>
      <c r="M1261" s="30"/>
      <c r="N1261" s="30"/>
      <c r="O1261" s="30"/>
      <c r="P1261" s="30"/>
      <c r="Q1261" s="24"/>
      <c r="R1261" s="14"/>
      <c r="S1261" s="12"/>
      <c r="T1261" s="12"/>
      <c r="U1261" s="12"/>
      <c r="V1261" s="12"/>
      <c r="W1261" s="12"/>
      <c r="X1261" s="12"/>
      <c r="Y1261" s="12"/>
      <c r="Z1261" s="12"/>
      <c r="AA1261" s="12"/>
      <c r="AB1261" s="12"/>
      <c r="AC1261" s="12"/>
      <c r="AD1261" s="12"/>
    </row>
    <row r="1262" spans="2:30" x14ac:dyDescent="0.35">
      <c r="B1262" s="20"/>
      <c r="D1262" s="30"/>
      <c r="E1262" s="30"/>
      <c r="F1262" s="30"/>
      <c r="G1262" s="30"/>
      <c r="H1262" s="30"/>
      <c r="I1262" s="30"/>
      <c r="J1262" s="30"/>
      <c r="K1262" s="30"/>
      <c r="L1262" s="30"/>
      <c r="M1262" s="30"/>
      <c r="N1262" s="30"/>
      <c r="O1262" s="30"/>
      <c r="P1262" s="30"/>
      <c r="Q1262" s="24"/>
      <c r="R1262" s="14"/>
      <c r="S1262" s="12"/>
      <c r="T1262" s="12"/>
      <c r="U1262" s="12"/>
      <c r="V1262" s="12"/>
      <c r="W1262" s="12"/>
      <c r="X1262" s="12"/>
      <c r="Y1262" s="12"/>
      <c r="Z1262" s="12"/>
      <c r="AA1262" s="12"/>
      <c r="AB1262" s="12"/>
      <c r="AC1262" s="12"/>
      <c r="AD1262" s="12"/>
    </row>
    <row r="1263" spans="2:30" x14ac:dyDescent="0.35">
      <c r="B1263" s="20"/>
      <c r="D1263" s="30"/>
      <c r="E1263" s="30"/>
      <c r="F1263" s="30"/>
      <c r="G1263" s="30"/>
      <c r="H1263" s="30"/>
      <c r="I1263" s="30"/>
      <c r="J1263" s="30"/>
      <c r="K1263" s="30"/>
      <c r="L1263" s="30"/>
      <c r="M1263" s="30"/>
      <c r="N1263" s="30"/>
      <c r="O1263" s="30"/>
      <c r="P1263" s="30"/>
      <c r="Q1263" s="24"/>
      <c r="R1263" s="14"/>
      <c r="S1263" s="12"/>
      <c r="T1263" s="12"/>
      <c r="U1263" s="12"/>
      <c r="V1263" s="12"/>
      <c r="W1263" s="12"/>
      <c r="X1263" s="12"/>
      <c r="Y1263" s="12"/>
      <c r="Z1263" s="12"/>
      <c r="AA1263" s="12"/>
      <c r="AB1263" s="12"/>
      <c r="AC1263" s="12"/>
      <c r="AD1263" s="12"/>
    </row>
    <row r="1264" spans="2:30" x14ac:dyDescent="0.35">
      <c r="B1264" s="20"/>
      <c r="D1264" s="31"/>
      <c r="E1264" s="31"/>
      <c r="F1264" s="31"/>
      <c r="G1264" s="31"/>
      <c r="H1264" s="31"/>
      <c r="I1264" s="31"/>
      <c r="J1264" s="31"/>
      <c r="K1264" s="31"/>
      <c r="L1264" s="31"/>
      <c r="M1264" s="31"/>
      <c r="N1264" s="31"/>
      <c r="O1264" s="31"/>
      <c r="P1264" s="31"/>
      <c r="Q1264" s="24"/>
      <c r="R1264" s="14"/>
      <c r="S1264" s="12"/>
      <c r="T1264" s="12"/>
      <c r="U1264" s="12"/>
      <c r="V1264" s="12"/>
      <c r="W1264" s="12"/>
      <c r="X1264" s="12"/>
      <c r="Y1264" s="12"/>
      <c r="Z1264" s="12"/>
      <c r="AA1264" s="12"/>
      <c r="AB1264" s="12"/>
      <c r="AC1264" s="12"/>
      <c r="AD1264" s="12"/>
    </row>
    <row r="1265" spans="2:30" x14ac:dyDescent="0.35">
      <c r="B1265" s="20"/>
      <c r="D1265" s="30"/>
      <c r="E1265" s="30"/>
      <c r="F1265" s="30"/>
      <c r="G1265" s="30"/>
      <c r="H1265" s="30"/>
      <c r="I1265" s="30"/>
      <c r="J1265" s="30"/>
      <c r="K1265" s="30"/>
      <c r="L1265" s="30"/>
      <c r="M1265" s="30"/>
      <c r="N1265" s="30"/>
      <c r="O1265" s="30"/>
      <c r="P1265" s="30"/>
      <c r="Q1265" s="24"/>
      <c r="R1265" s="14"/>
      <c r="S1265" s="12"/>
      <c r="T1265" s="12"/>
      <c r="U1265" s="12"/>
      <c r="V1265" s="12"/>
      <c r="W1265" s="12"/>
      <c r="X1265" s="12"/>
      <c r="Y1265" s="12"/>
      <c r="Z1265" s="12"/>
      <c r="AA1265" s="12"/>
      <c r="AB1265" s="12"/>
      <c r="AC1265" s="12"/>
      <c r="AD1265" s="12"/>
    </row>
    <row r="1266" spans="2:30" x14ac:dyDescent="0.35">
      <c r="B1266" s="20"/>
      <c r="D1266" s="30"/>
      <c r="E1266" s="30"/>
      <c r="F1266" s="30"/>
      <c r="G1266" s="30"/>
      <c r="H1266" s="30"/>
      <c r="I1266" s="30"/>
      <c r="J1266" s="30"/>
      <c r="K1266" s="30"/>
      <c r="L1266" s="30"/>
      <c r="M1266" s="30"/>
      <c r="N1266" s="30"/>
      <c r="O1266" s="30"/>
      <c r="P1266" s="30"/>
      <c r="Q1266" s="24"/>
      <c r="R1266" s="14"/>
      <c r="S1266" s="12"/>
      <c r="T1266" s="12"/>
      <c r="U1266" s="12"/>
      <c r="V1266" s="12"/>
      <c r="W1266" s="12"/>
      <c r="X1266" s="12"/>
      <c r="Y1266" s="12"/>
      <c r="Z1266" s="12"/>
      <c r="AA1266" s="12"/>
      <c r="AB1266" s="12"/>
      <c r="AC1266" s="12"/>
      <c r="AD1266" s="12"/>
    </row>
    <row r="1267" spans="2:30" x14ac:dyDescent="0.35">
      <c r="B1267" s="20"/>
      <c r="D1267" s="30"/>
      <c r="E1267" s="30"/>
      <c r="F1267" s="30"/>
      <c r="G1267" s="30"/>
      <c r="H1267" s="30"/>
      <c r="I1267" s="30"/>
      <c r="J1267" s="30"/>
      <c r="K1267" s="30"/>
      <c r="L1267" s="30"/>
      <c r="M1267" s="30"/>
      <c r="N1267" s="30"/>
      <c r="O1267" s="30"/>
      <c r="P1267" s="30"/>
      <c r="Q1267" s="24"/>
      <c r="R1267" s="21"/>
      <c r="S1267" s="12"/>
      <c r="T1267" s="12"/>
      <c r="U1267" s="12"/>
      <c r="V1267" s="12"/>
      <c r="W1267" s="12"/>
      <c r="X1267" s="12"/>
      <c r="Y1267" s="12"/>
      <c r="Z1267" s="12"/>
      <c r="AA1267" s="12"/>
      <c r="AB1267" s="12"/>
      <c r="AC1267" s="12"/>
      <c r="AD1267" s="12"/>
    </row>
    <row r="1268" spans="2:30" x14ac:dyDescent="0.35">
      <c r="B1268" s="20"/>
      <c r="D1268" s="30"/>
      <c r="E1268" s="30"/>
      <c r="F1268" s="30"/>
      <c r="G1268" s="30"/>
      <c r="H1268" s="30"/>
      <c r="I1268" s="30"/>
      <c r="J1268" s="30"/>
      <c r="K1268" s="30"/>
      <c r="L1268" s="30"/>
      <c r="M1268" s="30"/>
      <c r="N1268" s="30"/>
      <c r="O1268" s="30"/>
      <c r="P1268" s="30"/>
      <c r="Q1268" s="24"/>
      <c r="R1268" s="21"/>
      <c r="S1268" s="12"/>
      <c r="T1268" s="12"/>
      <c r="U1268" s="12"/>
      <c r="V1268" s="12"/>
      <c r="W1268" s="12"/>
      <c r="X1268" s="12"/>
      <c r="Y1268" s="12"/>
      <c r="Z1268" s="12"/>
      <c r="AA1268" s="12"/>
      <c r="AB1268" s="12"/>
      <c r="AC1268" s="12"/>
      <c r="AD1268" s="12"/>
    </row>
    <row r="1269" spans="2:30" x14ac:dyDescent="0.35">
      <c r="B1269" s="20"/>
      <c r="D1269" s="30"/>
      <c r="E1269" s="30"/>
      <c r="F1269" s="30"/>
      <c r="G1269" s="30"/>
      <c r="H1269" s="30"/>
      <c r="I1269" s="30"/>
      <c r="J1269" s="30"/>
      <c r="K1269" s="30"/>
      <c r="L1269" s="30"/>
      <c r="M1269" s="30"/>
      <c r="N1269" s="30"/>
      <c r="O1269" s="30"/>
      <c r="P1269" s="30"/>
      <c r="Q1269" s="24"/>
      <c r="R1269" s="21"/>
      <c r="S1269" s="12"/>
      <c r="T1269" s="12"/>
      <c r="U1269" s="12"/>
      <c r="V1269" s="12"/>
      <c r="W1269" s="12"/>
      <c r="X1269" s="12"/>
      <c r="Y1269" s="12"/>
      <c r="Z1269" s="12"/>
      <c r="AA1269" s="12"/>
      <c r="AB1269" s="12"/>
      <c r="AC1269" s="12"/>
      <c r="AD1269" s="12"/>
    </row>
    <row r="1270" spans="2:30" x14ac:dyDescent="0.35">
      <c r="B1270" s="20"/>
      <c r="D1270" s="30"/>
      <c r="E1270" s="30"/>
      <c r="F1270" s="30"/>
      <c r="G1270" s="30"/>
      <c r="H1270" s="30"/>
      <c r="I1270" s="30"/>
      <c r="J1270" s="30"/>
      <c r="K1270" s="30"/>
      <c r="L1270" s="30"/>
      <c r="M1270" s="30"/>
      <c r="N1270" s="30"/>
      <c r="O1270" s="30"/>
      <c r="P1270" s="30"/>
      <c r="Q1270" s="24"/>
      <c r="R1270" s="21"/>
      <c r="S1270" s="12"/>
      <c r="T1270" s="12"/>
      <c r="U1270" s="12"/>
      <c r="V1270" s="12"/>
      <c r="W1270" s="12"/>
      <c r="X1270" s="12"/>
      <c r="Y1270" s="12"/>
      <c r="Z1270" s="12"/>
      <c r="AA1270" s="12"/>
      <c r="AB1270" s="12"/>
      <c r="AC1270" s="12"/>
      <c r="AD1270" s="12"/>
    </row>
    <row r="1271" spans="2:30" x14ac:dyDescent="0.35">
      <c r="B1271" s="20"/>
      <c r="D1271" s="30"/>
      <c r="E1271" s="30"/>
      <c r="F1271" s="30"/>
      <c r="G1271" s="30"/>
      <c r="H1271" s="30"/>
      <c r="I1271" s="30"/>
      <c r="J1271" s="30"/>
      <c r="K1271" s="30"/>
      <c r="L1271" s="30"/>
      <c r="M1271" s="30"/>
      <c r="N1271" s="30"/>
      <c r="O1271" s="30"/>
      <c r="P1271" s="30"/>
      <c r="Q1271" s="24"/>
      <c r="R1271" s="21"/>
      <c r="S1271" s="12"/>
      <c r="T1271" s="12"/>
      <c r="U1271" s="12"/>
      <c r="V1271" s="12"/>
      <c r="W1271" s="12"/>
      <c r="X1271" s="12"/>
      <c r="Y1271" s="12"/>
      <c r="Z1271" s="12"/>
      <c r="AA1271" s="12"/>
      <c r="AB1271" s="12"/>
      <c r="AC1271" s="12"/>
      <c r="AD1271" s="12"/>
    </row>
    <row r="1272" spans="2:30" x14ac:dyDescent="0.35">
      <c r="B1272" s="20"/>
      <c r="D1272" s="31"/>
      <c r="E1272" s="31"/>
      <c r="F1272" s="31"/>
      <c r="G1272" s="31"/>
      <c r="H1272" s="31"/>
      <c r="I1272" s="31"/>
      <c r="J1272" s="31"/>
      <c r="K1272" s="31"/>
      <c r="L1272" s="31"/>
      <c r="M1272" s="31"/>
      <c r="N1272" s="31"/>
      <c r="O1272" s="31"/>
      <c r="P1272" s="31"/>
      <c r="Q1272" s="24"/>
      <c r="R1272" s="21"/>
      <c r="S1272" s="12"/>
      <c r="T1272" s="12"/>
      <c r="U1272" s="12"/>
      <c r="V1272" s="12"/>
      <c r="W1272" s="12"/>
      <c r="X1272" s="12"/>
      <c r="Y1272" s="12"/>
      <c r="Z1272" s="12"/>
      <c r="AA1272" s="12"/>
      <c r="AB1272" s="12"/>
      <c r="AC1272" s="12"/>
      <c r="AD1272" s="12"/>
    </row>
    <row r="1273" spans="2:30" x14ac:dyDescent="0.35">
      <c r="B1273" s="20"/>
      <c r="D1273" s="30"/>
      <c r="E1273" s="30"/>
      <c r="F1273" s="30"/>
      <c r="G1273" s="30"/>
      <c r="H1273" s="30"/>
      <c r="I1273" s="30"/>
      <c r="J1273" s="30"/>
      <c r="K1273" s="30"/>
      <c r="L1273" s="30"/>
      <c r="M1273" s="30"/>
      <c r="N1273" s="30"/>
      <c r="O1273" s="30"/>
      <c r="P1273" s="30"/>
      <c r="Q1273" s="24"/>
      <c r="R1273" s="21"/>
      <c r="S1273" s="12"/>
      <c r="T1273" s="12"/>
      <c r="U1273" s="12"/>
      <c r="V1273" s="12"/>
      <c r="W1273" s="12"/>
      <c r="X1273" s="12"/>
      <c r="Y1273" s="12"/>
      <c r="Z1273" s="12"/>
      <c r="AA1273" s="12"/>
      <c r="AB1273" s="12"/>
      <c r="AC1273" s="12"/>
      <c r="AD1273" s="12"/>
    </row>
    <row r="1274" spans="2:30" x14ac:dyDescent="0.35">
      <c r="B1274" s="20"/>
      <c r="D1274" s="30"/>
      <c r="E1274" s="30"/>
      <c r="F1274" s="30"/>
      <c r="G1274" s="30"/>
      <c r="H1274" s="30"/>
      <c r="I1274" s="30"/>
      <c r="J1274" s="30"/>
      <c r="K1274" s="30"/>
      <c r="L1274" s="30"/>
      <c r="M1274" s="30"/>
      <c r="N1274" s="30"/>
      <c r="O1274" s="30"/>
      <c r="P1274" s="30"/>
      <c r="Q1274" s="24"/>
      <c r="R1274" s="21"/>
      <c r="S1274" s="12"/>
      <c r="T1274" s="12"/>
      <c r="U1274" s="12"/>
      <c r="V1274" s="12"/>
      <c r="W1274" s="12"/>
      <c r="X1274" s="12"/>
      <c r="Y1274" s="12"/>
      <c r="Z1274" s="12"/>
      <c r="AA1274" s="12"/>
      <c r="AB1274" s="12"/>
      <c r="AC1274" s="12"/>
      <c r="AD1274" s="12"/>
    </row>
    <row r="1275" spans="2:30" x14ac:dyDescent="0.35">
      <c r="B1275" s="20"/>
      <c r="D1275" s="30"/>
      <c r="E1275" s="30"/>
      <c r="F1275" s="30"/>
      <c r="G1275" s="30"/>
      <c r="H1275" s="30"/>
      <c r="I1275" s="30"/>
      <c r="J1275" s="30"/>
      <c r="K1275" s="30"/>
      <c r="L1275" s="30"/>
      <c r="M1275" s="30"/>
      <c r="N1275" s="30"/>
      <c r="O1275" s="30"/>
      <c r="P1275" s="30"/>
      <c r="Q1275" s="24"/>
      <c r="R1275" s="21"/>
      <c r="S1275" s="12"/>
      <c r="T1275" s="12"/>
      <c r="U1275" s="12"/>
      <c r="V1275" s="12"/>
      <c r="W1275" s="12"/>
      <c r="X1275" s="12"/>
      <c r="Y1275" s="12"/>
      <c r="Z1275" s="12"/>
      <c r="AA1275" s="12"/>
      <c r="AB1275" s="12"/>
      <c r="AC1275" s="12"/>
      <c r="AD1275" s="12"/>
    </row>
    <row r="1276" spans="2:30" x14ac:dyDescent="0.35">
      <c r="B1276" s="20"/>
      <c r="D1276" s="30"/>
      <c r="E1276" s="30"/>
      <c r="F1276" s="30"/>
      <c r="G1276" s="30"/>
      <c r="H1276" s="30"/>
      <c r="I1276" s="30"/>
      <c r="J1276" s="30"/>
      <c r="K1276" s="30"/>
      <c r="L1276" s="30"/>
      <c r="M1276" s="30"/>
      <c r="N1276" s="30"/>
      <c r="O1276" s="30"/>
      <c r="P1276" s="30"/>
      <c r="Q1276" s="24"/>
      <c r="R1276" s="14"/>
      <c r="S1276" s="12"/>
      <c r="T1276" s="12"/>
      <c r="U1276" s="12"/>
      <c r="V1276" s="12"/>
      <c r="W1276" s="12"/>
      <c r="X1276" s="12"/>
      <c r="Y1276" s="12"/>
      <c r="Z1276" s="12"/>
      <c r="AA1276" s="12"/>
      <c r="AB1276" s="12"/>
      <c r="AC1276" s="12"/>
      <c r="AD1276" s="12"/>
    </row>
    <row r="1277" spans="2:30" x14ac:dyDescent="0.35">
      <c r="B1277" s="20"/>
      <c r="D1277" s="30"/>
      <c r="E1277" s="30"/>
      <c r="F1277" s="30"/>
      <c r="G1277" s="30"/>
      <c r="H1277" s="30"/>
      <c r="I1277" s="30"/>
      <c r="J1277" s="30"/>
      <c r="K1277" s="30"/>
      <c r="L1277" s="30"/>
      <c r="M1277" s="30"/>
      <c r="N1277" s="30"/>
      <c r="O1277" s="30"/>
      <c r="P1277" s="30"/>
      <c r="Q1277" s="24"/>
      <c r="R1277" s="14"/>
      <c r="S1277" s="12"/>
      <c r="T1277" s="12"/>
      <c r="U1277" s="12"/>
      <c r="V1277" s="12"/>
      <c r="W1277" s="12"/>
      <c r="X1277" s="12"/>
      <c r="Y1277" s="12"/>
      <c r="Z1277" s="12"/>
      <c r="AA1277" s="12"/>
      <c r="AB1277" s="12"/>
      <c r="AC1277" s="12"/>
      <c r="AD1277" s="12"/>
    </row>
    <row r="1278" spans="2:30" x14ac:dyDescent="0.35">
      <c r="B1278" s="20"/>
      <c r="D1278" s="30"/>
      <c r="E1278" s="30"/>
      <c r="F1278" s="30"/>
      <c r="G1278" s="30"/>
      <c r="H1278" s="30"/>
      <c r="I1278" s="30"/>
      <c r="J1278" s="30"/>
      <c r="K1278" s="30"/>
      <c r="L1278" s="30"/>
      <c r="M1278" s="30"/>
      <c r="N1278" s="30"/>
      <c r="O1278" s="30"/>
      <c r="P1278" s="30"/>
      <c r="Q1278" s="24"/>
      <c r="R1278" s="14"/>
      <c r="S1278" s="12"/>
      <c r="T1278" s="12"/>
      <c r="U1278" s="12"/>
      <c r="V1278" s="12"/>
      <c r="W1278" s="12"/>
      <c r="X1278" s="12"/>
      <c r="Y1278" s="12"/>
      <c r="Z1278" s="12"/>
      <c r="AA1278" s="12"/>
      <c r="AB1278" s="12"/>
      <c r="AC1278" s="12"/>
      <c r="AD1278" s="12"/>
    </row>
    <row r="1279" spans="2:30" x14ac:dyDescent="0.35">
      <c r="B1279" s="20"/>
      <c r="D1279" s="30"/>
      <c r="E1279" s="30"/>
      <c r="F1279" s="30"/>
      <c r="G1279" s="30"/>
      <c r="H1279" s="30"/>
      <c r="I1279" s="30"/>
      <c r="J1279" s="30"/>
      <c r="K1279" s="30"/>
      <c r="L1279" s="30"/>
      <c r="M1279" s="30"/>
      <c r="N1279" s="30"/>
      <c r="O1279" s="30"/>
      <c r="P1279" s="30"/>
      <c r="Q1279" s="24"/>
      <c r="R1279" s="14"/>
      <c r="S1279" s="12"/>
      <c r="T1279" s="12"/>
      <c r="U1279" s="12"/>
      <c r="V1279" s="12"/>
      <c r="W1279" s="12"/>
      <c r="X1279" s="12"/>
      <c r="Y1279" s="12"/>
      <c r="Z1279" s="12"/>
      <c r="AA1279" s="12"/>
      <c r="AB1279" s="12"/>
      <c r="AC1279" s="12"/>
      <c r="AD1279" s="12"/>
    </row>
    <row r="1280" spans="2:30" x14ac:dyDescent="0.35">
      <c r="B1280" s="20"/>
      <c r="D1280" s="31"/>
      <c r="E1280" s="31"/>
      <c r="F1280" s="31"/>
      <c r="G1280" s="31"/>
      <c r="H1280" s="31"/>
      <c r="I1280" s="31"/>
      <c r="J1280" s="31"/>
      <c r="K1280" s="31"/>
      <c r="L1280" s="31"/>
      <c r="M1280" s="31"/>
      <c r="N1280" s="31"/>
      <c r="O1280" s="31"/>
      <c r="P1280" s="31"/>
      <c r="Q1280" s="24"/>
      <c r="R1280" s="14"/>
      <c r="S1280" s="12"/>
      <c r="T1280" s="12"/>
      <c r="U1280" s="12"/>
      <c r="V1280" s="12"/>
      <c r="W1280" s="12"/>
      <c r="X1280" s="12"/>
      <c r="Y1280" s="12"/>
      <c r="Z1280" s="12"/>
      <c r="AA1280" s="12"/>
      <c r="AB1280" s="12"/>
      <c r="AC1280" s="12"/>
      <c r="AD1280" s="12"/>
    </row>
    <row r="1281" spans="2:30" x14ac:dyDescent="0.35">
      <c r="B1281" s="20"/>
      <c r="D1281" s="30"/>
      <c r="E1281" s="30"/>
      <c r="F1281" s="30"/>
      <c r="G1281" s="30"/>
      <c r="H1281" s="30"/>
      <c r="I1281" s="30"/>
      <c r="J1281" s="30"/>
      <c r="K1281" s="30"/>
      <c r="L1281" s="30"/>
      <c r="M1281" s="30"/>
      <c r="N1281" s="30"/>
      <c r="O1281" s="30"/>
      <c r="P1281" s="30"/>
      <c r="Q1281" s="24"/>
      <c r="R1281" s="14"/>
      <c r="S1281" s="12"/>
      <c r="T1281" s="12"/>
      <c r="U1281" s="12"/>
      <c r="V1281" s="12"/>
      <c r="W1281" s="12"/>
      <c r="X1281" s="12"/>
      <c r="Y1281" s="12"/>
      <c r="Z1281" s="12"/>
      <c r="AA1281" s="12"/>
      <c r="AB1281" s="12"/>
      <c r="AC1281" s="12"/>
      <c r="AD1281" s="12"/>
    </row>
    <row r="1282" spans="2:30" x14ac:dyDescent="0.35">
      <c r="B1282" s="20"/>
      <c r="D1282" s="30"/>
      <c r="E1282" s="30"/>
      <c r="F1282" s="30"/>
      <c r="G1282" s="30"/>
      <c r="H1282" s="30"/>
      <c r="I1282" s="30"/>
      <c r="J1282" s="30"/>
      <c r="K1282" s="30"/>
      <c r="L1282" s="30"/>
      <c r="M1282" s="30"/>
      <c r="N1282" s="30"/>
      <c r="O1282" s="30"/>
      <c r="P1282" s="30"/>
      <c r="Q1282" s="24"/>
      <c r="R1282" s="14"/>
      <c r="S1282" s="12"/>
      <c r="T1282" s="12"/>
      <c r="U1282" s="12"/>
      <c r="V1282" s="12"/>
      <c r="W1282" s="12"/>
      <c r="X1282" s="12"/>
      <c r="Y1282" s="12"/>
      <c r="Z1282" s="12"/>
      <c r="AA1282" s="12"/>
      <c r="AB1282" s="12"/>
      <c r="AC1282" s="12"/>
      <c r="AD1282" s="12"/>
    </row>
    <row r="1283" spans="2:30" x14ac:dyDescent="0.35">
      <c r="B1283" s="20"/>
      <c r="D1283" s="30"/>
      <c r="E1283" s="30"/>
      <c r="F1283" s="30"/>
      <c r="G1283" s="30"/>
      <c r="H1283" s="30"/>
      <c r="I1283" s="30"/>
      <c r="J1283" s="30"/>
      <c r="K1283" s="30"/>
      <c r="L1283" s="30"/>
      <c r="M1283" s="30"/>
      <c r="N1283" s="30"/>
      <c r="O1283" s="30"/>
      <c r="P1283" s="30"/>
      <c r="Q1283" s="24"/>
      <c r="R1283" s="14"/>
      <c r="S1283" s="12"/>
      <c r="T1283" s="12"/>
      <c r="U1283" s="12"/>
      <c r="V1283" s="12"/>
      <c r="W1283" s="12"/>
      <c r="X1283" s="12"/>
      <c r="Y1283" s="12"/>
      <c r="Z1283" s="12"/>
      <c r="AA1283" s="12"/>
      <c r="AB1283" s="12"/>
      <c r="AC1283" s="12"/>
      <c r="AD1283" s="12"/>
    </row>
    <row r="1284" spans="2:30" x14ac:dyDescent="0.35">
      <c r="B1284" s="20"/>
      <c r="D1284" s="30"/>
      <c r="E1284" s="30"/>
      <c r="F1284" s="30"/>
      <c r="G1284" s="30"/>
      <c r="H1284" s="30"/>
      <c r="I1284" s="30"/>
      <c r="J1284" s="30"/>
      <c r="K1284" s="30"/>
      <c r="L1284" s="30"/>
      <c r="M1284" s="30"/>
      <c r="N1284" s="30"/>
      <c r="O1284" s="30"/>
      <c r="P1284" s="30"/>
      <c r="Q1284" s="24"/>
      <c r="R1284" s="14"/>
      <c r="S1284" s="12"/>
      <c r="T1284" s="12"/>
      <c r="U1284" s="12"/>
      <c r="V1284" s="12"/>
      <c r="W1284" s="12"/>
      <c r="X1284" s="12"/>
      <c r="Y1284" s="12"/>
      <c r="Z1284" s="12"/>
      <c r="AA1284" s="12"/>
      <c r="AB1284" s="12"/>
      <c r="AC1284" s="12"/>
      <c r="AD1284" s="12"/>
    </row>
    <row r="1285" spans="2:30" x14ac:dyDescent="0.35">
      <c r="B1285" s="20"/>
      <c r="D1285" s="30"/>
      <c r="E1285" s="30"/>
      <c r="F1285" s="30"/>
      <c r="G1285" s="30"/>
      <c r="H1285" s="30"/>
      <c r="I1285" s="30"/>
      <c r="J1285" s="30"/>
      <c r="K1285" s="30"/>
      <c r="L1285" s="30"/>
      <c r="M1285" s="30"/>
      <c r="N1285" s="30"/>
      <c r="O1285" s="30"/>
      <c r="P1285" s="30"/>
      <c r="Q1285" s="24"/>
      <c r="R1285" s="14"/>
      <c r="S1285" s="12"/>
      <c r="T1285" s="12"/>
      <c r="U1285" s="12"/>
      <c r="V1285" s="12"/>
      <c r="W1285" s="12"/>
      <c r="X1285" s="12"/>
      <c r="Y1285" s="12"/>
      <c r="Z1285" s="12"/>
      <c r="AA1285" s="12"/>
      <c r="AB1285" s="12"/>
      <c r="AC1285" s="12"/>
      <c r="AD1285" s="12"/>
    </row>
    <row r="1286" spans="2:30" x14ac:dyDescent="0.35">
      <c r="B1286" s="20"/>
      <c r="D1286" s="30"/>
      <c r="E1286" s="30"/>
      <c r="F1286" s="30"/>
      <c r="G1286" s="30"/>
      <c r="H1286" s="30"/>
      <c r="I1286" s="30"/>
      <c r="J1286" s="30"/>
      <c r="K1286" s="30"/>
      <c r="L1286" s="30"/>
      <c r="M1286" s="30"/>
      <c r="N1286" s="30"/>
      <c r="O1286" s="30"/>
      <c r="P1286" s="30"/>
      <c r="Q1286" s="24"/>
      <c r="R1286" s="14"/>
      <c r="S1286" s="12"/>
      <c r="T1286" s="12"/>
      <c r="U1286" s="12"/>
      <c r="V1286" s="12"/>
      <c r="W1286" s="12"/>
      <c r="X1286" s="12"/>
      <c r="Y1286" s="12"/>
      <c r="Z1286" s="12"/>
      <c r="AA1286" s="12"/>
      <c r="AB1286" s="12"/>
      <c r="AC1286" s="12"/>
      <c r="AD1286" s="12"/>
    </row>
    <row r="1287" spans="2:30" x14ac:dyDescent="0.35">
      <c r="B1287" s="20"/>
      <c r="D1287" s="30"/>
      <c r="E1287" s="30"/>
      <c r="F1287" s="30"/>
      <c r="G1287" s="30"/>
      <c r="H1287" s="30"/>
      <c r="I1287" s="30"/>
      <c r="J1287" s="30"/>
      <c r="K1287" s="30"/>
      <c r="L1287" s="30"/>
      <c r="M1287" s="30"/>
      <c r="N1287" s="30"/>
      <c r="O1287" s="30"/>
      <c r="P1287" s="30"/>
      <c r="Q1287" s="24"/>
      <c r="R1287" s="14"/>
      <c r="S1287" s="12"/>
      <c r="T1287" s="12"/>
      <c r="U1287" s="12"/>
      <c r="V1287" s="12"/>
      <c r="W1287" s="12"/>
      <c r="X1287" s="12"/>
      <c r="Y1287" s="12"/>
      <c r="Z1287" s="12"/>
      <c r="AA1287" s="12"/>
      <c r="AB1287" s="12"/>
      <c r="AC1287" s="12"/>
      <c r="AD1287" s="12"/>
    </row>
    <row r="1288" spans="2:30" x14ac:dyDescent="0.35">
      <c r="B1288" s="20"/>
      <c r="D1288" s="31"/>
      <c r="E1288" s="31"/>
      <c r="F1288" s="31"/>
      <c r="G1288" s="31"/>
      <c r="H1288" s="31"/>
      <c r="I1288" s="31"/>
      <c r="J1288" s="31"/>
      <c r="K1288" s="31"/>
      <c r="L1288" s="31"/>
      <c r="M1288" s="31"/>
      <c r="N1288" s="31"/>
      <c r="O1288" s="31"/>
      <c r="P1288" s="31"/>
      <c r="Q1288" s="24"/>
      <c r="R1288" s="14"/>
      <c r="S1288" s="12"/>
      <c r="T1288" s="12"/>
      <c r="U1288" s="12"/>
      <c r="V1288" s="12"/>
      <c r="W1288" s="12"/>
      <c r="X1288" s="12"/>
      <c r="Y1288" s="12"/>
      <c r="Z1288" s="12"/>
      <c r="AA1288" s="12"/>
      <c r="AB1288" s="12"/>
      <c r="AC1288" s="12"/>
      <c r="AD1288" s="12"/>
    </row>
    <row r="1289" spans="2:30" x14ac:dyDescent="0.35">
      <c r="B1289" s="20"/>
      <c r="D1289" s="30"/>
      <c r="E1289" s="30"/>
      <c r="F1289" s="30"/>
      <c r="G1289" s="30"/>
      <c r="H1289" s="30"/>
      <c r="I1289" s="30"/>
      <c r="J1289" s="30"/>
      <c r="K1289" s="30"/>
      <c r="L1289" s="30"/>
      <c r="M1289" s="30"/>
      <c r="N1289" s="30"/>
      <c r="O1289" s="30"/>
      <c r="P1289" s="30"/>
      <c r="Q1289" s="24"/>
      <c r="R1289" s="14"/>
      <c r="S1289" s="12"/>
      <c r="T1289" s="12"/>
      <c r="U1289" s="12"/>
      <c r="V1289" s="12"/>
      <c r="W1289" s="12"/>
      <c r="X1289" s="12"/>
      <c r="Y1289" s="12"/>
      <c r="Z1289" s="12"/>
      <c r="AA1289" s="12"/>
      <c r="AB1289" s="12"/>
      <c r="AC1289" s="12"/>
      <c r="AD1289" s="12"/>
    </row>
    <row r="1290" spans="2:30" x14ac:dyDescent="0.35">
      <c r="B1290" s="20"/>
      <c r="D1290" s="30"/>
      <c r="E1290" s="30"/>
      <c r="F1290" s="30"/>
      <c r="G1290" s="30"/>
      <c r="H1290" s="30"/>
      <c r="I1290" s="30"/>
      <c r="J1290" s="30"/>
      <c r="K1290" s="30"/>
      <c r="L1290" s="30"/>
      <c r="M1290" s="30"/>
      <c r="N1290" s="30"/>
      <c r="O1290" s="30"/>
      <c r="P1290" s="30"/>
      <c r="Q1290" s="24"/>
      <c r="R1290" s="14"/>
      <c r="S1290" s="12"/>
      <c r="T1290" s="12"/>
      <c r="U1290" s="12"/>
      <c r="V1290" s="12"/>
      <c r="W1290" s="12"/>
      <c r="X1290" s="12"/>
      <c r="Y1290" s="12"/>
      <c r="Z1290" s="12"/>
      <c r="AA1290" s="12"/>
      <c r="AB1290" s="12"/>
      <c r="AC1290" s="12"/>
      <c r="AD1290" s="12"/>
    </row>
    <row r="1291" spans="2:30" x14ac:dyDescent="0.35">
      <c r="B1291" s="20"/>
      <c r="D1291" s="30"/>
      <c r="E1291" s="30"/>
      <c r="F1291" s="30"/>
      <c r="G1291" s="30"/>
      <c r="H1291" s="30"/>
      <c r="I1291" s="30"/>
      <c r="J1291" s="30"/>
      <c r="K1291" s="30"/>
      <c r="L1291" s="30"/>
      <c r="M1291" s="30"/>
      <c r="N1291" s="30"/>
      <c r="O1291" s="30"/>
      <c r="P1291" s="30"/>
      <c r="Q1291" s="24"/>
      <c r="R1291" s="21"/>
      <c r="S1291" s="12"/>
      <c r="T1291" s="12"/>
      <c r="U1291" s="12"/>
      <c r="V1291" s="12"/>
      <c r="W1291" s="12"/>
      <c r="X1291" s="12"/>
      <c r="Y1291" s="12"/>
      <c r="Z1291" s="12"/>
      <c r="AA1291" s="12"/>
      <c r="AB1291" s="12"/>
      <c r="AC1291" s="12"/>
      <c r="AD1291" s="12"/>
    </row>
    <row r="1292" spans="2:30" x14ac:dyDescent="0.35">
      <c r="B1292" s="20"/>
      <c r="D1292" s="30"/>
      <c r="E1292" s="30"/>
      <c r="F1292" s="30"/>
      <c r="G1292" s="30"/>
      <c r="H1292" s="30"/>
      <c r="I1292" s="30"/>
      <c r="J1292" s="30"/>
      <c r="K1292" s="30"/>
      <c r="L1292" s="30"/>
      <c r="M1292" s="30"/>
      <c r="N1292" s="30"/>
      <c r="O1292" s="30"/>
      <c r="P1292" s="30"/>
      <c r="Q1292" s="24"/>
      <c r="R1292" s="21"/>
      <c r="S1292" s="12"/>
      <c r="T1292" s="12"/>
      <c r="U1292" s="12"/>
      <c r="V1292" s="12"/>
      <c r="W1292" s="12"/>
      <c r="X1292" s="12"/>
      <c r="Y1292" s="12"/>
      <c r="Z1292" s="12"/>
      <c r="AA1292" s="12"/>
      <c r="AB1292" s="12"/>
      <c r="AC1292" s="12"/>
      <c r="AD1292" s="12"/>
    </row>
    <row r="1293" spans="2:30" x14ac:dyDescent="0.35">
      <c r="B1293" s="20"/>
      <c r="D1293" s="30"/>
      <c r="E1293" s="30"/>
      <c r="F1293" s="30"/>
      <c r="G1293" s="30"/>
      <c r="H1293" s="30"/>
      <c r="I1293" s="30"/>
      <c r="J1293" s="30"/>
      <c r="K1293" s="30"/>
      <c r="L1293" s="30"/>
      <c r="M1293" s="30"/>
      <c r="N1293" s="30"/>
      <c r="O1293" s="30"/>
      <c r="P1293" s="30"/>
      <c r="Q1293" s="24"/>
      <c r="R1293" s="21"/>
      <c r="S1293" s="12"/>
      <c r="T1293" s="12"/>
      <c r="U1293" s="12"/>
      <c r="V1293" s="12"/>
      <c r="W1293" s="12"/>
      <c r="X1293" s="12"/>
      <c r="Y1293" s="12"/>
      <c r="Z1293" s="12"/>
      <c r="AA1293" s="12"/>
      <c r="AB1293" s="12"/>
      <c r="AC1293" s="12"/>
      <c r="AD1293" s="12"/>
    </row>
    <row r="1294" spans="2:30" x14ac:dyDescent="0.35">
      <c r="B1294" s="20"/>
      <c r="D1294" s="30"/>
      <c r="E1294" s="30"/>
      <c r="F1294" s="30"/>
      <c r="G1294" s="30"/>
      <c r="H1294" s="30"/>
      <c r="I1294" s="30"/>
      <c r="J1294" s="30"/>
      <c r="K1294" s="30"/>
      <c r="L1294" s="30"/>
      <c r="M1294" s="30"/>
      <c r="N1294" s="30"/>
      <c r="O1294" s="30"/>
      <c r="P1294" s="30"/>
      <c r="Q1294" s="24"/>
      <c r="R1294" s="21"/>
      <c r="S1294" s="12"/>
      <c r="T1294" s="12"/>
      <c r="U1294" s="12"/>
      <c r="V1294" s="12"/>
      <c r="W1294" s="12"/>
      <c r="X1294" s="12"/>
      <c r="Y1294" s="12"/>
      <c r="Z1294" s="12"/>
      <c r="AA1294" s="12"/>
      <c r="AB1294" s="12"/>
      <c r="AC1294" s="12"/>
      <c r="AD1294" s="12"/>
    </row>
    <row r="1295" spans="2:30" x14ac:dyDescent="0.35">
      <c r="B1295" s="20"/>
      <c r="D1295" s="30"/>
      <c r="E1295" s="30"/>
      <c r="F1295" s="30"/>
      <c r="G1295" s="30"/>
      <c r="H1295" s="30"/>
      <c r="I1295" s="30"/>
      <c r="J1295" s="30"/>
      <c r="K1295" s="30"/>
      <c r="L1295" s="30"/>
      <c r="M1295" s="30"/>
      <c r="N1295" s="30"/>
      <c r="O1295" s="30"/>
      <c r="P1295" s="30"/>
      <c r="Q1295" s="24"/>
      <c r="R1295" s="21"/>
      <c r="S1295" s="12"/>
      <c r="T1295" s="12"/>
      <c r="U1295" s="12"/>
      <c r="V1295" s="12"/>
      <c r="W1295" s="12"/>
      <c r="X1295" s="12"/>
      <c r="Y1295" s="12"/>
      <c r="Z1295" s="12"/>
      <c r="AA1295" s="12"/>
      <c r="AB1295" s="12"/>
      <c r="AC1295" s="12"/>
      <c r="AD1295" s="12"/>
    </row>
    <row r="1296" spans="2:30" x14ac:dyDescent="0.35">
      <c r="B1296" s="20"/>
      <c r="D1296" s="31"/>
      <c r="E1296" s="31"/>
      <c r="F1296" s="31"/>
      <c r="G1296" s="31"/>
      <c r="H1296" s="31"/>
      <c r="I1296" s="31"/>
      <c r="J1296" s="31"/>
      <c r="K1296" s="31"/>
      <c r="L1296" s="31"/>
      <c r="M1296" s="31"/>
      <c r="N1296" s="31"/>
      <c r="O1296" s="31"/>
      <c r="P1296" s="31"/>
      <c r="Q1296" s="24"/>
      <c r="R1296" s="21"/>
      <c r="S1296" s="12"/>
      <c r="T1296" s="12"/>
      <c r="U1296" s="12"/>
      <c r="V1296" s="12"/>
      <c r="W1296" s="12"/>
      <c r="X1296" s="12"/>
      <c r="Y1296" s="12"/>
      <c r="Z1296" s="12"/>
      <c r="AA1296" s="12"/>
      <c r="AB1296" s="12"/>
      <c r="AC1296" s="12"/>
      <c r="AD1296" s="12"/>
    </row>
    <row r="1297" spans="2:30" x14ac:dyDescent="0.35">
      <c r="B1297" s="20"/>
      <c r="D1297" s="30"/>
      <c r="E1297" s="30"/>
      <c r="F1297" s="30"/>
      <c r="G1297" s="30"/>
      <c r="H1297" s="30"/>
      <c r="I1297" s="30"/>
      <c r="J1297" s="30"/>
      <c r="K1297" s="30"/>
      <c r="L1297" s="30"/>
      <c r="M1297" s="30"/>
      <c r="N1297" s="30"/>
      <c r="O1297" s="30"/>
      <c r="P1297" s="30"/>
      <c r="Q1297" s="24"/>
      <c r="R1297" s="21"/>
      <c r="S1297" s="12"/>
      <c r="T1297" s="12"/>
      <c r="U1297" s="12"/>
      <c r="V1297" s="12"/>
      <c r="W1297" s="12"/>
      <c r="X1297" s="12"/>
      <c r="Y1297" s="12"/>
      <c r="Z1297" s="12"/>
      <c r="AA1297" s="12"/>
      <c r="AB1297" s="12"/>
      <c r="AC1297" s="12"/>
      <c r="AD1297" s="12"/>
    </row>
    <row r="1298" spans="2:30" x14ac:dyDescent="0.35">
      <c r="B1298" s="20"/>
      <c r="D1298" s="30"/>
      <c r="E1298" s="30"/>
      <c r="F1298" s="30"/>
      <c r="G1298" s="30"/>
      <c r="H1298" s="30"/>
      <c r="I1298" s="30"/>
      <c r="J1298" s="30"/>
      <c r="K1298" s="30"/>
      <c r="L1298" s="30"/>
      <c r="M1298" s="30"/>
      <c r="N1298" s="30"/>
      <c r="O1298" s="30"/>
      <c r="P1298" s="30"/>
      <c r="Q1298" s="24"/>
      <c r="R1298" s="21"/>
      <c r="S1298" s="12"/>
      <c r="T1298" s="12"/>
      <c r="U1298" s="12"/>
      <c r="V1298" s="12"/>
      <c r="W1298" s="12"/>
      <c r="X1298" s="12"/>
      <c r="Y1298" s="12"/>
      <c r="Z1298" s="12"/>
      <c r="AA1298" s="12"/>
      <c r="AB1298" s="12"/>
      <c r="AC1298" s="12"/>
      <c r="AD1298" s="12"/>
    </row>
    <row r="1299" spans="2:30" x14ac:dyDescent="0.35">
      <c r="B1299" s="20"/>
      <c r="D1299" s="30"/>
      <c r="E1299" s="30"/>
      <c r="F1299" s="30"/>
      <c r="G1299" s="30"/>
      <c r="H1299" s="30"/>
      <c r="I1299" s="30"/>
      <c r="J1299" s="30"/>
      <c r="K1299" s="30"/>
      <c r="L1299" s="30"/>
      <c r="M1299" s="30"/>
      <c r="N1299" s="30"/>
      <c r="O1299" s="30"/>
      <c r="P1299" s="30"/>
      <c r="Q1299" s="24"/>
      <c r="R1299" s="21"/>
      <c r="S1299" s="12"/>
      <c r="T1299" s="12"/>
      <c r="U1299" s="12"/>
      <c r="V1299" s="12"/>
      <c r="W1299" s="12"/>
      <c r="X1299" s="12"/>
      <c r="Y1299" s="12"/>
      <c r="Z1299" s="12"/>
      <c r="AA1299" s="12"/>
      <c r="AB1299" s="12"/>
      <c r="AC1299" s="12"/>
      <c r="AD1299" s="12"/>
    </row>
    <row r="1300" spans="2:30" x14ac:dyDescent="0.35">
      <c r="B1300" s="20"/>
      <c r="D1300" s="30"/>
      <c r="E1300" s="30"/>
      <c r="F1300" s="30"/>
      <c r="G1300" s="30"/>
      <c r="H1300" s="30"/>
      <c r="I1300" s="30"/>
      <c r="J1300" s="30"/>
      <c r="K1300" s="30"/>
      <c r="L1300" s="30"/>
      <c r="M1300" s="30"/>
      <c r="N1300" s="30"/>
      <c r="O1300" s="30"/>
      <c r="P1300" s="30"/>
      <c r="Q1300" s="24"/>
      <c r="R1300" s="21"/>
      <c r="S1300" s="12"/>
      <c r="T1300" s="12"/>
      <c r="U1300" s="12"/>
      <c r="V1300" s="12"/>
      <c r="W1300" s="12"/>
      <c r="X1300" s="12"/>
      <c r="Y1300" s="12"/>
      <c r="Z1300" s="12"/>
      <c r="AA1300" s="12"/>
      <c r="AB1300" s="12"/>
      <c r="AC1300" s="12"/>
      <c r="AD1300" s="12"/>
    </row>
    <row r="1301" spans="2:30" x14ac:dyDescent="0.35">
      <c r="B1301" s="20"/>
      <c r="D1301" s="30"/>
      <c r="E1301" s="30"/>
      <c r="F1301" s="30"/>
      <c r="G1301" s="30"/>
      <c r="H1301" s="30"/>
      <c r="I1301" s="30"/>
      <c r="J1301" s="30"/>
      <c r="K1301" s="30"/>
      <c r="L1301" s="30"/>
      <c r="M1301" s="30"/>
      <c r="N1301" s="30"/>
      <c r="O1301" s="30"/>
      <c r="P1301" s="30"/>
      <c r="Q1301" s="24"/>
      <c r="R1301" s="21"/>
      <c r="S1301" s="12"/>
      <c r="T1301" s="12"/>
      <c r="U1301" s="12"/>
      <c r="V1301" s="12"/>
      <c r="W1301" s="12"/>
      <c r="X1301" s="12"/>
      <c r="Y1301" s="12"/>
      <c r="Z1301" s="12"/>
      <c r="AA1301" s="12"/>
      <c r="AB1301" s="12"/>
      <c r="AC1301" s="12"/>
      <c r="AD1301" s="12"/>
    </row>
    <row r="1302" spans="2:30" x14ac:dyDescent="0.35">
      <c r="B1302" s="20"/>
      <c r="D1302" s="30"/>
      <c r="E1302" s="30"/>
      <c r="F1302" s="30"/>
      <c r="G1302" s="30"/>
      <c r="H1302" s="30"/>
      <c r="I1302" s="30"/>
      <c r="J1302" s="30"/>
      <c r="K1302" s="30"/>
      <c r="L1302" s="30"/>
      <c r="M1302" s="30"/>
      <c r="N1302" s="30"/>
      <c r="O1302" s="30"/>
      <c r="P1302" s="30"/>
      <c r="Q1302" s="24"/>
      <c r="R1302" s="21"/>
      <c r="S1302" s="12"/>
      <c r="T1302" s="12"/>
      <c r="U1302" s="12"/>
      <c r="V1302" s="12"/>
      <c r="W1302" s="12"/>
      <c r="X1302" s="12"/>
      <c r="Y1302" s="12"/>
      <c r="Z1302" s="12"/>
      <c r="AA1302" s="12"/>
      <c r="AB1302" s="12"/>
      <c r="AC1302" s="12"/>
      <c r="AD1302" s="12"/>
    </row>
    <row r="1303" spans="2:30" x14ac:dyDescent="0.35">
      <c r="B1303" s="20"/>
      <c r="D1303" s="30"/>
      <c r="E1303" s="30"/>
      <c r="F1303" s="30"/>
      <c r="G1303" s="30"/>
      <c r="H1303" s="30"/>
      <c r="I1303" s="30"/>
      <c r="J1303" s="30"/>
      <c r="K1303" s="30"/>
      <c r="L1303" s="30"/>
      <c r="M1303" s="30"/>
      <c r="N1303" s="30"/>
      <c r="O1303" s="30"/>
      <c r="P1303" s="30"/>
      <c r="Q1303" s="24"/>
      <c r="R1303" s="21"/>
      <c r="S1303" s="12"/>
      <c r="T1303" s="12"/>
      <c r="U1303" s="12"/>
      <c r="V1303" s="12"/>
      <c r="W1303" s="12"/>
      <c r="X1303" s="12"/>
      <c r="Y1303" s="12"/>
      <c r="Z1303" s="12"/>
      <c r="AA1303" s="12"/>
      <c r="AB1303" s="12"/>
      <c r="AC1303" s="12"/>
      <c r="AD1303" s="12"/>
    </row>
    <row r="1304" spans="2:30" x14ac:dyDescent="0.35">
      <c r="B1304" s="20"/>
      <c r="D1304" s="31"/>
      <c r="E1304" s="31"/>
      <c r="F1304" s="31"/>
      <c r="G1304" s="31"/>
      <c r="H1304" s="31"/>
      <c r="I1304" s="31"/>
      <c r="J1304" s="31"/>
      <c r="K1304" s="31"/>
      <c r="L1304" s="31"/>
      <c r="M1304" s="31"/>
      <c r="N1304" s="31"/>
      <c r="O1304" s="31"/>
      <c r="P1304" s="31"/>
      <c r="Q1304" s="24"/>
      <c r="R1304" s="21"/>
      <c r="S1304" s="12"/>
      <c r="T1304" s="12"/>
      <c r="U1304" s="12"/>
      <c r="V1304" s="12"/>
      <c r="W1304" s="12"/>
      <c r="X1304" s="12"/>
      <c r="Y1304" s="12"/>
      <c r="Z1304" s="12"/>
      <c r="AA1304" s="12"/>
      <c r="AB1304" s="12"/>
      <c r="AC1304" s="12"/>
      <c r="AD1304" s="12"/>
    </row>
    <row r="1305" spans="2:30" x14ac:dyDescent="0.35">
      <c r="B1305" s="20"/>
      <c r="D1305" s="30"/>
      <c r="E1305" s="30"/>
      <c r="F1305" s="30"/>
      <c r="G1305" s="30"/>
      <c r="H1305" s="30"/>
      <c r="I1305" s="30"/>
      <c r="J1305" s="30"/>
      <c r="K1305" s="30"/>
      <c r="L1305" s="30"/>
      <c r="M1305" s="30"/>
      <c r="N1305" s="30"/>
      <c r="O1305" s="30"/>
      <c r="P1305" s="30"/>
      <c r="Q1305" s="24"/>
      <c r="R1305" s="21"/>
      <c r="S1305" s="12"/>
      <c r="T1305" s="12"/>
      <c r="U1305" s="12"/>
      <c r="V1305" s="12"/>
      <c r="W1305" s="12"/>
      <c r="X1305" s="12"/>
      <c r="Y1305" s="12"/>
      <c r="Z1305" s="12"/>
      <c r="AA1305" s="12"/>
      <c r="AB1305" s="12"/>
      <c r="AC1305" s="12"/>
      <c r="AD1305" s="12"/>
    </row>
    <row r="1306" spans="2:30" x14ac:dyDescent="0.35">
      <c r="B1306" s="20"/>
      <c r="D1306" s="30"/>
      <c r="E1306" s="30"/>
      <c r="F1306" s="30"/>
      <c r="G1306" s="30"/>
      <c r="H1306" s="30"/>
      <c r="I1306" s="30"/>
      <c r="J1306" s="30"/>
      <c r="K1306" s="30"/>
      <c r="L1306" s="30"/>
      <c r="M1306" s="30"/>
      <c r="N1306" s="30"/>
      <c r="O1306" s="30"/>
      <c r="P1306" s="30"/>
      <c r="Q1306" s="24"/>
      <c r="R1306" s="21"/>
      <c r="S1306" s="12"/>
      <c r="T1306" s="12"/>
      <c r="U1306" s="12"/>
      <c r="V1306" s="12"/>
      <c r="W1306" s="12"/>
      <c r="X1306" s="12"/>
      <c r="Y1306" s="12"/>
      <c r="Z1306" s="12"/>
      <c r="AA1306" s="12"/>
      <c r="AB1306" s="12"/>
      <c r="AC1306" s="12"/>
      <c r="AD1306" s="12"/>
    </row>
    <row r="1307" spans="2:30" x14ac:dyDescent="0.35">
      <c r="B1307" s="20"/>
      <c r="D1307" s="30"/>
      <c r="E1307" s="30"/>
      <c r="F1307" s="30"/>
      <c r="G1307" s="30"/>
      <c r="H1307" s="30"/>
      <c r="I1307" s="30"/>
      <c r="J1307" s="30"/>
      <c r="K1307" s="30"/>
      <c r="L1307" s="30"/>
      <c r="M1307" s="30"/>
      <c r="N1307" s="30"/>
      <c r="O1307" s="30"/>
      <c r="P1307" s="30"/>
      <c r="Q1307" s="24"/>
      <c r="R1307" s="14"/>
      <c r="S1307" s="12"/>
      <c r="T1307" s="12"/>
      <c r="U1307" s="12"/>
      <c r="V1307" s="12"/>
      <c r="W1307" s="12"/>
      <c r="X1307" s="12"/>
      <c r="Y1307" s="12"/>
      <c r="Z1307" s="12"/>
      <c r="AA1307" s="12"/>
      <c r="AB1307" s="12"/>
      <c r="AC1307" s="12"/>
      <c r="AD1307" s="12"/>
    </row>
    <row r="1308" spans="2:30" x14ac:dyDescent="0.35">
      <c r="B1308" s="20"/>
      <c r="D1308" s="30"/>
      <c r="E1308" s="30"/>
      <c r="F1308" s="30"/>
      <c r="G1308" s="30"/>
      <c r="H1308" s="30"/>
      <c r="I1308" s="30"/>
      <c r="J1308" s="30"/>
      <c r="K1308" s="30"/>
      <c r="L1308" s="30"/>
      <c r="M1308" s="30"/>
      <c r="N1308" s="30"/>
      <c r="O1308" s="30"/>
      <c r="P1308" s="30"/>
      <c r="Q1308" s="24"/>
      <c r="R1308" s="14"/>
      <c r="S1308" s="12"/>
      <c r="T1308" s="12"/>
      <c r="U1308" s="12"/>
      <c r="V1308" s="12"/>
      <c r="W1308" s="12"/>
      <c r="X1308" s="12"/>
      <c r="Y1308" s="12"/>
      <c r="Z1308" s="12"/>
      <c r="AA1308" s="12"/>
      <c r="AB1308" s="12"/>
      <c r="AC1308" s="12"/>
      <c r="AD1308" s="12"/>
    </row>
    <row r="1309" spans="2:30" x14ac:dyDescent="0.35">
      <c r="B1309" s="20"/>
      <c r="D1309" s="30"/>
      <c r="E1309" s="30"/>
      <c r="F1309" s="30"/>
      <c r="G1309" s="30"/>
      <c r="H1309" s="30"/>
      <c r="I1309" s="30"/>
      <c r="J1309" s="30"/>
      <c r="K1309" s="30"/>
      <c r="L1309" s="30"/>
      <c r="M1309" s="30"/>
      <c r="N1309" s="30"/>
      <c r="O1309" s="30"/>
      <c r="P1309" s="30"/>
      <c r="Q1309" s="24"/>
      <c r="R1309" s="14"/>
      <c r="S1309" s="12"/>
      <c r="T1309" s="12"/>
      <c r="U1309" s="12"/>
      <c r="V1309" s="12"/>
      <c r="W1309" s="12"/>
      <c r="X1309" s="12"/>
      <c r="Y1309" s="12"/>
      <c r="Z1309" s="12"/>
      <c r="AA1309" s="12"/>
      <c r="AB1309" s="12"/>
      <c r="AC1309" s="12"/>
      <c r="AD1309" s="12"/>
    </row>
    <row r="1310" spans="2:30" x14ac:dyDescent="0.35">
      <c r="B1310" s="20"/>
      <c r="D1310" s="30"/>
      <c r="E1310" s="30"/>
      <c r="F1310" s="30"/>
      <c r="G1310" s="30"/>
      <c r="H1310" s="30"/>
      <c r="I1310" s="30"/>
      <c r="J1310" s="30"/>
      <c r="K1310" s="30"/>
      <c r="L1310" s="30"/>
      <c r="M1310" s="30"/>
      <c r="N1310" s="30"/>
      <c r="O1310" s="30"/>
      <c r="P1310" s="30"/>
      <c r="Q1310" s="24"/>
      <c r="R1310" s="14"/>
      <c r="S1310" s="12"/>
      <c r="T1310" s="12"/>
      <c r="U1310" s="12"/>
      <c r="V1310" s="12"/>
      <c r="W1310" s="12"/>
      <c r="X1310" s="12"/>
      <c r="Y1310" s="12"/>
      <c r="Z1310" s="12"/>
      <c r="AA1310" s="12"/>
      <c r="AB1310" s="12"/>
      <c r="AC1310" s="12"/>
      <c r="AD1310" s="12"/>
    </row>
    <row r="1311" spans="2:30" x14ac:dyDescent="0.35">
      <c r="B1311" s="20"/>
      <c r="D1311" s="30"/>
      <c r="E1311" s="30"/>
      <c r="F1311" s="30"/>
      <c r="G1311" s="30"/>
      <c r="H1311" s="30"/>
      <c r="I1311" s="30"/>
      <c r="J1311" s="30"/>
      <c r="K1311" s="30"/>
      <c r="L1311" s="30"/>
      <c r="M1311" s="30"/>
      <c r="N1311" s="30"/>
      <c r="O1311" s="30"/>
      <c r="P1311" s="30"/>
      <c r="Q1311" s="24"/>
      <c r="R1311" s="14"/>
      <c r="S1311" s="12"/>
      <c r="T1311" s="12"/>
      <c r="U1311" s="12"/>
      <c r="V1311" s="12"/>
      <c r="W1311" s="12"/>
      <c r="X1311" s="12"/>
      <c r="Y1311" s="12"/>
      <c r="Z1311" s="12"/>
      <c r="AA1311" s="12"/>
      <c r="AB1311" s="12"/>
      <c r="AC1311" s="12"/>
      <c r="AD1311" s="12"/>
    </row>
    <row r="1312" spans="2:30" x14ac:dyDescent="0.35">
      <c r="B1312" s="20"/>
      <c r="D1312" s="31"/>
      <c r="E1312" s="31"/>
      <c r="F1312" s="31"/>
      <c r="G1312" s="31"/>
      <c r="H1312" s="31"/>
      <c r="I1312" s="31"/>
      <c r="J1312" s="31"/>
      <c r="K1312" s="31"/>
      <c r="L1312" s="31"/>
      <c r="M1312" s="31"/>
      <c r="N1312" s="31"/>
      <c r="O1312" s="31"/>
      <c r="P1312" s="31"/>
      <c r="Q1312" s="24"/>
      <c r="R1312" s="14"/>
      <c r="S1312" s="12"/>
      <c r="T1312" s="12"/>
      <c r="U1312" s="12"/>
      <c r="V1312" s="12"/>
      <c r="W1312" s="12"/>
      <c r="X1312" s="12"/>
      <c r="Y1312" s="12"/>
      <c r="Z1312" s="12"/>
      <c r="AA1312" s="12"/>
      <c r="AB1312" s="12"/>
      <c r="AC1312" s="12"/>
      <c r="AD1312" s="12"/>
    </row>
    <row r="1313" spans="2:30" x14ac:dyDescent="0.35">
      <c r="B1313" s="20"/>
      <c r="D1313" s="30"/>
      <c r="E1313" s="30"/>
      <c r="F1313" s="30"/>
      <c r="G1313" s="30"/>
      <c r="H1313" s="30"/>
      <c r="I1313" s="30"/>
      <c r="J1313" s="30"/>
      <c r="K1313" s="30"/>
      <c r="L1313" s="30"/>
      <c r="M1313" s="30"/>
      <c r="N1313" s="30"/>
      <c r="O1313" s="30"/>
      <c r="P1313" s="30"/>
      <c r="Q1313" s="24"/>
      <c r="R1313" s="14"/>
      <c r="S1313" s="12"/>
      <c r="T1313" s="12"/>
      <c r="U1313" s="12"/>
      <c r="V1313" s="12"/>
      <c r="W1313" s="12"/>
      <c r="X1313" s="12"/>
      <c r="Y1313" s="12"/>
      <c r="Z1313" s="12"/>
      <c r="AA1313" s="12"/>
      <c r="AB1313" s="12"/>
      <c r="AC1313" s="12"/>
      <c r="AD1313" s="12"/>
    </row>
    <row r="1314" spans="2:30" x14ac:dyDescent="0.35">
      <c r="B1314" s="20"/>
      <c r="D1314" s="30"/>
      <c r="E1314" s="30"/>
      <c r="F1314" s="30"/>
      <c r="G1314" s="30"/>
      <c r="H1314" s="30"/>
      <c r="I1314" s="30"/>
      <c r="J1314" s="30"/>
      <c r="K1314" s="30"/>
      <c r="L1314" s="30"/>
      <c r="M1314" s="30"/>
      <c r="N1314" s="30"/>
      <c r="O1314" s="30"/>
      <c r="P1314" s="30"/>
      <c r="Q1314" s="24"/>
      <c r="R1314" s="21"/>
      <c r="S1314" s="12"/>
      <c r="T1314" s="12"/>
      <c r="U1314" s="12"/>
      <c r="V1314" s="12"/>
      <c r="W1314" s="12"/>
      <c r="X1314" s="12"/>
      <c r="Y1314" s="12"/>
      <c r="Z1314" s="12"/>
      <c r="AA1314" s="12"/>
      <c r="AB1314" s="12"/>
      <c r="AC1314" s="12"/>
      <c r="AD1314" s="12"/>
    </row>
    <row r="1315" spans="2:30" x14ac:dyDescent="0.35">
      <c r="B1315" s="20"/>
      <c r="D1315" s="30"/>
      <c r="E1315" s="30"/>
      <c r="F1315" s="30"/>
      <c r="G1315" s="30"/>
      <c r="H1315" s="30"/>
      <c r="I1315" s="30"/>
      <c r="J1315" s="30"/>
      <c r="K1315" s="30"/>
      <c r="L1315" s="30"/>
      <c r="M1315" s="30"/>
      <c r="N1315" s="30"/>
      <c r="O1315" s="30"/>
      <c r="P1315" s="30"/>
      <c r="Q1315" s="24"/>
      <c r="R1315" s="21"/>
      <c r="S1315" s="12"/>
      <c r="T1315" s="12"/>
      <c r="U1315" s="12"/>
      <c r="V1315" s="12"/>
      <c r="W1315" s="12"/>
      <c r="X1315" s="12"/>
      <c r="Y1315" s="12"/>
      <c r="Z1315" s="12"/>
      <c r="AA1315" s="12"/>
      <c r="AB1315" s="12"/>
      <c r="AC1315" s="12"/>
      <c r="AD1315" s="12"/>
    </row>
    <row r="1316" spans="2:30" x14ac:dyDescent="0.35">
      <c r="B1316" s="20"/>
      <c r="D1316" s="30"/>
      <c r="E1316" s="30"/>
      <c r="F1316" s="30"/>
      <c r="G1316" s="30"/>
      <c r="H1316" s="30"/>
      <c r="I1316" s="30"/>
      <c r="J1316" s="30"/>
      <c r="K1316" s="30"/>
      <c r="L1316" s="30"/>
      <c r="M1316" s="30"/>
      <c r="N1316" s="30"/>
      <c r="O1316" s="30"/>
      <c r="P1316" s="30"/>
      <c r="Q1316" s="24"/>
      <c r="R1316" s="21"/>
      <c r="S1316" s="12"/>
      <c r="T1316" s="12"/>
      <c r="U1316" s="12"/>
      <c r="V1316" s="12"/>
      <c r="W1316" s="12"/>
      <c r="X1316" s="12"/>
      <c r="Y1316" s="12"/>
      <c r="Z1316" s="12"/>
      <c r="AA1316" s="12"/>
      <c r="AB1316" s="12"/>
      <c r="AC1316" s="12"/>
      <c r="AD1316" s="12"/>
    </row>
    <row r="1317" spans="2:30" x14ac:dyDescent="0.35">
      <c r="B1317" s="20"/>
      <c r="D1317" s="30"/>
      <c r="E1317" s="30"/>
      <c r="F1317" s="30"/>
      <c r="G1317" s="30"/>
      <c r="H1317" s="30"/>
      <c r="I1317" s="30"/>
      <c r="J1317" s="30"/>
      <c r="K1317" s="30"/>
      <c r="L1317" s="30"/>
      <c r="M1317" s="30"/>
      <c r="N1317" s="30"/>
      <c r="O1317" s="30"/>
      <c r="P1317" s="30"/>
      <c r="Q1317" s="24"/>
      <c r="R1317" s="21"/>
      <c r="S1317" s="12"/>
      <c r="T1317" s="12"/>
      <c r="U1317" s="12"/>
      <c r="V1317" s="12"/>
      <c r="W1317" s="12"/>
      <c r="X1317" s="12"/>
      <c r="Y1317" s="12"/>
      <c r="Z1317" s="12"/>
      <c r="AA1317" s="12"/>
      <c r="AB1317" s="12"/>
      <c r="AC1317" s="12"/>
      <c r="AD1317" s="12"/>
    </row>
    <row r="1318" spans="2:30" x14ac:dyDescent="0.35">
      <c r="B1318" s="20"/>
      <c r="D1318" s="30"/>
      <c r="E1318" s="30"/>
      <c r="F1318" s="30"/>
      <c r="G1318" s="30"/>
      <c r="H1318" s="30"/>
      <c r="I1318" s="30"/>
      <c r="J1318" s="30"/>
      <c r="K1318" s="30"/>
      <c r="L1318" s="30"/>
      <c r="M1318" s="30"/>
      <c r="N1318" s="30"/>
      <c r="O1318" s="30"/>
      <c r="P1318" s="30"/>
      <c r="Q1318" s="24"/>
      <c r="R1318" s="21"/>
      <c r="S1318" s="12"/>
      <c r="T1318" s="12"/>
      <c r="U1318" s="12"/>
      <c r="V1318" s="12"/>
      <c r="W1318" s="12"/>
      <c r="X1318" s="12"/>
      <c r="Y1318" s="12"/>
      <c r="Z1318" s="12"/>
      <c r="AA1318" s="12"/>
      <c r="AB1318" s="12"/>
      <c r="AC1318" s="12"/>
      <c r="AD1318" s="12"/>
    </row>
    <row r="1319" spans="2:30" x14ac:dyDescent="0.35">
      <c r="B1319" s="20"/>
      <c r="D1319" s="30"/>
      <c r="E1319" s="30"/>
      <c r="F1319" s="30"/>
      <c r="G1319" s="30"/>
      <c r="H1319" s="30"/>
      <c r="I1319" s="30"/>
      <c r="J1319" s="30"/>
      <c r="K1319" s="30"/>
      <c r="L1319" s="30"/>
      <c r="M1319" s="30"/>
      <c r="N1319" s="30"/>
      <c r="O1319" s="30"/>
      <c r="P1319" s="30"/>
      <c r="Q1319" s="24"/>
      <c r="R1319" s="21"/>
      <c r="S1319" s="12"/>
      <c r="T1319" s="12"/>
      <c r="U1319" s="12"/>
      <c r="V1319" s="12"/>
      <c r="W1319" s="12"/>
      <c r="X1319" s="12"/>
      <c r="Y1319" s="12"/>
      <c r="Z1319" s="12"/>
      <c r="AA1319" s="12"/>
      <c r="AB1319" s="12"/>
      <c r="AC1319" s="12"/>
      <c r="AD1319" s="12"/>
    </row>
    <row r="1320" spans="2:30" x14ac:dyDescent="0.35">
      <c r="B1320" s="20"/>
      <c r="D1320" s="31"/>
      <c r="E1320" s="31"/>
      <c r="F1320" s="31"/>
      <c r="G1320" s="31"/>
      <c r="H1320" s="31"/>
      <c r="I1320" s="31"/>
      <c r="J1320" s="31"/>
      <c r="K1320" s="31"/>
      <c r="L1320" s="31"/>
      <c r="M1320" s="31"/>
      <c r="N1320" s="31"/>
      <c r="O1320" s="31"/>
      <c r="P1320" s="31"/>
      <c r="Q1320" s="24"/>
      <c r="R1320" s="21"/>
      <c r="S1320" s="12"/>
      <c r="T1320" s="12"/>
      <c r="U1320" s="12"/>
      <c r="V1320" s="12"/>
      <c r="W1320" s="12"/>
      <c r="X1320" s="12"/>
      <c r="Y1320" s="12"/>
      <c r="Z1320" s="12"/>
      <c r="AA1320" s="12"/>
      <c r="AB1320" s="12"/>
      <c r="AC1320" s="12"/>
      <c r="AD1320" s="12"/>
    </row>
    <row r="1321" spans="2:30" x14ac:dyDescent="0.35">
      <c r="B1321" s="20"/>
      <c r="D1321" s="30"/>
      <c r="E1321" s="30"/>
      <c r="F1321" s="30"/>
      <c r="G1321" s="30"/>
      <c r="H1321" s="30"/>
      <c r="I1321" s="30"/>
      <c r="J1321" s="30"/>
      <c r="K1321" s="30"/>
      <c r="L1321" s="30"/>
      <c r="M1321" s="30"/>
      <c r="N1321" s="30"/>
      <c r="O1321" s="30"/>
      <c r="P1321" s="30"/>
      <c r="Q1321" s="24"/>
      <c r="R1321" s="21"/>
      <c r="S1321" s="12"/>
      <c r="T1321" s="12"/>
      <c r="U1321" s="12"/>
      <c r="V1321" s="12"/>
      <c r="W1321" s="12"/>
      <c r="X1321" s="12"/>
      <c r="Y1321" s="12"/>
      <c r="Z1321" s="12"/>
      <c r="AA1321" s="12"/>
      <c r="AB1321" s="12"/>
      <c r="AC1321" s="12"/>
      <c r="AD1321" s="12"/>
    </row>
    <row r="1322" spans="2:30" x14ac:dyDescent="0.35">
      <c r="B1322" s="20"/>
      <c r="D1322" s="30"/>
      <c r="E1322" s="30"/>
      <c r="F1322" s="30"/>
      <c r="G1322" s="30"/>
      <c r="H1322" s="30"/>
      <c r="I1322" s="30"/>
      <c r="J1322" s="30"/>
      <c r="K1322" s="30"/>
      <c r="L1322" s="30"/>
      <c r="M1322" s="30"/>
      <c r="N1322" s="30"/>
      <c r="O1322" s="30"/>
      <c r="P1322" s="30"/>
      <c r="Q1322" s="24"/>
      <c r="R1322" s="21"/>
      <c r="S1322" s="12"/>
      <c r="T1322" s="12"/>
      <c r="U1322" s="12"/>
      <c r="V1322" s="12"/>
      <c r="W1322" s="12"/>
      <c r="X1322" s="12"/>
      <c r="Y1322" s="12"/>
      <c r="Z1322" s="12"/>
      <c r="AA1322" s="12"/>
      <c r="AB1322" s="12"/>
      <c r="AC1322" s="12"/>
      <c r="AD1322" s="12"/>
    </row>
    <row r="1323" spans="2:30" x14ac:dyDescent="0.35">
      <c r="B1323" s="20"/>
      <c r="D1323" s="30"/>
      <c r="E1323" s="30"/>
      <c r="F1323" s="30"/>
      <c r="G1323" s="30"/>
      <c r="H1323" s="30"/>
      <c r="I1323" s="30"/>
      <c r="J1323" s="30"/>
      <c r="K1323" s="30"/>
      <c r="L1323" s="30"/>
      <c r="M1323" s="30"/>
      <c r="N1323" s="30"/>
      <c r="O1323" s="30"/>
      <c r="P1323" s="30"/>
      <c r="Q1323" s="24"/>
      <c r="R1323" s="14"/>
      <c r="S1323" s="12"/>
      <c r="T1323" s="12"/>
      <c r="U1323" s="12"/>
      <c r="V1323" s="12"/>
      <c r="W1323" s="12"/>
      <c r="X1323" s="12"/>
      <c r="Y1323" s="12"/>
      <c r="Z1323" s="12"/>
      <c r="AA1323" s="12"/>
      <c r="AB1323" s="12"/>
      <c r="AC1323" s="12"/>
      <c r="AD1323" s="12"/>
    </row>
    <row r="1324" spans="2:30" x14ac:dyDescent="0.35">
      <c r="B1324" s="20"/>
      <c r="D1324" s="30"/>
      <c r="E1324" s="30"/>
      <c r="F1324" s="30"/>
      <c r="G1324" s="30"/>
      <c r="H1324" s="30"/>
      <c r="I1324" s="30"/>
      <c r="J1324" s="30"/>
      <c r="K1324" s="30"/>
      <c r="L1324" s="30"/>
      <c r="M1324" s="30"/>
      <c r="N1324" s="30"/>
      <c r="O1324" s="30"/>
      <c r="P1324" s="30"/>
      <c r="Q1324" s="24"/>
      <c r="R1324" s="14"/>
      <c r="S1324" s="12"/>
      <c r="T1324" s="12"/>
      <c r="U1324" s="12"/>
      <c r="V1324" s="12"/>
      <c r="W1324" s="12"/>
      <c r="X1324" s="12"/>
      <c r="Y1324" s="12"/>
      <c r="Z1324" s="12"/>
      <c r="AA1324" s="12"/>
      <c r="AB1324" s="12"/>
      <c r="AC1324" s="12"/>
      <c r="AD1324" s="12"/>
    </row>
    <row r="1325" spans="2:30" x14ac:dyDescent="0.35">
      <c r="B1325" s="20"/>
      <c r="D1325" s="30"/>
      <c r="E1325" s="30"/>
      <c r="F1325" s="30"/>
      <c r="G1325" s="30"/>
      <c r="H1325" s="30"/>
      <c r="I1325" s="30"/>
      <c r="J1325" s="30"/>
      <c r="K1325" s="30"/>
      <c r="L1325" s="30"/>
      <c r="M1325" s="30"/>
      <c r="N1325" s="30"/>
      <c r="O1325" s="30"/>
      <c r="P1325" s="30"/>
      <c r="Q1325" s="24"/>
      <c r="R1325" s="14"/>
      <c r="S1325" s="12"/>
      <c r="T1325" s="12"/>
      <c r="U1325" s="12"/>
      <c r="V1325" s="12"/>
      <c r="W1325" s="12"/>
      <c r="X1325" s="12"/>
      <c r="Y1325" s="12"/>
      <c r="Z1325" s="12"/>
      <c r="AA1325" s="12"/>
      <c r="AB1325" s="12"/>
      <c r="AC1325" s="12"/>
      <c r="AD1325" s="12"/>
    </row>
    <row r="1326" spans="2:30" x14ac:dyDescent="0.35">
      <c r="B1326" s="20"/>
      <c r="D1326" s="30"/>
      <c r="E1326" s="30"/>
      <c r="F1326" s="30"/>
      <c r="G1326" s="30"/>
      <c r="H1326" s="30"/>
      <c r="I1326" s="30"/>
      <c r="J1326" s="30"/>
      <c r="K1326" s="30"/>
      <c r="L1326" s="30"/>
      <c r="M1326" s="30"/>
      <c r="N1326" s="30"/>
      <c r="O1326" s="30"/>
      <c r="P1326" s="30"/>
      <c r="Q1326" s="24"/>
      <c r="R1326" s="14"/>
      <c r="S1326" s="12"/>
      <c r="T1326" s="12"/>
      <c r="U1326" s="12"/>
      <c r="V1326" s="12"/>
      <c r="W1326" s="12"/>
      <c r="X1326" s="12"/>
      <c r="Y1326" s="12"/>
      <c r="Z1326" s="12"/>
      <c r="AA1326" s="12"/>
      <c r="AB1326" s="12"/>
      <c r="AC1326" s="12"/>
      <c r="AD1326" s="12"/>
    </row>
    <row r="1327" spans="2:30" x14ac:dyDescent="0.35">
      <c r="B1327" s="20"/>
      <c r="D1327" s="30"/>
      <c r="E1327" s="30"/>
      <c r="F1327" s="30"/>
      <c r="G1327" s="30"/>
      <c r="H1327" s="30"/>
      <c r="I1327" s="30"/>
      <c r="J1327" s="30"/>
      <c r="K1327" s="30"/>
      <c r="L1327" s="30"/>
      <c r="M1327" s="30"/>
      <c r="N1327" s="30"/>
      <c r="O1327" s="30"/>
      <c r="P1327" s="30"/>
      <c r="Q1327" s="24"/>
      <c r="R1327" s="14"/>
      <c r="S1327" s="12"/>
      <c r="T1327" s="12"/>
      <c r="U1327" s="12"/>
      <c r="V1327" s="12"/>
      <c r="W1327" s="12"/>
      <c r="X1327" s="12"/>
      <c r="Y1327" s="12"/>
      <c r="Z1327" s="12"/>
      <c r="AA1327" s="12"/>
      <c r="AB1327" s="12"/>
      <c r="AC1327" s="12"/>
      <c r="AD1327" s="12"/>
    </row>
    <row r="1328" spans="2:30" x14ac:dyDescent="0.35">
      <c r="B1328" s="20"/>
      <c r="D1328" s="31"/>
      <c r="E1328" s="31"/>
      <c r="F1328" s="31"/>
      <c r="G1328" s="31"/>
      <c r="H1328" s="31"/>
      <c r="I1328" s="31"/>
      <c r="J1328" s="31"/>
      <c r="K1328" s="31"/>
      <c r="L1328" s="31"/>
      <c r="M1328" s="31"/>
      <c r="N1328" s="31"/>
      <c r="O1328" s="31"/>
      <c r="P1328" s="31"/>
      <c r="Q1328" s="24"/>
      <c r="R1328" s="14"/>
      <c r="S1328" s="12"/>
      <c r="T1328" s="12"/>
      <c r="U1328" s="12"/>
      <c r="V1328" s="12"/>
      <c r="W1328" s="12"/>
      <c r="X1328" s="12"/>
      <c r="Y1328" s="12"/>
      <c r="Z1328" s="12"/>
      <c r="AA1328" s="12"/>
      <c r="AB1328" s="12"/>
      <c r="AC1328" s="12"/>
      <c r="AD1328" s="12"/>
    </row>
    <row r="1329" spans="2:30" x14ac:dyDescent="0.35">
      <c r="B1329" s="20"/>
      <c r="D1329" s="30"/>
      <c r="E1329" s="30"/>
      <c r="F1329" s="30"/>
      <c r="G1329" s="30"/>
      <c r="H1329" s="30"/>
      <c r="I1329" s="30"/>
      <c r="J1329" s="30"/>
      <c r="K1329" s="30"/>
      <c r="L1329" s="30"/>
      <c r="M1329" s="30"/>
      <c r="N1329" s="30"/>
      <c r="O1329" s="30"/>
      <c r="P1329" s="30"/>
      <c r="Q1329" s="24"/>
      <c r="R1329" s="14"/>
      <c r="S1329" s="12"/>
      <c r="T1329" s="12"/>
      <c r="U1329" s="12"/>
      <c r="V1329" s="12"/>
      <c r="W1329" s="12"/>
      <c r="X1329" s="12"/>
      <c r="Y1329" s="12"/>
      <c r="Z1329" s="12"/>
      <c r="AA1329" s="12"/>
      <c r="AB1329" s="12"/>
      <c r="AC1329" s="12"/>
      <c r="AD1329" s="12"/>
    </row>
    <row r="1330" spans="2:30" x14ac:dyDescent="0.35">
      <c r="B1330" s="20"/>
      <c r="D1330" s="30"/>
      <c r="E1330" s="30"/>
      <c r="F1330" s="30"/>
      <c r="G1330" s="30"/>
      <c r="H1330" s="30"/>
      <c r="I1330" s="30"/>
      <c r="J1330" s="30"/>
      <c r="K1330" s="30"/>
      <c r="L1330" s="30"/>
      <c r="M1330" s="30"/>
      <c r="N1330" s="30"/>
      <c r="O1330" s="30"/>
      <c r="P1330" s="30"/>
      <c r="Q1330" s="24"/>
      <c r="R1330" s="14"/>
      <c r="S1330" s="12"/>
      <c r="T1330" s="12"/>
      <c r="U1330" s="12"/>
      <c r="V1330" s="12"/>
      <c r="W1330" s="12"/>
      <c r="X1330" s="12"/>
      <c r="Y1330" s="12"/>
      <c r="Z1330" s="12"/>
      <c r="AA1330" s="12"/>
      <c r="AB1330" s="12"/>
      <c r="AC1330" s="12"/>
      <c r="AD1330" s="12"/>
    </row>
    <row r="1331" spans="2:30" x14ac:dyDescent="0.35">
      <c r="B1331" s="20"/>
      <c r="D1331" s="30"/>
      <c r="E1331" s="30"/>
      <c r="F1331" s="30"/>
      <c r="G1331" s="30"/>
      <c r="H1331" s="30"/>
      <c r="I1331" s="30"/>
      <c r="J1331" s="30"/>
      <c r="K1331" s="30"/>
      <c r="L1331" s="30"/>
      <c r="M1331" s="30"/>
      <c r="N1331" s="30"/>
      <c r="O1331" s="30"/>
      <c r="P1331" s="30"/>
      <c r="Q1331" s="24"/>
      <c r="R1331" s="14"/>
      <c r="S1331" s="12"/>
      <c r="T1331" s="12"/>
      <c r="U1331" s="12"/>
      <c r="V1331" s="12"/>
      <c r="W1331" s="12"/>
      <c r="X1331" s="12"/>
      <c r="Y1331" s="12"/>
      <c r="Z1331" s="12"/>
      <c r="AA1331" s="12"/>
      <c r="AB1331" s="12"/>
      <c r="AC1331" s="12"/>
      <c r="AD1331" s="12"/>
    </row>
    <row r="1332" spans="2:30" x14ac:dyDescent="0.35">
      <c r="B1332" s="20"/>
      <c r="D1332" s="30"/>
      <c r="E1332" s="30"/>
      <c r="F1332" s="30"/>
      <c r="G1332" s="30"/>
      <c r="H1332" s="30"/>
      <c r="I1332" s="30"/>
      <c r="J1332" s="30"/>
      <c r="K1332" s="30"/>
      <c r="L1332" s="30"/>
      <c r="M1332" s="30"/>
      <c r="N1332" s="30"/>
      <c r="O1332" s="30"/>
      <c r="P1332" s="30"/>
      <c r="Q1332" s="24"/>
      <c r="R1332" s="14"/>
      <c r="S1332" s="12"/>
      <c r="T1332" s="12"/>
      <c r="U1332" s="12"/>
      <c r="V1332" s="12"/>
      <c r="W1332" s="12"/>
      <c r="X1332" s="12"/>
      <c r="Y1332" s="12"/>
      <c r="Z1332" s="12"/>
      <c r="AA1332" s="12"/>
      <c r="AB1332" s="12"/>
      <c r="AC1332" s="12"/>
      <c r="AD1332" s="12"/>
    </row>
    <row r="1333" spans="2:30" x14ac:dyDescent="0.35">
      <c r="B1333" s="20"/>
      <c r="D1333" s="30"/>
      <c r="E1333" s="30"/>
      <c r="F1333" s="30"/>
      <c r="G1333" s="30"/>
      <c r="H1333" s="30"/>
      <c r="I1333" s="30"/>
      <c r="J1333" s="30"/>
      <c r="K1333" s="30"/>
      <c r="L1333" s="30"/>
      <c r="M1333" s="30"/>
      <c r="N1333" s="30"/>
      <c r="O1333" s="30"/>
      <c r="P1333" s="30"/>
      <c r="Q1333" s="24"/>
      <c r="R1333" s="14"/>
      <c r="S1333" s="12"/>
      <c r="T1333" s="12"/>
      <c r="U1333" s="12"/>
      <c r="V1333" s="12"/>
      <c r="W1333" s="12"/>
      <c r="X1333" s="12"/>
      <c r="Y1333" s="12"/>
      <c r="Z1333" s="12"/>
      <c r="AA1333" s="12"/>
      <c r="AB1333" s="12"/>
      <c r="AC1333" s="12"/>
      <c r="AD1333" s="12"/>
    </row>
    <row r="1334" spans="2:30" x14ac:dyDescent="0.35">
      <c r="B1334" s="20"/>
      <c r="D1334" s="30"/>
      <c r="E1334" s="30"/>
      <c r="F1334" s="30"/>
      <c r="G1334" s="30"/>
      <c r="H1334" s="30"/>
      <c r="I1334" s="30"/>
      <c r="J1334" s="30"/>
      <c r="K1334" s="30"/>
      <c r="L1334" s="30"/>
      <c r="M1334" s="30"/>
      <c r="N1334" s="30"/>
      <c r="O1334" s="30"/>
      <c r="P1334" s="30"/>
      <c r="Q1334" s="24"/>
      <c r="R1334" s="14"/>
      <c r="S1334" s="12"/>
      <c r="T1334" s="12"/>
      <c r="U1334" s="12"/>
      <c r="V1334" s="12"/>
      <c r="W1334" s="12"/>
      <c r="X1334" s="12"/>
      <c r="Y1334" s="12"/>
      <c r="Z1334" s="12"/>
      <c r="AA1334" s="12"/>
      <c r="AB1334" s="12"/>
      <c r="AC1334" s="12"/>
      <c r="AD1334" s="12"/>
    </row>
    <row r="1335" spans="2:30" x14ac:dyDescent="0.35">
      <c r="B1335" s="20"/>
      <c r="D1335" s="30"/>
      <c r="E1335" s="30"/>
      <c r="F1335" s="30"/>
      <c r="G1335" s="30"/>
      <c r="H1335" s="30"/>
      <c r="I1335" s="30"/>
      <c r="J1335" s="30"/>
      <c r="K1335" s="30"/>
      <c r="L1335" s="30"/>
      <c r="M1335" s="30"/>
      <c r="N1335" s="30"/>
      <c r="O1335" s="30"/>
      <c r="P1335" s="30"/>
      <c r="Q1335" s="24"/>
      <c r="R1335" s="14"/>
      <c r="S1335" s="12"/>
      <c r="T1335" s="12"/>
      <c r="U1335" s="12"/>
      <c r="V1335" s="12"/>
      <c r="W1335" s="12"/>
      <c r="X1335" s="12"/>
      <c r="Y1335" s="12"/>
      <c r="Z1335" s="12"/>
      <c r="AA1335" s="12"/>
      <c r="AB1335" s="12"/>
      <c r="AC1335" s="12"/>
      <c r="AD1335" s="12"/>
    </row>
    <row r="1336" spans="2:30" x14ac:dyDescent="0.35">
      <c r="B1336" s="20"/>
      <c r="D1336" s="31"/>
      <c r="E1336" s="31"/>
      <c r="F1336" s="31"/>
      <c r="G1336" s="31"/>
      <c r="H1336" s="31"/>
      <c r="I1336" s="31"/>
      <c r="J1336" s="31"/>
      <c r="K1336" s="31"/>
      <c r="L1336" s="31"/>
      <c r="M1336" s="31"/>
      <c r="N1336" s="31"/>
      <c r="O1336" s="31"/>
      <c r="P1336" s="31"/>
      <c r="Q1336" s="24"/>
      <c r="R1336" s="14"/>
      <c r="S1336" s="12"/>
      <c r="T1336" s="12"/>
      <c r="U1336" s="12"/>
      <c r="V1336" s="12"/>
      <c r="W1336" s="12"/>
      <c r="X1336" s="12"/>
      <c r="Y1336" s="12"/>
      <c r="Z1336" s="12"/>
      <c r="AA1336" s="12"/>
      <c r="AB1336" s="12"/>
      <c r="AC1336" s="12"/>
      <c r="AD1336" s="12"/>
    </row>
    <row r="1337" spans="2:30" x14ac:dyDescent="0.35">
      <c r="B1337" s="20"/>
      <c r="D1337" s="30"/>
      <c r="E1337" s="30"/>
      <c r="F1337" s="30"/>
      <c r="G1337" s="30"/>
      <c r="H1337" s="30"/>
      <c r="I1337" s="30"/>
      <c r="J1337" s="30"/>
      <c r="K1337" s="30"/>
      <c r="L1337" s="30"/>
      <c r="M1337" s="30"/>
      <c r="N1337" s="30"/>
      <c r="O1337" s="30"/>
      <c r="P1337" s="30"/>
      <c r="Q1337" s="24"/>
      <c r="R1337" s="14"/>
      <c r="S1337" s="12"/>
      <c r="T1337" s="12"/>
      <c r="U1337" s="12"/>
      <c r="V1337" s="12"/>
      <c r="W1337" s="12"/>
      <c r="X1337" s="12"/>
      <c r="Y1337" s="12"/>
      <c r="Z1337" s="12"/>
      <c r="AA1337" s="12"/>
      <c r="AB1337" s="12"/>
      <c r="AC1337" s="12"/>
      <c r="AD1337" s="12"/>
    </row>
    <row r="1338" spans="2:30" x14ac:dyDescent="0.35">
      <c r="B1338" s="20"/>
      <c r="D1338" s="30"/>
      <c r="E1338" s="30"/>
      <c r="F1338" s="30"/>
      <c r="G1338" s="30"/>
      <c r="H1338" s="30"/>
      <c r="I1338" s="30"/>
      <c r="J1338" s="30"/>
      <c r="K1338" s="30"/>
      <c r="L1338" s="30"/>
      <c r="M1338" s="30"/>
      <c r="N1338" s="30"/>
      <c r="O1338" s="30"/>
      <c r="P1338" s="30"/>
      <c r="Q1338" s="24"/>
      <c r="R1338" s="21"/>
      <c r="S1338" s="12"/>
      <c r="T1338" s="12"/>
      <c r="U1338" s="12"/>
      <c r="V1338" s="12"/>
      <c r="W1338" s="12"/>
      <c r="X1338" s="12"/>
      <c r="Y1338" s="12"/>
      <c r="Z1338" s="12"/>
      <c r="AA1338" s="12"/>
      <c r="AB1338" s="12"/>
      <c r="AC1338" s="12"/>
      <c r="AD1338" s="12"/>
    </row>
    <row r="1339" spans="2:30" x14ac:dyDescent="0.35">
      <c r="B1339" s="20"/>
      <c r="D1339" s="30"/>
      <c r="E1339" s="30"/>
      <c r="F1339" s="30"/>
      <c r="G1339" s="30"/>
      <c r="H1339" s="30"/>
      <c r="I1339" s="30"/>
      <c r="J1339" s="30"/>
      <c r="K1339" s="30"/>
      <c r="L1339" s="30"/>
      <c r="M1339" s="30"/>
      <c r="N1339" s="30"/>
      <c r="O1339" s="30"/>
      <c r="P1339" s="30"/>
      <c r="Q1339" s="24"/>
      <c r="R1339" s="21"/>
      <c r="S1339" s="12"/>
      <c r="T1339" s="12"/>
      <c r="U1339" s="12"/>
      <c r="V1339" s="12"/>
      <c r="W1339" s="12"/>
      <c r="X1339" s="12"/>
      <c r="Y1339" s="12"/>
      <c r="Z1339" s="12"/>
      <c r="AA1339" s="12"/>
      <c r="AB1339" s="12"/>
      <c r="AC1339" s="12"/>
      <c r="AD1339" s="12"/>
    </row>
    <row r="1340" spans="2:30" x14ac:dyDescent="0.35">
      <c r="B1340" s="20"/>
      <c r="D1340" s="30"/>
      <c r="E1340" s="30"/>
      <c r="F1340" s="30"/>
      <c r="G1340" s="30"/>
      <c r="H1340" s="30"/>
      <c r="I1340" s="30"/>
      <c r="J1340" s="30"/>
      <c r="K1340" s="30"/>
      <c r="L1340" s="30"/>
      <c r="M1340" s="30"/>
      <c r="N1340" s="30"/>
      <c r="O1340" s="30"/>
      <c r="P1340" s="30"/>
      <c r="Q1340" s="24"/>
      <c r="R1340" s="21"/>
      <c r="S1340" s="12"/>
      <c r="T1340" s="12"/>
      <c r="U1340" s="12"/>
      <c r="V1340" s="12"/>
      <c r="W1340" s="12"/>
      <c r="X1340" s="12"/>
      <c r="Y1340" s="12"/>
      <c r="Z1340" s="12"/>
      <c r="AA1340" s="12"/>
      <c r="AB1340" s="12"/>
      <c r="AC1340" s="12"/>
      <c r="AD1340" s="12"/>
    </row>
    <row r="1341" spans="2:30" x14ac:dyDescent="0.35">
      <c r="B1341" s="20"/>
      <c r="D1341" s="30"/>
      <c r="E1341" s="30"/>
      <c r="F1341" s="30"/>
      <c r="G1341" s="30"/>
      <c r="H1341" s="30"/>
      <c r="I1341" s="30"/>
      <c r="J1341" s="30"/>
      <c r="K1341" s="30"/>
      <c r="L1341" s="30"/>
      <c r="M1341" s="30"/>
      <c r="N1341" s="30"/>
      <c r="O1341" s="30"/>
      <c r="P1341" s="30"/>
      <c r="Q1341" s="24"/>
      <c r="R1341" s="21"/>
      <c r="S1341" s="12"/>
      <c r="T1341" s="12"/>
      <c r="U1341" s="12"/>
      <c r="V1341" s="12"/>
      <c r="W1341" s="12"/>
      <c r="X1341" s="12"/>
      <c r="Y1341" s="12"/>
      <c r="Z1341" s="12"/>
      <c r="AA1341" s="12"/>
      <c r="AB1341" s="12"/>
      <c r="AC1341" s="12"/>
      <c r="AD1341" s="12"/>
    </row>
    <row r="1342" spans="2:30" x14ac:dyDescent="0.35">
      <c r="B1342" s="20"/>
      <c r="D1342" s="30"/>
      <c r="E1342" s="30"/>
      <c r="F1342" s="30"/>
      <c r="G1342" s="30"/>
      <c r="H1342" s="30"/>
      <c r="I1342" s="30"/>
      <c r="J1342" s="30"/>
      <c r="K1342" s="30"/>
      <c r="L1342" s="30"/>
      <c r="M1342" s="30"/>
      <c r="N1342" s="30"/>
      <c r="O1342" s="30"/>
      <c r="P1342" s="30"/>
      <c r="Q1342" s="24"/>
      <c r="R1342" s="21"/>
      <c r="S1342" s="12"/>
      <c r="T1342" s="12"/>
      <c r="U1342" s="12"/>
      <c r="V1342" s="12"/>
      <c r="W1342" s="12"/>
      <c r="X1342" s="12"/>
      <c r="Y1342" s="12"/>
      <c r="Z1342" s="12"/>
      <c r="AA1342" s="12"/>
      <c r="AB1342" s="12"/>
      <c r="AC1342" s="12"/>
      <c r="AD1342" s="12"/>
    </row>
    <row r="1343" spans="2:30" x14ac:dyDescent="0.35">
      <c r="B1343" s="20"/>
      <c r="D1343" s="30"/>
      <c r="E1343" s="30"/>
      <c r="F1343" s="30"/>
      <c r="G1343" s="30"/>
      <c r="H1343" s="30"/>
      <c r="I1343" s="30"/>
      <c r="J1343" s="30"/>
      <c r="K1343" s="30"/>
      <c r="L1343" s="30"/>
      <c r="M1343" s="30"/>
      <c r="N1343" s="30"/>
      <c r="O1343" s="30"/>
      <c r="P1343" s="30"/>
      <c r="Q1343" s="24"/>
      <c r="R1343" s="21"/>
      <c r="S1343" s="12"/>
      <c r="T1343" s="12"/>
      <c r="U1343" s="12"/>
      <c r="V1343" s="12"/>
      <c r="W1343" s="12"/>
      <c r="X1343" s="12"/>
      <c r="Y1343" s="12"/>
      <c r="Z1343" s="12"/>
      <c r="AA1343" s="12"/>
      <c r="AB1343" s="12"/>
      <c r="AC1343" s="12"/>
      <c r="AD1343" s="12"/>
    </row>
    <row r="1344" spans="2:30" x14ac:dyDescent="0.35">
      <c r="B1344" s="20"/>
      <c r="D1344" s="31"/>
      <c r="E1344" s="31"/>
      <c r="F1344" s="31"/>
      <c r="G1344" s="31"/>
      <c r="H1344" s="31"/>
      <c r="I1344" s="31"/>
      <c r="J1344" s="31"/>
      <c r="K1344" s="31"/>
      <c r="L1344" s="31"/>
      <c r="M1344" s="31"/>
      <c r="N1344" s="31"/>
      <c r="O1344" s="31"/>
      <c r="P1344" s="31"/>
      <c r="Q1344" s="24"/>
      <c r="R1344" s="21"/>
      <c r="S1344" s="12"/>
      <c r="T1344" s="12"/>
      <c r="U1344" s="12"/>
      <c r="V1344" s="12"/>
      <c r="W1344" s="12"/>
      <c r="X1344" s="12"/>
      <c r="Y1344" s="12"/>
      <c r="Z1344" s="12"/>
      <c r="AA1344" s="12"/>
      <c r="AB1344" s="12"/>
      <c r="AC1344" s="12"/>
      <c r="AD1344" s="12"/>
    </row>
    <row r="1345" spans="1:30" x14ac:dyDescent="0.35">
      <c r="B1345" s="20"/>
      <c r="D1345" s="30"/>
      <c r="E1345" s="30"/>
      <c r="F1345" s="30"/>
      <c r="G1345" s="30"/>
      <c r="H1345" s="30"/>
      <c r="I1345" s="30"/>
      <c r="J1345" s="30"/>
      <c r="K1345" s="30"/>
      <c r="L1345" s="30"/>
      <c r="M1345" s="30"/>
      <c r="N1345" s="30"/>
      <c r="O1345" s="30"/>
      <c r="P1345" s="30"/>
      <c r="Q1345" s="24"/>
      <c r="R1345" s="21"/>
      <c r="S1345" s="12"/>
      <c r="T1345" s="12"/>
      <c r="U1345" s="12"/>
      <c r="V1345" s="12"/>
      <c r="W1345" s="12"/>
      <c r="X1345" s="12"/>
      <c r="Y1345" s="12"/>
      <c r="Z1345" s="12"/>
      <c r="AA1345" s="12"/>
      <c r="AB1345" s="12"/>
      <c r="AC1345" s="12"/>
      <c r="AD1345" s="12"/>
    </row>
    <row r="1346" spans="1:30" x14ac:dyDescent="0.35">
      <c r="B1346" s="20"/>
      <c r="D1346" s="30"/>
      <c r="E1346" s="30"/>
      <c r="F1346" s="30"/>
      <c r="G1346" s="30"/>
      <c r="H1346" s="30"/>
      <c r="I1346" s="30"/>
      <c r="J1346" s="30"/>
      <c r="K1346" s="30"/>
      <c r="L1346" s="30"/>
      <c r="M1346" s="30"/>
      <c r="N1346" s="30"/>
      <c r="O1346" s="30"/>
      <c r="P1346" s="30"/>
      <c r="Q1346" s="24"/>
      <c r="R1346" s="21"/>
      <c r="S1346" s="12"/>
      <c r="T1346" s="12"/>
      <c r="U1346" s="12"/>
      <c r="V1346" s="12"/>
      <c r="W1346" s="12"/>
      <c r="X1346" s="12"/>
      <c r="Y1346" s="12"/>
      <c r="Z1346" s="12"/>
      <c r="AA1346" s="12"/>
      <c r="AB1346" s="12"/>
      <c r="AC1346" s="12"/>
      <c r="AD1346" s="12"/>
    </row>
    <row r="1347" spans="1:30" x14ac:dyDescent="0.35">
      <c r="B1347" s="20"/>
      <c r="D1347" s="30"/>
      <c r="E1347" s="30"/>
      <c r="F1347" s="30"/>
      <c r="G1347" s="30"/>
      <c r="H1347" s="30"/>
      <c r="I1347" s="30"/>
      <c r="J1347" s="30"/>
      <c r="K1347" s="30"/>
      <c r="L1347" s="30"/>
      <c r="M1347" s="30"/>
      <c r="N1347" s="30"/>
      <c r="O1347" s="30"/>
      <c r="P1347" s="30"/>
      <c r="Q1347" s="24"/>
      <c r="R1347" s="21"/>
      <c r="S1347" s="12"/>
      <c r="T1347" s="12"/>
      <c r="U1347" s="12"/>
      <c r="V1347" s="12"/>
      <c r="W1347" s="12"/>
      <c r="X1347" s="12"/>
      <c r="Y1347" s="12"/>
      <c r="Z1347" s="12"/>
      <c r="AA1347" s="12"/>
      <c r="AB1347" s="12"/>
      <c r="AC1347" s="12"/>
      <c r="AD1347" s="12"/>
    </row>
    <row r="1348" spans="1:30" x14ac:dyDescent="0.35">
      <c r="B1348" s="20"/>
      <c r="D1348" s="30"/>
      <c r="E1348" s="30"/>
      <c r="F1348" s="30"/>
      <c r="G1348" s="30"/>
      <c r="H1348" s="30"/>
      <c r="I1348" s="30"/>
      <c r="J1348" s="30"/>
      <c r="K1348" s="30"/>
      <c r="L1348" s="30"/>
      <c r="M1348" s="30"/>
      <c r="N1348" s="30"/>
      <c r="O1348" s="30"/>
      <c r="P1348" s="30"/>
      <c r="Q1348" s="24"/>
      <c r="R1348" s="21"/>
      <c r="S1348" s="12"/>
      <c r="T1348" s="12"/>
      <c r="U1348" s="12"/>
      <c r="V1348" s="12"/>
      <c r="W1348" s="12"/>
      <c r="X1348" s="12"/>
      <c r="Y1348" s="12"/>
      <c r="Z1348" s="12"/>
      <c r="AA1348" s="12"/>
      <c r="AB1348" s="12"/>
      <c r="AC1348" s="12"/>
      <c r="AD1348" s="12"/>
    </row>
    <row r="1349" spans="1:30" x14ac:dyDescent="0.35">
      <c r="B1349" s="20"/>
      <c r="D1349" s="30"/>
      <c r="E1349" s="30"/>
      <c r="F1349" s="30"/>
      <c r="G1349" s="30"/>
      <c r="H1349" s="30"/>
      <c r="I1349" s="30"/>
      <c r="J1349" s="30"/>
      <c r="K1349" s="30"/>
      <c r="L1349" s="30"/>
      <c r="M1349" s="30"/>
      <c r="N1349" s="30"/>
      <c r="O1349" s="30"/>
      <c r="P1349" s="30"/>
      <c r="Q1349" s="24"/>
      <c r="R1349" s="21"/>
      <c r="S1349" s="12"/>
      <c r="T1349" s="12"/>
      <c r="U1349" s="12"/>
      <c r="V1349" s="12"/>
      <c r="W1349" s="12"/>
      <c r="X1349" s="12"/>
      <c r="Y1349" s="12"/>
      <c r="Z1349" s="12"/>
      <c r="AA1349" s="12"/>
      <c r="AB1349" s="12"/>
      <c r="AC1349" s="12"/>
      <c r="AD1349" s="12"/>
    </row>
    <row r="1350" spans="1:30" x14ac:dyDescent="0.35">
      <c r="B1350" s="20"/>
      <c r="D1350" s="30"/>
      <c r="E1350" s="30"/>
      <c r="F1350" s="30"/>
      <c r="G1350" s="30"/>
      <c r="H1350" s="30"/>
      <c r="I1350" s="30"/>
      <c r="J1350" s="30"/>
      <c r="K1350" s="30"/>
      <c r="L1350" s="30"/>
      <c r="M1350" s="30"/>
      <c r="N1350" s="30"/>
      <c r="O1350" s="30"/>
      <c r="P1350" s="30"/>
      <c r="Q1350" s="24"/>
      <c r="R1350" s="21"/>
      <c r="S1350" s="12"/>
      <c r="T1350" s="12"/>
      <c r="U1350" s="12"/>
      <c r="V1350" s="12"/>
      <c r="W1350" s="12"/>
      <c r="X1350" s="12"/>
      <c r="Y1350" s="12"/>
      <c r="Z1350" s="12"/>
      <c r="AA1350" s="12"/>
      <c r="AB1350" s="12"/>
      <c r="AC1350" s="12"/>
      <c r="AD1350" s="12"/>
    </row>
    <row r="1351" spans="1:30" x14ac:dyDescent="0.35">
      <c r="B1351" s="20"/>
      <c r="D1351" s="30"/>
      <c r="E1351" s="30"/>
      <c r="F1351" s="30"/>
      <c r="G1351" s="30"/>
      <c r="H1351" s="30"/>
      <c r="I1351" s="30"/>
      <c r="J1351" s="30"/>
      <c r="K1351" s="30"/>
      <c r="L1351" s="30"/>
      <c r="M1351" s="30"/>
      <c r="N1351" s="30"/>
      <c r="O1351" s="30"/>
      <c r="P1351" s="30"/>
      <c r="Q1351" s="24"/>
      <c r="R1351" s="21"/>
      <c r="S1351" s="12"/>
      <c r="T1351" s="12"/>
      <c r="U1351" s="12"/>
      <c r="V1351" s="12"/>
      <c r="W1351" s="12"/>
      <c r="X1351" s="12"/>
      <c r="Y1351" s="12"/>
      <c r="Z1351" s="12"/>
      <c r="AA1351" s="12"/>
      <c r="AB1351" s="12"/>
      <c r="AC1351" s="12"/>
      <c r="AD1351" s="12"/>
    </row>
    <row r="1352" spans="1:30" x14ac:dyDescent="0.35">
      <c r="B1352" s="20"/>
      <c r="D1352" s="31"/>
      <c r="E1352" s="31"/>
      <c r="F1352" s="31"/>
      <c r="G1352" s="31"/>
      <c r="H1352" s="31"/>
      <c r="I1352" s="31"/>
      <c r="J1352" s="31"/>
      <c r="K1352" s="31"/>
      <c r="L1352" s="31"/>
      <c r="M1352" s="31"/>
      <c r="N1352" s="31"/>
      <c r="O1352" s="31"/>
      <c r="P1352" s="31"/>
      <c r="Q1352" s="24"/>
      <c r="R1352" s="21"/>
      <c r="S1352" s="12"/>
      <c r="T1352" s="12"/>
      <c r="U1352" s="12"/>
      <c r="V1352" s="12"/>
      <c r="W1352" s="12"/>
      <c r="X1352" s="12"/>
      <c r="Y1352" s="12"/>
      <c r="Z1352" s="12"/>
      <c r="AA1352" s="12"/>
      <c r="AB1352" s="12"/>
      <c r="AC1352" s="12"/>
      <c r="AD1352" s="12"/>
    </row>
    <row r="1353" spans="1:30" x14ac:dyDescent="0.35">
      <c r="A1353" s="20"/>
      <c r="B1353" s="20"/>
      <c r="D1353" s="30"/>
      <c r="E1353" s="30"/>
      <c r="F1353" s="30"/>
      <c r="G1353" s="30"/>
      <c r="H1353" s="30"/>
      <c r="I1353" s="30"/>
      <c r="J1353" s="30"/>
      <c r="K1353" s="30"/>
      <c r="L1353" s="30"/>
      <c r="M1353" s="30"/>
      <c r="N1353" s="30"/>
      <c r="O1353" s="30"/>
      <c r="P1353" s="30"/>
      <c r="Q1353" s="24"/>
      <c r="R1353" s="21"/>
      <c r="S1353" s="12"/>
      <c r="T1353" s="12"/>
      <c r="U1353" s="12"/>
      <c r="V1353" s="12"/>
      <c r="W1353" s="12"/>
      <c r="X1353" s="12"/>
      <c r="Y1353" s="12"/>
      <c r="Z1353" s="12"/>
      <c r="AA1353" s="12"/>
      <c r="AB1353" s="12"/>
      <c r="AC1353" s="12"/>
      <c r="AD1353" s="12"/>
    </row>
    <row r="1354" spans="1:30" x14ac:dyDescent="0.35">
      <c r="A1354" s="20"/>
      <c r="B1354" s="20"/>
      <c r="D1354" s="30"/>
      <c r="E1354" s="30"/>
      <c r="F1354" s="30"/>
      <c r="G1354" s="30"/>
      <c r="H1354" s="30"/>
      <c r="I1354" s="30"/>
      <c r="J1354" s="30"/>
      <c r="K1354" s="30"/>
      <c r="L1354" s="30"/>
      <c r="M1354" s="30"/>
      <c r="N1354" s="30"/>
      <c r="O1354" s="30"/>
      <c r="P1354" s="30"/>
      <c r="Q1354" s="24"/>
      <c r="R1354" s="14"/>
      <c r="S1354" s="12"/>
      <c r="T1354" s="12"/>
      <c r="U1354" s="12"/>
      <c r="V1354" s="12"/>
      <c r="W1354" s="12"/>
      <c r="X1354" s="12"/>
      <c r="Y1354" s="12"/>
      <c r="Z1354" s="12"/>
      <c r="AA1354" s="12"/>
      <c r="AB1354" s="12"/>
      <c r="AC1354" s="12"/>
      <c r="AD1354" s="12"/>
    </row>
    <row r="1355" spans="1:30" x14ac:dyDescent="0.35">
      <c r="A1355" s="20"/>
      <c r="B1355" s="20"/>
      <c r="D1355" s="30"/>
      <c r="E1355" s="30"/>
      <c r="F1355" s="30"/>
      <c r="G1355" s="30"/>
      <c r="H1355" s="30"/>
      <c r="I1355" s="30"/>
      <c r="J1355" s="30"/>
      <c r="K1355" s="30"/>
      <c r="L1355" s="30"/>
      <c r="M1355" s="30"/>
      <c r="N1355" s="30"/>
      <c r="O1355" s="30"/>
      <c r="P1355" s="30"/>
      <c r="Q1355" s="24"/>
      <c r="R1355" s="14"/>
      <c r="S1355" s="12"/>
      <c r="T1355" s="12"/>
      <c r="U1355" s="12"/>
      <c r="V1355" s="12"/>
      <c r="W1355" s="12"/>
      <c r="X1355" s="12"/>
      <c r="Y1355" s="12"/>
      <c r="Z1355" s="12"/>
      <c r="AA1355" s="12"/>
      <c r="AB1355" s="12"/>
      <c r="AC1355" s="12"/>
      <c r="AD1355" s="12"/>
    </row>
    <row r="1356" spans="1:30" x14ac:dyDescent="0.35">
      <c r="A1356" s="20"/>
      <c r="B1356" s="20"/>
      <c r="D1356" s="30"/>
      <c r="E1356" s="30"/>
      <c r="F1356" s="30"/>
      <c r="G1356" s="30"/>
      <c r="H1356" s="30"/>
      <c r="I1356" s="30"/>
      <c r="J1356" s="30"/>
      <c r="K1356" s="30"/>
      <c r="L1356" s="30"/>
      <c r="M1356" s="30"/>
      <c r="N1356" s="30"/>
      <c r="O1356" s="30"/>
      <c r="P1356" s="30"/>
      <c r="Q1356" s="24"/>
      <c r="R1356" s="14"/>
      <c r="S1356" s="12"/>
      <c r="T1356" s="12"/>
      <c r="U1356" s="12"/>
      <c r="V1356" s="12"/>
      <c r="W1356" s="12"/>
      <c r="X1356" s="12"/>
      <c r="Y1356" s="12"/>
      <c r="Z1356" s="12"/>
      <c r="AA1356" s="12"/>
      <c r="AB1356" s="12"/>
      <c r="AC1356" s="12"/>
      <c r="AD1356" s="12"/>
    </row>
    <row r="1357" spans="1:30" x14ac:dyDescent="0.35">
      <c r="A1357" s="20"/>
      <c r="B1357" s="20"/>
      <c r="D1357" s="30"/>
      <c r="E1357" s="30"/>
      <c r="F1357" s="30"/>
      <c r="G1357" s="30"/>
      <c r="H1357" s="30"/>
      <c r="I1357" s="30"/>
      <c r="J1357" s="30"/>
      <c r="K1357" s="30"/>
      <c r="L1357" s="30"/>
      <c r="M1357" s="30"/>
      <c r="N1357" s="30"/>
      <c r="O1357" s="30"/>
      <c r="P1357" s="30"/>
      <c r="Q1357" s="24"/>
      <c r="R1357" s="14"/>
      <c r="S1357" s="12"/>
      <c r="T1357" s="12"/>
      <c r="U1357" s="12"/>
      <c r="V1357" s="12"/>
      <c r="W1357" s="12"/>
      <c r="X1357" s="12"/>
      <c r="Y1357" s="12"/>
      <c r="Z1357" s="12"/>
      <c r="AA1357" s="12"/>
      <c r="AB1357" s="12"/>
      <c r="AC1357" s="12"/>
      <c r="AD1357" s="12"/>
    </row>
    <row r="1358" spans="1:30" x14ac:dyDescent="0.35">
      <c r="A1358" s="20"/>
      <c r="B1358" s="20"/>
      <c r="D1358" s="30"/>
      <c r="E1358" s="30"/>
      <c r="F1358" s="30"/>
      <c r="G1358" s="30"/>
      <c r="H1358" s="30"/>
      <c r="I1358" s="30"/>
      <c r="J1358" s="30"/>
      <c r="K1358" s="30"/>
      <c r="L1358" s="30"/>
      <c r="M1358" s="30"/>
      <c r="N1358" s="30"/>
      <c r="O1358" s="30"/>
      <c r="P1358" s="30"/>
      <c r="Q1358" s="24"/>
      <c r="R1358" s="14"/>
      <c r="S1358" s="12"/>
      <c r="T1358" s="12"/>
      <c r="U1358" s="12"/>
      <c r="V1358" s="12"/>
      <c r="W1358" s="12"/>
      <c r="X1358" s="12"/>
      <c r="Y1358" s="12"/>
      <c r="Z1358" s="12"/>
      <c r="AA1358" s="12"/>
      <c r="AB1358" s="12"/>
      <c r="AC1358" s="12"/>
      <c r="AD1358" s="12"/>
    </row>
    <row r="1359" spans="1:30" x14ac:dyDescent="0.35">
      <c r="A1359" s="20"/>
      <c r="B1359" s="20"/>
      <c r="D1359" s="30"/>
      <c r="E1359" s="30"/>
      <c r="F1359" s="30"/>
      <c r="G1359" s="30"/>
      <c r="H1359" s="30"/>
      <c r="I1359" s="30"/>
      <c r="J1359" s="30"/>
      <c r="K1359" s="30"/>
      <c r="L1359" s="30"/>
      <c r="M1359" s="30"/>
      <c r="N1359" s="30"/>
      <c r="O1359" s="30"/>
      <c r="P1359" s="30"/>
      <c r="Q1359" s="24"/>
      <c r="R1359" s="14"/>
      <c r="S1359" s="12"/>
      <c r="T1359" s="12"/>
      <c r="U1359" s="12"/>
      <c r="V1359" s="12"/>
      <c r="W1359" s="12"/>
      <c r="X1359" s="12"/>
      <c r="Y1359" s="12"/>
      <c r="Z1359" s="12"/>
      <c r="AA1359" s="12"/>
      <c r="AB1359" s="12"/>
      <c r="AC1359" s="12"/>
      <c r="AD1359" s="12"/>
    </row>
    <row r="1360" spans="1:30" x14ac:dyDescent="0.35">
      <c r="A1360" s="20"/>
      <c r="B1360" s="20"/>
      <c r="D1360" s="31"/>
      <c r="E1360" s="31"/>
      <c r="F1360" s="31"/>
      <c r="G1360" s="31"/>
      <c r="H1360" s="31"/>
      <c r="I1360" s="31"/>
      <c r="J1360" s="31"/>
      <c r="K1360" s="31"/>
      <c r="L1360" s="31"/>
      <c r="M1360" s="31"/>
      <c r="N1360" s="31"/>
      <c r="O1360" s="31"/>
      <c r="P1360" s="31"/>
      <c r="Q1360" s="24"/>
      <c r="R1360" s="14"/>
      <c r="S1360" s="12"/>
      <c r="T1360" s="12"/>
      <c r="U1360" s="12"/>
      <c r="V1360" s="12"/>
      <c r="W1360" s="12"/>
      <c r="X1360" s="12"/>
      <c r="Y1360" s="12"/>
      <c r="Z1360" s="12"/>
      <c r="AA1360" s="12"/>
      <c r="AB1360" s="12"/>
      <c r="AC1360" s="12"/>
      <c r="AD1360" s="12"/>
    </row>
    <row r="1361" spans="2:30" x14ac:dyDescent="0.35">
      <c r="B1361" s="20"/>
      <c r="D1361" s="30"/>
      <c r="E1361" s="30"/>
      <c r="F1361" s="30"/>
      <c r="G1361" s="30"/>
      <c r="H1361" s="30"/>
      <c r="I1361" s="30"/>
      <c r="J1361" s="30"/>
      <c r="K1361" s="30"/>
      <c r="L1361" s="30"/>
      <c r="M1361" s="30"/>
      <c r="N1361" s="30"/>
      <c r="O1361" s="30"/>
      <c r="P1361" s="30"/>
      <c r="Q1361" s="24"/>
      <c r="R1361" s="21"/>
      <c r="S1361" s="12"/>
      <c r="T1361" s="12"/>
      <c r="U1361" s="12"/>
      <c r="V1361" s="12"/>
      <c r="W1361" s="12"/>
      <c r="X1361" s="12"/>
      <c r="Y1361" s="12"/>
      <c r="Z1361" s="12"/>
      <c r="AA1361" s="12"/>
      <c r="AB1361" s="12"/>
      <c r="AC1361" s="12"/>
      <c r="AD1361" s="12"/>
    </row>
    <row r="1362" spans="2:30" x14ac:dyDescent="0.35">
      <c r="B1362" s="20"/>
      <c r="D1362" s="30"/>
      <c r="E1362" s="30"/>
      <c r="F1362" s="30"/>
      <c r="G1362" s="30"/>
      <c r="H1362" s="30"/>
      <c r="I1362" s="30"/>
      <c r="J1362" s="30"/>
      <c r="K1362" s="30"/>
      <c r="L1362" s="30"/>
      <c r="M1362" s="30"/>
      <c r="N1362" s="30"/>
      <c r="O1362" s="30"/>
      <c r="P1362" s="30"/>
      <c r="Q1362" s="24"/>
      <c r="R1362" s="21"/>
      <c r="S1362" s="12"/>
      <c r="T1362" s="12"/>
      <c r="U1362" s="12"/>
      <c r="V1362" s="12"/>
      <c r="W1362" s="12"/>
      <c r="X1362" s="12"/>
      <c r="Y1362" s="12"/>
      <c r="Z1362" s="12"/>
      <c r="AA1362" s="12"/>
      <c r="AB1362" s="12"/>
      <c r="AC1362" s="12"/>
      <c r="AD1362" s="12"/>
    </row>
    <row r="1363" spans="2:30" x14ac:dyDescent="0.35">
      <c r="B1363" s="20"/>
      <c r="D1363" s="30"/>
      <c r="E1363" s="30"/>
      <c r="F1363" s="30"/>
      <c r="G1363" s="30"/>
      <c r="H1363" s="30"/>
      <c r="I1363" s="30"/>
      <c r="J1363" s="30"/>
      <c r="K1363" s="30"/>
      <c r="L1363" s="30"/>
      <c r="M1363" s="30"/>
      <c r="N1363" s="30"/>
      <c r="O1363" s="30"/>
      <c r="P1363" s="30"/>
      <c r="Q1363" s="24"/>
      <c r="R1363" s="21"/>
      <c r="S1363" s="12"/>
      <c r="T1363" s="12"/>
      <c r="U1363" s="12"/>
      <c r="V1363" s="12"/>
      <c r="W1363" s="12"/>
      <c r="X1363" s="12"/>
      <c r="Y1363" s="12"/>
      <c r="Z1363" s="12"/>
      <c r="AA1363" s="12"/>
      <c r="AB1363" s="12"/>
      <c r="AC1363" s="12"/>
      <c r="AD1363" s="12"/>
    </row>
    <row r="1364" spans="2:30" x14ac:dyDescent="0.35">
      <c r="B1364" s="20"/>
      <c r="D1364" s="30"/>
      <c r="E1364" s="30"/>
      <c r="F1364" s="30"/>
      <c r="G1364" s="30"/>
      <c r="H1364" s="30"/>
      <c r="I1364" s="30"/>
      <c r="J1364" s="30"/>
      <c r="K1364" s="30"/>
      <c r="L1364" s="30"/>
      <c r="M1364" s="30"/>
      <c r="N1364" s="30"/>
      <c r="O1364" s="30"/>
      <c r="P1364" s="30"/>
      <c r="Q1364" s="24"/>
      <c r="R1364" s="21"/>
      <c r="S1364" s="12"/>
      <c r="T1364" s="12"/>
      <c r="U1364" s="12"/>
      <c r="V1364" s="12"/>
      <c r="W1364" s="12"/>
      <c r="X1364" s="12"/>
      <c r="Y1364" s="12"/>
      <c r="Z1364" s="12"/>
      <c r="AA1364" s="12"/>
      <c r="AB1364" s="12"/>
      <c r="AC1364" s="12"/>
      <c r="AD1364" s="12"/>
    </row>
    <row r="1365" spans="2:30" x14ac:dyDescent="0.35">
      <c r="B1365" s="20"/>
      <c r="D1365" s="30"/>
      <c r="E1365" s="30"/>
      <c r="F1365" s="30"/>
      <c r="G1365" s="30"/>
      <c r="H1365" s="30"/>
      <c r="I1365" s="30"/>
      <c r="J1365" s="30"/>
      <c r="K1365" s="30"/>
      <c r="L1365" s="30"/>
      <c r="M1365" s="30"/>
      <c r="N1365" s="30"/>
      <c r="O1365" s="30"/>
      <c r="P1365" s="30"/>
      <c r="Q1365" s="24"/>
      <c r="R1365" s="21"/>
      <c r="S1365" s="12"/>
      <c r="T1365" s="12"/>
      <c r="U1365" s="12"/>
      <c r="V1365" s="12"/>
      <c r="W1365" s="12"/>
      <c r="X1365" s="12"/>
      <c r="Y1365" s="12"/>
      <c r="Z1365" s="12"/>
      <c r="AA1365" s="12"/>
      <c r="AB1365" s="12"/>
      <c r="AC1365" s="12"/>
      <c r="AD1365" s="12"/>
    </row>
    <row r="1366" spans="2:30" x14ac:dyDescent="0.35">
      <c r="B1366" s="20"/>
      <c r="D1366" s="30"/>
      <c r="E1366" s="30"/>
      <c r="F1366" s="30"/>
      <c r="G1366" s="30"/>
      <c r="H1366" s="30"/>
      <c r="I1366" s="30"/>
      <c r="J1366" s="30"/>
      <c r="K1366" s="30"/>
      <c r="L1366" s="30"/>
      <c r="M1366" s="30"/>
      <c r="N1366" s="30"/>
      <c r="O1366" s="30"/>
      <c r="P1366" s="30"/>
      <c r="Q1366" s="24"/>
      <c r="R1366" s="21"/>
      <c r="S1366" s="12"/>
      <c r="T1366" s="12"/>
      <c r="U1366" s="12"/>
      <c r="V1366" s="12"/>
      <c r="W1366" s="12"/>
      <c r="X1366" s="12"/>
      <c r="Y1366" s="12"/>
      <c r="Z1366" s="12"/>
      <c r="AA1366" s="12"/>
      <c r="AB1366" s="12"/>
      <c r="AC1366" s="12"/>
      <c r="AD1366" s="12"/>
    </row>
    <row r="1367" spans="2:30" x14ac:dyDescent="0.35">
      <c r="B1367" s="20"/>
      <c r="D1367" s="30"/>
      <c r="E1367" s="30"/>
      <c r="F1367" s="30"/>
      <c r="G1367" s="30"/>
      <c r="H1367" s="30"/>
      <c r="I1367" s="30"/>
      <c r="J1367" s="30"/>
      <c r="K1367" s="30"/>
      <c r="L1367" s="30"/>
      <c r="M1367" s="30"/>
      <c r="N1367" s="30"/>
      <c r="O1367" s="30"/>
      <c r="P1367" s="30"/>
      <c r="Q1367" s="24"/>
      <c r="R1367" s="21"/>
      <c r="S1367" s="12"/>
      <c r="T1367" s="12"/>
      <c r="U1367" s="12"/>
      <c r="V1367" s="12"/>
      <c r="W1367" s="12"/>
      <c r="X1367" s="12"/>
      <c r="Y1367" s="12"/>
      <c r="Z1367" s="12"/>
      <c r="AA1367" s="12"/>
      <c r="AB1367" s="12"/>
      <c r="AC1367" s="12"/>
      <c r="AD1367" s="12"/>
    </row>
    <row r="1368" spans="2:30" x14ac:dyDescent="0.35">
      <c r="B1368" s="20"/>
      <c r="D1368" s="31"/>
      <c r="E1368" s="31"/>
      <c r="F1368" s="31"/>
      <c r="G1368" s="31"/>
      <c r="H1368" s="31"/>
      <c r="I1368" s="31"/>
      <c r="J1368" s="31"/>
      <c r="K1368" s="31"/>
      <c r="L1368" s="31"/>
      <c r="M1368" s="31"/>
      <c r="N1368" s="31"/>
      <c r="O1368" s="31"/>
      <c r="P1368" s="31"/>
      <c r="Q1368" s="24"/>
      <c r="R1368" s="21"/>
      <c r="S1368" s="12"/>
      <c r="T1368" s="12"/>
      <c r="U1368" s="12"/>
      <c r="V1368" s="12"/>
      <c r="W1368" s="12"/>
      <c r="X1368" s="12"/>
      <c r="Y1368" s="12"/>
      <c r="Z1368" s="12"/>
      <c r="AA1368" s="12"/>
      <c r="AB1368" s="12"/>
      <c r="AC1368" s="12"/>
      <c r="AD1368" s="12"/>
    </row>
    <row r="1369" spans="2:30" x14ac:dyDescent="0.35">
      <c r="B1369" s="20"/>
      <c r="D1369" s="30"/>
      <c r="E1369" s="30"/>
      <c r="F1369" s="30"/>
      <c r="G1369" s="30"/>
      <c r="H1369" s="30"/>
      <c r="I1369" s="30"/>
      <c r="J1369" s="30"/>
      <c r="K1369" s="30"/>
      <c r="L1369" s="30"/>
      <c r="M1369" s="30"/>
      <c r="N1369" s="30"/>
      <c r="O1369" s="30"/>
      <c r="P1369" s="30"/>
      <c r="Q1369" s="24"/>
      <c r="R1369" s="21"/>
      <c r="S1369" s="12"/>
      <c r="T1369" s="12"/>
      <c r="U1369" s="12"/>
      <c r="V1369" s="12"/>
      <c r="W1369" s="12"/>
      <c r="X1369" s="12"/>
      <c r="Y1369" s="12"/>
      <c r="Z1369" s="12"/>
      <c r="AA1369" s="12"/>
      <c r="AB1369" s="12"/>
      <c r="AC1369" s="12"/>
      <c r="AD1369" s="12"/>
    </row>
    <row r="1370" spans="2:30" x14ac:dyDescent="0.35">
      <c r="B1370" s="20"/>
      <c r="D1370" s="30"/>
      <c r="E1370" s="30"/>
      <c r="F1370" s="30"/>
      <c r="G1370" s="30"/>
      <c r="H1370" s="30"/>
      <c r="I1370" s="30"/>
      <c r="J1370" s="30"/>
      <c r="K1370" s="30"/>
      <c r="L1370" s="30"/>
      <c r="M1370" s="30"/>
      <c r="N1370" s="30"/>
      <c r="O1370" s="30"/>
      <c r="P1370" s="30"/>
      <c r="Q1370" s="24"/>
      <c r="R1370" s="14"/>
      <c r="S1370" s="12"/>
      <c r="T1370" s="12"/>
      <c r="U1370" s="12"/>
      <c r="V1370" s="12"/>
      <c r="W1370" s="12"/>
      <c r="X1370" s="12"/>
      <c r="Y1370" s="12"/>
      <c r="Z1370" s="12"/>
      <c r="AA1370" s="12"/>
      <c r="AB1370" s="12"/>
      <c r="AC1370" s="12"/>
      <c r="AD1370" s="12"/>
    </row>
    <row r="1371" spans="2:30" x14ac:dyDescent="0.35">
      <c r="B1371" s="20"/>
      <c r="D1371" s="30"/>
      <c r="E1371" s="30"/>
      <c r="F1371" s="30"/>
      <c r="G1371" s="30"/>
      <c r="H1371" s="30"/>
      <c r="I1371" s="30"/>
      <c r="J1371" s="30"/>
      <c r="K1371" s="30"/>
      <c r="L1371" s="30"/>
      <c r="M1371" s="30"/>
      <c r="N1371" s="30"/>
      <c r="O1371" s="30"/>
      <c r="P1371" s="30"/>
      <c r="Q1371" s="24"/>
      <c r="R1371" s="14"/>
      <c r="S1371" s="12"/>
      <c r="T1371" s="12"/>
      <c r="U1371" s="12"/>
      <c r="V1371" s="12"/>
      <c r="W1371" s="12"/>
      <c r="X1371" s="12"/>
      <c r="Y1371" s="12"/>
      <c r="Z1371" s="12"/>
      <c r="AA1371" s="12"/>
      <c r="AB1371" s="12"/>
      <c r="AC1371" s="12"/>
      <c r="AD1371" s="12"/>
    </row>
    <row r="1372" spans="2:30" x14ac:dyDescent="0.35">
      <c r="B1372" s="20"/>
      <c r="D1372" s="30"/>
      <c r="E1372" s="30"/>
      <c r="F1372" s="30"/>
      <c r="G1372" s="30"/>
      <c r="H1372" s="30"/>
      <c r="I1372" s="30"/>
      <c r="J1372" s="30"/>
      <c r="K1372" s="30"/>
      <c r="L1372" s="30"/>
      <c r="M1372" s="30"/>
      <c r="N1372" s="30"/>
      <c r="O1372" s="30"/>
      <c r="P1372" s="30"/>
      <c r="Q1372" s="24"/>
      <c r="R1372" s="14"/>
      <c r="S1372" s="12"/>
      <c r="T1372" s="12"/>
      <c r="U1372" s="12"/>
      <c r="V1372" s="12"/>
      <c r="W1372" s="12"/>
      <c r="X1372" s="12"/>
      <c r="Y1372" s="12"/>
      <c r="Z1372" s="12"/>
      <c r="AA1372" s="12"/>
      <c r="AB1372" s="12"/>
      <c r="AC1372" s="12"/>
      <c r="AD1372" s="12"/>
    </row>
    <row r="1373" spans="2:30" x14ac:dyDescent="0.35">
      <c r="B1373" s="20"/>
      <c r="D1373" s="30"/>
      <c r="E1373" s="30"/>
      <c r="F1373" s="30"/>
      <c r="G1373" s="30"/>
      <c r="H1373" s="30"/>
      <c r="I1373" s="30"/>
      <c r="J1373" s="30"/>
      <c r="K1373" s="30"/>
      <c r="L1373" s="30"/>
      <c r="M1373" s="30"/>
      <c r="N1373" s="30"/>
      <c r="O1373" s="30"/>
      <c r="P1373" s="30"/>
      <c r="Q1373" s="24"/>
      <c r="R1373" s="14"/>
      <c r="S1373" s="12"/>
      <c r="T1373" s="12"/>
      <c r="U1373" s="12"/>
      <c r="V1373" s="12"/>
      <c r="W1373" s="12"/>
      <c r="X1373" s="12"/>
      <c r="Y1373" s="12"/>
      <c r="Z1373" s="12"/>
      <c r="AA1373" s="12"/>
      <c r="AB1373" s="12"/>
      <c r="AC1373" s="12"/>
      <c r="AD1373" s="12"/>
    </row>
    <row r="1374" spans="2:30" x14ac:dyDescent="0.35">
      <c r="B1374" s="20"/>
      <c r="D1374" s="30"/>
      <c r="E1374" s="30"/>
      <c r="F1374" s="30"/>
      <c r="G1374" s="30"/>
      <c r="H1374" s="30"/>
      <c r="I1374" s="30"/>
      <c r="J1374" s="30"/>
      <c r="K1374" s="30"/>
      <c r="L1374" s="30"/>
      <c r="M1374" s="30"/>
      <c r="N1374" s="30"/>
      <c r="O1374" s="30"/>
      <c r="P1374" s="30"/>
      <c r="Q1374" s="24"/>
      <c r="R1374" s="14"/>
      <c r="S1374" s="12"/>
      <c r="T1374" s="12"/>
      <c r="U1374" s="12"/>
      <c r="V1374" s="12"/>
      <c r="W1374" s="12"/>
      <c r="X1374" s="12"/>
      <c r="Y1374" s="12"/>
      <c r="Z1374" s="12"/>
      <c r="AA1374" s="12"/>
      <c r="AB1374" s="12"/>
      <c r="AC1374" s="12"/>
      <c r="AD1374" s="12"/>
    </row>
    <row r="1375" spans="2:30" x14ac:dyDescent="0.35">
      <c r="B1375" s="20"/>
      <c r="D1375" s="30"/>
      <c r="E1375" s="30"/>
      <c r="F1375" s="30"/>
      <c r="G1375" s="30"/>
      <c r="H1375" s="30"/>
      <c r="I1375" s="30"/>
      <c r="J1375" s="30"/>
      <c r="K1375" s="30"/>
      <c r="L1375" s="30"/>
      <c r="M1375" s="30"/>
      <c r="N1375" s="30"/>
      <c r="O1375" s="30"/>
      <c r="P1375" s="30"/>
      <c r="Q1375" s="24"/>
      <c r="R1375" s="14"/>
      <c r="S1375" s="12"/>
      <c r="T1375" s="12"/>
      <c r="U1375" s="12"/>
      <c r="V1375" s="12"/>
      <c r="W1375" s="12"/>
      <c r="X1375" s="12"/>
      <c r="Y1375" s="12"/>
      <c r="Z1375" s="12"/>
      <c r="AA1375" s="12"/>
      <c r="AB1375" s="12"/>
      <c r="AC1375" s="12"/>
      <c r="AD1375" s="12"/>
    </row>
    <row r="1376" spans="2:30" x14ac:dyDescent="0.35">
      <c r="B1376" s="20"/>
      <c r="D1376" s="31"/>
      <c r="E1376" s="31"/>
      <c r="F1376" s="31"/>
      <c r="G1376" s="31"/>
      <c r="H1376" s="31"/>
      <c r="I1376" s="31"/>
      <c r="J1376" s="31"/>
      <c r="K1376" s="31"/>
      <c r="L1376" s="31"/>
      <c r="M1376" s="31"/>
      <c r="N1376" s="31"/>
      <c r="O1376" s="31"/>
      <c r="P1376" s="31"/>
      <c r="Q1376" s="24"/>
      <c r="R1376" s="14"/>
      <c r="S1376" s="12"/>
      <c r="T1376" s="12"/>
      <c r="U1376" s="12"/>
      <c r="V1376" s="12"/>
      <c r="W1376" s="12"/>
      <c r="X1376" s="12"/>
      <c r="Y1376" s="12"/>
      <c r="Z1376" s="12"/>
      <c r="AA1376" s="12"/>
      <c r="AB1376" s="12"/>
      <c r="AC1376" s="12"/>
      <c r="AD1376" s="12"/>
    </row>
    <row r="1377" spans="2:30" x14ac:dyDescent="0.35">
      <c r="B1377" s="20"/>
      <c r="D1377" s="30"/>
      <c r="E1377" s="30"/>
      <c r="F1377" s="30"/>
      <c r="G1377" s="30"/>
      <c r="H1377" s="30"/>
      <c r="I1377" s="30"/>
      <c r="J1377" s="30"/>
      <c r="K1377" s="30"/>
      <c r="L1377" s="30"/>
      <c r="M1377" s="30"/>
      <c r="N1377" s="30"/>
      <c r="O1377" s="30"/>
      <c r="P1377" s="30"/>
      <c r="Q1377" s="24"/>
      <c r="R1377" s="14"/>
      <c r="S1377" s="12"/>
      <c r="T1377" s="12"/>
      <c r="U1377" s="12"/>
      <c r="V1377" s="12"/>
      <c r="W1377" s="12"/>
      <c r="X1377" s="12"/>
      <c r="Y1377" s="12"/>
      <c r="Z1377" s="12"/>
      <c r="AA1377" s="12"/>
      <c r="AB1377" s="12"/>
      <c r="AC1377" s="12"/>
      <c r="AD1377" s="12"/>
    </row>
    <row r="1378" spans="2:30" x14ac:dyDescent="0.35">
      <c r="B1378" s="20"/>
      <c r="D1378" s="30"/>
      <c r="E1378" s="30"/>
      <c r="F1378" s="30"/>
      <c r="G1378" s="30"/>
      <c r="H1378" s="30"/>
      <c r="I1378" s="30"/>
      <c r="J1378" s="30"/>
      <c r="K1378" s="30"/>
      <c r="L1378" s="30"/>
      <c r="M1378" s="30"/>
      <c r="N1378" s="30"/>
      <c r="O1378" s="30"/>
      <c r="P1378" s="30"/>
      <c r="Q1378" s="24"/>
      <c r="R1378" s="14"/>
      <c r="S1378" s="12"/>
      <c r="T1378" s="12"/>
      <c r="U1378" s="12"/>
      <c r="V1378" s="12"/>
      <c r="W1378" s="12"/>
      <c r="X1378" s="12"/>
      <c r="Y1378" s="12"/>
      <c r="Z1378" s="12"/>
      <c r="AA1378" s="12"/>
      <c r="AB1378" s="12"/>
      <c r="AC1378" s="12"/>
      <c r="AD1378" s="12"/>
    </row>
    <row r="1379" spans="2:30" x14ac:dyDescent="0.35">
      <c r="B1379" s="20"/>
      <c r="D1379" s="30"/>
      <c r="E1379" s="30"/>
      <c r="F1379" s="30"/>
      <c r="G1379" s="30"/>
      <c r="H1379" s="30"/>
      <c r="I1379" s="30"/>
      <c r="J1379" s="30"/>
      <c r="K1379" s="30"/>
      <c r="L1379" s="30"/>
      <c r="M1379" s="30"/>
      <c r="N1379" s="30"/>
      <c r="O1379" s="30"/>
      <c r="P1379" s="30"/>
      <c r="Q1379" s="24"/>
      <c r="R1379" s="14"/>
      <c r="S1379" s="12"/>
      <c r="T1379" s="12"/>
      <c r="U1379" s="12"/>
      <c r="V1379" s="12"/>
      <c r="W1379" s="12"/>
      <c r="X1379" s="12"/>
      <c r="Y1379" s="12"/>
      <c r="Z1379" s="12"/>
      <c r="AA1379" s="12"/>
      <c r="AB1379" s="12"/>
      <c r="AC1379" s="12"/>
      <c r="AD1379" s="12"/>
    </row>
    <row r="1380" spans="2:30" x14ac:dyDescent="0.35">
      <c r="B1380" s="20"/>
      <c r="D1380" s="30"/>
      <c r="E1380" s="30"/>
      <c r="F1380" s="30"/>
      <c r="G1380" s="30"/>
      <c r="H1380" s="30"/>
      <c r="I1380" s="30"/>
      <c r="J1380" s="30"/>
      <c r="K1380" s="30"/>
      <c r="L1380" s="30"/>
      <c r="M1380" s="30"/>
      <c r="N1380" s="30"/>
      <c r="O1380" s="30"/>
      <c r="P1380" s="30"/>
      <c r="Q1380" s="24"/>
      <c r="R1380" s="14"/>
      <c r="S1380" s="12"/>
      <c r="T1380" s="12"/>
      <c r="U1380" s="12"/>
      <c r="V1380" s="12"/>
      <c r="W1380" s="12"/>
      <c r="X1380" s="12"/>
      <c r="Y1380" s="12"/>
      <c r="Z1380" s="12"/>
      <c r="AA1380" s="12"/>
      <c r="AB1380" s="12"/>
      <c r="AC1380" s="12"/>
      <c r="AD1380" s="12"/>
    </row>
    <row r="1381" spans="2:30" x14ac:dyDescent="0.35">
      <c r="B1381" s="20"/>
      <c r="D1381" s="30"/>
      <c r="E1381" s="30"/>
      <c r="F1381" s="30"/>
      <c r="G1381" s="30"/>
      <c r="H1381" s="30"/>
      <c r="I1381" s="30"/>
      <c r="J1381" s="30"/>
      <c r="K1381" s="30"/>
      <c r="L1381" s="30"/>
      <c r="M1381" s="30"/>
      <c r="N1381" s="30"/>
      <c r="O1381" s="30"/>
      <c r="P1381" s="30"/>
      <c r="Q1381" s="24"/>
      <c r="R1381" s="14"/>
      <c r="S1381" s="12"/>
      <c r="T1381" s="12"/>
      <c r="U1381" s="12"/>
      <c r="V1381" s="12"/>
      <c r="W1381" s="12"/>
      <c r="X1381" s="12"/>
      <c r="Y1381" s="12"/>
      <c r="Z1381" s="12"/>
      <c r="AA1381" s="12"/>
      <c r="AB1381" s="12"/>
      <c r="AC1381" s="12"/>
      <c r="AD1381" s="12"/>
    </row>
    <row r="1382" spans="2:30" x14ac:dyDescent="0.35">
      <c r="B1382" s="20"/>
      <c r="D1382" s="30"/>
      <c r="E1382" s="30"/>
      <c r="F1382" s="30"/>
      <c r="G1382" s="30"/>
      <c r="H1382" s="30"/>
      <c r="I1382" s="30"/>
      <c r="J1382" s="30"/>
      <c r="K1382" s="30"/>
      <c r="L1382" s="30"/>
      <c r="M1382" s="30"/>
      <c r="N1382" s="30"/>
      <c r="O1382" s="30"/>
      <c r="P1382" s="30"/>
      <c r="Q1382" s="24"/>
      <c r="R1382" s="14"/>
      <c r="S1382" s="12"/>
      <c r="T1382" s="12"/>
      <c r="U1382" s="12"/>
      <c r="V1382" s="12"/>
      <c r="W1382" s="12"/>
      <c r="X1382" s="12"/>
      <c r="Y1382" s="12"/>
      <c r="Z1382" s="12"/>
      <c r="AA1382" s="12"/>
      <c r="AB1382" s="12"/>
      <c r="AC1382" s="12"/>
      <c r="AD1382" s="12"/>
    </row>
    <row r="1383" spans="2:30" x14ac:dyDescent="0.35">
      <c r="B1383" s="20"/>
      <c r="D1383" s="30"/>
      <c r="E1383" s="30"/>
      <c r="F1383" s="30"/>
      <c r="G1383" s="30"/>
      <c r="H1383" s="30"/>
      <c r="I1383" s="30"/>
      <c r="J1383" s="30"/>
      <c r="K1383" s="30"/>
      <c r="L1383" s="30"/>
      <c r="M1383" s="30"/>
      <c r="N1383" s="30"/>
      <c r="O1383" s="30"/>
      <c r="P1383" s="30"/>
      <c r="Q1383" s="24"/>
      <c r="R1383" s="14"/>
      <c r="S1383" s="12"/>
      <c r="T1383" s="12"/>
      <c r="U1383" s="12"/>
      <c r="V1383" s="12"/>
      <c r="W1383" s="12"/>
      <c r="X1383" s="12"/>
      <c r="Y1383" s="12"/>
      <c r="Z1383" s="12"/>
      <c r="AA1383" s="12"/>
      <c r="AB1383" s="12"/>
      <c r="AC1383" s="12"/>
      <c r="AD1383" s="12"/>
    </row>
    <row r="1384" spans="2:30" x14ac:dyDescent="0.35">
      <c r="B1384" s="20"/>
      <c r="D1384" s="31"/>
      <c r="E1384" s="31"/>
      <c r="F1384" s="31"/>
      <c r="G1384" s="31"/>
      <c r="H1384" s="31"/>
      <c r="I1384" s="31"/>
      <c r="J1384" s="31"/>
      <c r="K1384" s="31"/>
      <c r="L1384" s="31"/>
      <c r="M1384" s="31"/>
      <c r="N1384" s="31"/>
      <c r="O1384" s="31"/>
      <c r="P1384" s="31"/>
      <c r="Q1384" s="24"/>
      <c r="R1384" s="14"/>
      <c r="S1384" s="12"/>
      <c r="T1384" s="12"/>
      <c r="U1384" s="12"/>
      <c r="V1384" s="12"/>
      <c r="W1384" s="12"/>
      <c r="X1384" s="12"/>
      <c r="Y1384" s="12"/>
      <c r="Z1384" s="12"/>
      <c r="AA1384" s="12"/>
      <c r="AB1384" s="12"/>
      <c r="AC1384" s="12"/>
      <c r="AD1384" s="12"/>
    </row>
    <row r="1385" spans="2:30" x14ac:dyDescent="0.35">
      <c r="B1385" s="20"/>
      <c r="D1385" s="30"/>
      <c r="E1385" s="30"/>
      <c r="F1385" s="30"/>
      <c r="G1385" s="30"/>
      <c r="H1385" s="30"/>
      <c r="I1385" s="30"/>
      <c r="J1385" s="30"/>
      <c r="K1385" s="30"/>
      <c r="L1385" s="30"/>
      <c r="M1385" s="30"/>
      <c r="N1385" s="30"/>
      <c r="O1385" s="30"/>
      <c r="P1385" s="30"/>
      <c r="Q1385" s="24"/>
      <c r="R1385" s="21"/>
      <c r="S1385" s="12"/>
      <c r="T1385" s="12"/>
      <c r="U1385" s="12"/>
      <c r="V1385" s="12"/>
      <c r="W1385" s="12"/>
      <c r="X1385" s="12"/>
      <c r="Y1385" s="12"/>
      <c r="Z1385" s="12"/>
      <c r="AA1385" s="12"/>
      <c r="AB1385" s="12"/>
      <c r="AC1385" s="12"/>
      <c r="AD1385" s="12"/>
    </row>
    <row r="1386" spans="2:30" x14ac:dyDescent="0.35">
      <c r="B1386" s="20"/>
      <c r="D1386" s="30"/>
      <c r="E1386" s="30"/>
      <c r="F1386" s="30"/>
      <c r="G1386" s="30"/>
      <c r="H1386" s="30"/>
      <c r="I1386" s="30"/>
      <c r="J1386" s="30"/>
      <c r="K1386" s="30"/>
      <c r="L1386" s="30"/>
      <c r="M1386" s="30"/>
      <c r="N1386" s="30"/>
      <c r="O1386" s="30"/>
      <c r="P1386" s="30"/>
      <c r="Q1386" s="24"/>
      <c r="R1386" s="21"/>
      <c r="S1386" s="12"/>
      <c r="T1386" s="12"/>
      <c r="U1386" s="12"/>
      <c r="V1386" s="12"/>
      <c r="W1386" s="12"/>
      <c r="X1386" s="12"/>
      <c r="Y1386" s="12"/>
      <c r="Z1386" s="12"/>
      <c r="AA1386" s="12"/>
      <c r="AB1386" s="12"/>
      <c r="AC1386" s="12"/>
      <c r="AD1386" s="12"/>
    </row>
    <row r="1387" spans="2:30" x14ac:dyDescent="0.35">
      <c r="B1387" s="20"/>
      <c r="D1387" s="30"/>
      <c r="E1387" s="30"/>
      <c r="F1387" s="30"/>
      <c r="G1387" s="30"/>
      <c r="H1387" s="30"/>
      <c r="I1387" s="30"/>
      <c r="J1387" s="30"/>
      <c r="K1387" s="30"/>
      <c r="L1387" s="30"/>
      <c r="M1387" s="30"/>
      <c r="N1387" s="30"/>
      <c r="O1387" s="30"/>
      <c r="P1387" s="30"/>
      <c r="Q1387" s="24"/>
      <c r="R1387" s="21"/>
      <c r="S1387" s="12"/>
      <c r="T1387" s="12"/>
      <c r="U1387" s="12"/>
      <c r="V1387" s="12"/>
      <c r="W1387" s="12"/>
      <c r="X1387" s="12"/>
      <c r="Y1387" s="12"/>
      <c r="Z1387" s="12"/>
      <c r="AA1387" s="12"/>
      <c r="AB1387" s="12"/>
      <c r="AC1387" s="12"/>
      <c r="AD1387" s="12"/>
    </row>
    <row r="1388" spans="2:30" x14ac:dyDescent="0.35">
      <c r="B1388" s="20"/>
      <c r="D1388" s="30"/>
      <c r="E1388" s="30"/>
      <c r="F1388" s="30"/>
      <c r="G1388" s="30"/>
      <c r="H1388" s="30"/>
      <c r="I1388" s="30"/>
      <c r="J1388" s="30"/>
      <c r="K1388" s="30"/>
      <c r="L1388" s="30"/>
      <c r="M1388" s="30"/>
      <c r="N1388" s="30"/>
      <c r="O1388" s="30"/>
      <c r="P1388" s="30"/>
      <c r="Q1388" s="24"/>
      <c r="R1388" s="21"/>
      <c r="S1388" s="12"/>
      <c r="T1388" s="12"/>
      <c r="U1388" s="12"/>
      <c r="V1388" s="12"/>
      <c r="W1388" s="12"/>
      <c r="X1388" s="12"/>
      <c r="Y1388" s="12"/>
      <c r="Z1388" s="12"/>
      <c r="AA1388" s="12"/>
      <c r="AB1388" s="12"/>
      <c r="AC1388" s="12"/>
      <c r="AD1388" s="12"/>
    </row>
    <row r="1389" spans="2:30" x14ac:dyDescent="0.35">
      <c r="B1389" s="20"/>
      <c r="D1389" s="30"/>
      <c r="E1389" s="30"/>
      <c r="F1389" s="30"/>
      <c r="G1389" s="30"/>
      <c r="H1389" s="30"/>
      <c r="I1389" s="30"/>
      <c r="J1389" s="30"/>
      <c r="K1389" s="30"/>
      <c r="L1389" s="30"/>
      <c r="M1389" s="30"/>
      <c r="N1389" s="30"/>
      <c r="O1389" s="30"/>
      <c r="P1389" s="30"/>
      <c r="Q1389" s="24"/>
      <c r="R1389" s="21"/>
      <c r="S1389" s="12"/>
      <c r="T1389" s="12"/>
      <c r="U1389" s="12"/>
      <c r="V1389" s="12"/>
      <c r="W1389" s="12"/>
      <c r="X1389" s="12"/>
      <c r="Y1389" s="12"/>
      <c r="Z1389" s="12"/>
      <c r="AA1389" s="12"/>
      <c r="AB1389" s="12"/>
      <c r="AC1389" s="12"/>
      <c r="AD1389" s="12"/>
    </row>
    <row r="1390" spans="2:30" x14ac:dyDescent="0.35">
      <c r="B1390" s="20"/>
      <c r="D1390" s="30"/>
      <c r="E1390" s="30"/>
      <c r="F1390" s="30"/>
      <c r="G1390" s="30"/>
      <c r="H1390" s="30"/>
      <c r="I1390" s="30"/>
      <c r="J1390" s="30"/>
      <c r="K1390" s="30"/>
      <c r="L1390" s="30"/>
      <c r="M1390" s="30"/>
      <c r="N1390" s="30"/>
      <c r="O1390" s="30"/>
      <c r="P1390" s="30"/>
      <c r="Q1390" s="24"/>
      <c r="R1390" s="21"/>
      <c r="S1390" s="12"/>
      <c r="T1390" s="12"/>
      <c r="U1390" s="12"/>
      <c r="V1390" s="12"/>
      <c r="W1390" s="12"/>
      <c r="X1390" s="12"/>
      <c r="Y1390" s="12"/>
      <c r="Z1390" s="12"/>
      <c r="AA1390" s="12"/>
      <c r="AB1390" s="12"/>
      <c r="AC1390" s="12"/>
      <c r="AD1390" s="12"/>
    </row>
    <row r="1391" spans="2:30" x14ac:dyDescent="0.35">
      <c r="B1391" s="20"/>
      <c r="D1391" s="30"/>
      <c r="E1391" s="30"/>
      <c r="F1391" s="30"/>
      <c r="G1391" s="30"/>
      <c r="H1391" s="30"/>
      <c r="I1391" s="30"/>
      <c r="J1391" s="30"/>
      <c r="K1391" s="30"/>
      <c r="L1391" s="30"/>
      <c r="M1391" s="30"/>
      <c r="N1391" s="30"/>
      <c r="O1391" s="30"/>
      <c r="P1391" s="30"/>
      <c r="Q1391" s="24"/>
      <c r="R1391" s="21"/>
      <c r="S1391" s="12"/>
      <c r="T1391" s="12"/>
      <c r="U1391" s="12"/>
      <c r="V1391" s="12"/>
      <c r="W1391" s="12"/>
      <c r="X1391" s="12"/>
      <c r="Y1391" s="12"/>
      <c r="Z1391" s="12"/>
      <c r="AA1391" s="12"/>
      <c r="AB1391" s="12"/>
      <c r="AC1391" s="12"/>
      <c r="AD1391" s="12"/>
    </row>
    <row r="1392" spans="2:30" x14ac:dyDescent="0.35">
      <c r="B1392" s="20"/>
      <c r="D1392" s="31"/>
      <c r="E1392" s="31"/>
      <c r="F1392" s="31"/>
      <c r="G1392" s="31"/>
      <c r="H1392" s="31"/>
      <c r="I1392" s="31"/>
      <c r="J1392" s="31"/>
      <c r="K1392" s="31"/>
      <c r="L1392" s="31"/>
      <c r="M1392" s="31"/>
      <c r="N1392" s="31"/>
      <c r="O1392" s="31"/>
      <c r="P1392" s="31"/>
      <c r="Q1392" s="24"/>
      <c r="R1392" s="21"/>
      <c r="S1392" s="12"/>
      <c r="T1392" s="12"/>
      <c r="U1392" s="12"/>
      <c r="V1392" s="12"/>
      <c r="W1392" s="12"/>
      <c r="X1392" s="12"/>
      <c r="Y1392" s="12"/>
      <c r="Z1392" s="12"/>
      <c r="AA1392" s="12"/>
      <c r="AB1392" s="12"/>
      <c r="AC1392" s="12"/>
      <c r="AD1392" s="12"/>
    </row>
    <row r="1393" spans="2:30" x14ac:dyDescent="0.35">
      <c r="B1393" s="20"/>
      <c r="D1393" s="30"/>
      <c r="E1393" s="30"/>
      <c r="F1393" s="30"/>
      <c r="G1393" s="30"/>
      <c r="H1393" s="30"/>
      <c r="I1393" s="30"/>
      <c r="J1393" s="30"/>
      <c r="K1393" s="30"/>
      <c r="L1393" s="30"/>
      <c r="M1393" s="30"/>
      <c r="N1393" s="30"/>
      <c r="O1393" s="30"/>
      <c r="P1393" s="30"/>
      <c r="Q1393" s="24"/>
      <c r="R1393" s="21"/>
      <c r="S1393" s="12"/>
      <c r="T1393" s="12"/>
      <c r="U1393" s="12"/>
      <c r="V1393" s="12"/>
      <c r="W1393" s="12"/>
      <c r="X1393" s="12"/>
      <c r="Y1393" s="12"/>
      <c r="Z1393" s="12"/>
      <c r="AA1393" s="12"/>
      <c r="AB1393" s="12"/>
      <c r="AC1393" s="12"/>
      <c r="AD1393" s="12"/>
    </row>
    <row r="1394" spans="2:30" x14ac:dyDescent="0.35">
      <c r="B1394" s="20"/>
      <c r="D1394" s="30"/>
      <c r="E1394" s="30"/>
      <c r="F1394" s="30"/>
      <c r="G1394" s="30"/>
      <c r="H1394" s="30"/>
      <c r="I1394" s="30"/>
      <c r="J1394" s="30"/>
      <c r="K1394" s="30"/>
      <c r="L1394" s="30"/>
      <c r="M1394" s="30"/>
      <c r="N1394" s="30"/>
      <c r="O1394" s="30"/>
      <c r="P1394" s="30"/>
      <c r="Q1394" s="24"/>
      <c r="R1394" s="21"/>
      <c r="S1394" s="12"/>
      <c r="T1394" s="12"/>
      <c r="U1394" s="12"/>
      <c r="V1394" s="12"/>
      <c r="W1394" s="12"/>
      <c r="X1394" s="12"/>
      <c r="Y1394" s="12"/>
      <c r="Z1394" s="12"/>
      <c r="AA1394" s="12"/>
      <c r="AB1394" s="12"/>
      <c r="AC1394" s="12"/>
      <c r="AD1394" s="12"/>
    </row>
    <row r="1395" spans="2:30" x14ac:dyDescent="0.35">
      <c r="B1395" s="20"/>
      <c r="D1395" s="30"/>
      <c r="E1395" s="30"/>
      <c r="F1395" s="30"/>
      <c r="G1395" s="30"/>
      <c r="H1395" s="30"/>
      <c r="I1395" s="30"/>
      <c r="J1395" s="30"/>
      <c r="K1395" s="30"/>
      <c r="L1395" s="30"/>
      <c r="M1395" s="30"/>
      <c r="N1395" s="30"/>
      <c r="O1395" s="30"/>
      <c r="P1395" s="30"/>
      <c r="Q1395" s="24"/>
      <c r="R1395" s="21"/>
      <c r="S1395" s="12"/>
      <c r="T1395" s="12"/>
      <c r="U1395" s="12"/>
      <c r="V1395" s="12"/>
      <c r="W1395" s="12"/>
      <c r="X1395" s="12"/>
      <c r="Y1395" s="12"/>
      <c r="Z1395" s="12"/>
      <c r="AA1395" s="12"/>
      <c r="AB1395" s="12"/>
      <c r="AC1395" s="12"/>
      <c r="AD1395" s="12"/>
    </row>
    <row r="1396" spans="2:30" x14ac:dyDescent="0.35">
      <c r="B1396" s="20"/>
      <c r="D1396" s="30"/>
      <c r="E1396" s="30"/>
      <c r="F1396" s="30"/>
      <c r="G1396" s="30"/>
      <c r="H1396" s="30"/>
      <c r="I1396" s="30"/>
      <c r="J1396" s="30"/>
      <c r="K1396" s="30"/>
      <c r="L1396" s="30"/>
      <c r="M1396" s="30"/>
      <c r="N1396" s="30"/>
      <c r="O1396" s="30"/>
      <c r="P1396" s="30"/>
      <c r="Q1396" s="24"/>
      <c r="R1396" s="21"/>
      <c r="S1396" s="12"/>
      <c r="T1396" s="12"/>
      <c r="U1396" s="12"/>
      <c r="V1396" s="12"/>
      <c r="W1396" s="12"/>
      <c r="X1396" s="12"/>
      <c r="Y1396" s="12"/>
      <c r="Z1396" s="12"/>
      <c r="AA1396" s="12"/>
      <c r="AB1396" s="12"/>
      <c r="AC1396" s="12"/>
      <c r="AD1396" s="12"/>
    </row>
    <row r="1397" spans="2:30" x14ac:dyDescent="0.35">
      <c r="B1397" s="20"/>
      <c r="D1397" s="30"/>
      <c r="E1397" s="30"/>
      <c r="F1397" s="30"/>
      <c r="G1397" s="30"/>
      <c r="H1397" s="30"/>
      <c r="I1397" s="30"/>
      <c r="J1397" s="30"/>
      <c r="K1397" s="30"/>
      <c r="L1397" s="30"/>
      <c r="M1397" s="30"/>
      <c r="N1397" s="30"/>
      <c r="O1397" s="30"/>
      <c r="P1397" s="30"/>
      <c r="Q1397" s="24"/>
      <c r="R1397" s="21"/>
      <c r="S1397" s="12"/>
      <c r="T1397" s="12"/>
      <c r="U1397" s="12"/>
      <c r="V1397" s="12"/>
      <c r="W1397" s="12"/>
      <c r="X1397" s="12"/>
      <c r="Y1397" s="12"/>
      <c r="Z1397" s="12"/>
      <c r="AA1397" s="12"/>
      <c r="AB1397" s="12"/>
      <c r="AC1397" s="12"/>
      <c r="AD1397" s="12"/>
    </row>
    <row r="1398" spans="2:30" x14ac:dyDescent="0.35">
      <c r="B1398" s="20"/>
      <c r="D1398" s="30"/>
      <c r="E1398" s="30"/>
      <c r="F1398" s="30"/>
      <c r="G1398" s="30"/>
      <c r="H1398" s="30"/>
      <c r="I1398" s="30"/>
      <c r="J1398" s="30"/>
      <c r="K1398" s="30"/>
      <c r="L1398" s="30"/>
      <c r="M1398" s="30"/>
      <c r="N1398" s="30"/>
      <c r="O1398" s="30"/>
      <c r="P1398" s="30"/>
      <c r="Q1398" s="24"/>
      <c r="R1398" s="21"/>
      <c r="S1398" s="12"/>
      <c r="T1398" s="12"/>
      <c r="U1398" s="12"/>
      <c r="V1398" s="12"/>
      <c r="W1398" s="12"/>
      <c r="X1398" s="12"/>
      <c r="Y1398" s="12"/>
      <c r="Z1398" s="12"/>
      <c r="AA1398" s="12"/>
      <c r="AB1398" s="12"/>
      <c r="AC1398" s="12"/>
      <c r="AD1398" s="12"/>
    </row>
    <row r="1399" spans="2:30" x14ac:dyDescent="0.35">
      <c r="B1399" s="20"/>
      <c r="D1399" s="30"/>
      <c r="E1399" s="30"/>
      <c r="F1399" s="30"/>
      <c r="G1399" s="30"/>
      <c r="H1399" s="30"/>
      <c r="I1399" s="30"/>
      <c r="J1399" s="30"/>
      <c r="K1399" s="30"/>
      <c r="L1399" s="30"/>
      <c r="M1399" s="30"/>
      <c r="N1399" s="30"/>
      <c r="O1399" s="30"/>
      <c r="P1399" s="30"/>
      <c r="Q1399" s="24"/>
      <c r="R1399" s="21"/>
      <c r="S1399" s="12"/>
      <c r="T1399" s="12"/>
      <c r="U1399" s="12"/>
      <c r="V1399" s="12"/>
      <c r="W1399" s="12"/>
      <c r="X1399" s="12"/>
      <c r="Y1399" s="12"/>
      <c r="Z1399" s="12"/>
      <c r="AA1399" s="12"/>
      <c r="AB1399" s="12"/>
      <c r="AC1399" s="12"/>
      <c r="AD1399" s="12"/>
    </row>
    <row r="1400" spans="2:30" x14ac:dyDescent="0.35">
      <c r="B1400" s="20"/>
      <c r="D1400" s="31"/>
      <c r="E1400" s="31"/>
      <c r="F1400" s="31"/>
      <c r="G1400" s="31"/>
      <c r="H1400" s="31"/>
      <c r="I1400" s="31"/>
      <c r="J1400" s="31"/>
      <c r="K1400" s="31"/>
      <c r="L1400" s="31"/>
      <c r="M1400" s="31"/>
      <c r="N1400" s="31"/>
      <c r="O1400" s="31"/>
      <c r="P1400" s="31"/>
      <c r="Q1400" s="24"/>
      <c r="R1400" s="21"/>
      <c r="S1400" s="12"/>
      <c r="T1400" s="12"/>
      <c r="U1400" s="12"/>
      <c r="V1400" s="12"/>
      <c r="W1400" s="12"/>
      <c r="X1400" s="12"/>
      <c r="Y1400" s="12"/>
      <c r="Z1400" s="12"/>
      <c r="AA1400" s="12"/>
      <c r="AB1400" s="12"/>
      <c r="AC1400" s="12"/>
      <c r="AD1400" s="12"/>
    </row>
    <row r="1401" spans="2:30" x14ac:dyDescent="0.35">
      <c r="B1401" s="20"/>
      <c r="D1401" s="30"/>
      <c r="E1401" s="30"/>
      <c r="F1401" s="30"/>
      <c r="G1401" s="30"/>
      <c r="H1401" s="30"/>
      <c r="I1401" s="30"/>
      <c r="J1401" s="30"/>
      <c r="K1401" s="30"/>
      <c r="L1401" s="30"/>
      <c r="M1401" s="30"/>
      <c r="N1401" s="30"/>
      <c r="O1401" s="30"/>
      <c r="P1401" s="30"/>
      <c r="Q1401" s="24"/>
      <c r="R1401" s="14"/>
      <c r="S1401" s="12"/>
      <c r="T1401" s="12"/>
      <c r="U1401" s="12"/>
      <c r="V1401" s="12"/>
      <c r="W1401" s="12"/>
      <c r="X1401" s="12"/>
      <c r="Y1401" s="12"/>
      <c r="Z1401" s="12"/>
      <c r="AA1401" s="12"/>
      <c r="AB1401" s="12"/>
      <c r="AC1401" s="12"/>
      <c r="AD1401" s="12"/>
    </row>
    <row r="1402" spans="2:30" x14ac:dyDescent="0.35">
      <c r="B1402" s="20"/>
      <c r="D1402" s="30"/>
      <c r="E1402" s="30"/>
      <c r="F1402" s="30"/>
      <c r="G1402" s="30"/>
      <c r="H1402" s="30"/>
      <c r="I1402" s="30"/>
      <c r="J1402" s="30"/>
      <c r="K1402" s="30"/>
      <c r="L1402" s="30"/>
      <c r="M1402" s="30"/>
      <c r="N1402" s="30"/>
      <c r="O1402" s="30"/>
      <c r="P1402" s="30"/>
      <c r="Q1402" s="24"/>
      <c r="R1402" s="14"/>
      <c r="S1402" s="12"/>
      <c r="T1402" s="12"/>
      <c r="U1402" s="12"/>
      <c r="V1402" s="12"/>
      <c r="W1402" s="12"/>
      <c r="X1402" s="12"/>
      <c r="Y1402" s="12"/>
      <c r="Z1402" s="12"/>
      <c r="AA1402" s="12"/>
      <c r="AB1402" s="12"/>
      <c r="AC1402" s="12"/>
      <c r="AD1402" s="12"/>
    </row>
    <row r="1403" spans="2:30" x14ac:dyDescent="0.35">
      <c r="B1403" s="20"/>
      <c r="D1403" s="30"/>
      <c r="E1403" s="30"/>
      <c r="F1403" s="30"/>
      <c r="G1403" s="30"/>
      <c r="H1403" s="30"/>
      <c r="I1403" s="30"/>
      <c r="J1403" s="30"/>
      <c r="K1403" s="30"/>
      <c r="L1403" s="30"/>
      <c r="M1403" s="30"/>
      <c r="N1403" s="30"/>
      <c r="O1403" s="30"/>
      <c r="P1403" s="30"/>
      <c r="Q1403" s="24"/>
      <c r="R1403" s="14"/>
      <c r="S1403" s="12"/>
      <c r="T1403" s="12"/>
      <c r="U1403" s="12"/>
      <c r="V1403" s="12"/>
      <c r="W1403" s="12"/>
      <c r="X1403" s="12"/>
      <c r="Y1403" s="12"/>
      <c r="Z1403" s="12"/>
      <c r="AA1403" s="12"/>
      <c r="AB1403" s="12"/>
      <c r="AC1403" s="12"/>
      <c r="AD1403" s="12"/>
    </row>
    <row r="1404" spans="2:30" x14ac:dyDescent="0.35">
      <c r="B1404" s="20"/>
      <c r="D1404" s="30"/>
      <c r="E1404" s="30"/>
      <c r="F1404" s="30"/>
      <c r="G1404" s="30"/>
      <c r="H1404" s="30"/>
      <c r="I1404" s="30"/>
      <c r="J1404" s="30"/>
      <c r="K1404" s="30"/>
      <c r="L1404" s="30"/>
      <c r="M1404" s="30"/>
      <c r="N1404" s="30"/>
      <c r="O1404" s="30"/>
      <c r="P1404" s="30"/>
      <c r="Q1404" s="24"/>
      <c r="R1404" s="14"/>
      <c r="S1404" s="12"/>
      <c r="T1404" s="12"/>
      <c r="U1404" s="12"/>
      <c r="V1404" s="12"/>
      <c r="W1404" s="12"/>
      <c r="X1404" s="12"/>
      <c r="Y1404" s="12"/>
      <c r="Z1404" s="12"/>
      <c r="AA1404" s="12"/>
      <c r="AB1404" s="12"/>
      <c r="AC1404" s="12"/>
      <c r="AD1404" s="12"/>
    </row>
    <row r="1405" spans="2:30" x14ac:dyDescent="0.35">
      <c r="B1405" s="20"/>
      <c r="D1405" s="30"/>
      <c r="E1405" s="30"/>
      <c r="F1405" s="30"/>
      <c r="G1405" s="30"/>
      <c r="H1405" s="30"/>
      <c r="I1405" s="30"/>
      <c r="J1405" s="30"/>
      <c r="K1405" s="30"/>
      <c r="L1405" s="30"/>
      <c r="M1405" s="30"/>
      <c r="N1405" s="30"/>
      <c r="O1405" s="30"/>
      <c r="P1405" s="30"/>
      <c r="Q1405" s="24"/>
      <c r="R1405" s="14"/>
      <c r="S1405" s="12"/>
      <c r="T1405" s="12"/>
      <c r="U1405" s="12"/>
      <c r="V1405" s="12"/>
      <c r="W1405" s="12"/>
      <c r="X1405" s="12"/>
      <c r="Y1405" s="12"/>
      <c r="Z1405" s="12"/>
      <c r="AA1405" s="12"/>
      <c r="AB1405" s="12"/>
      <c r="AC1405" s="12"/>
      <c r="AD1405" s="12"/>
    </row>
    <row r="1406" spans="2:30" x14ac:dyDescent="0.35">
      <c r="B1406" s="20"/>
      <c r="D1406" s="30"/>
      <c r="E1406" s="30"/>
      <c r="F1406" s="30"/>
      <c r="G1406" s="30"/>
      <c r="H1406" s="30"/>
      <c r="I1406" s="30"/>
      <c r="J1406" s="30"/>
      <c r="K1406" s="30"/>
      <c r="L1406" s="30"/>
      <c r="M1406" s="30"/>
      <c r="N1406" s="30"/>
      <c r="O1406" s="30"/>
      <c r="P1406" s="30"/>
      <c r="Q1406" s="24"/>
      <c r="R1406" s="14"/>
      <c r="S1406" s="12"/>
      <c r="T1406" s="12"/>
      <c r="U1406" s="12"/>
      <c r="V1406" s="12"/>
      <c r="W1406" s="12"/>
      <c r="X1406" s="12"/>
      <c r="Y1406" s="12"/>
      <c r="Z1406" s="12"/>
      <c r="AA1406" s="12"/>
      <c r="AB1406" s="12"/>
      <c r="AC1406" s="12"/>
      <c r="AD1406" s="12"/>
    </row>
    <row r="1407" spans="2:30" x14ac:dyDescent="0.35">
      <c r="B1407" s="20"/>
      <c r="D1407" s="30"/>
      <c r="E1407" s="30"/>
      <c r="F1407" s="30"/>
      <c r="G1407" s="30"/>
      <c r="H1407" s="30"/>
      <c r="I1407" s="30"/>
      <c r="J1407" s="30"/>
      <c r="K1407" s="30"/>
      <c r="L1407" s="30"/>
      <c r="M1407" s="30"/>
      <c r="N1407" s="30"/>
      <c r="O1407" s="30"/>
      <c r="P1407" s="30"/>
      <c r="Q1407" s="24"/>
      <c r="R1407" s="14"/>
      <c r="S1407" s="12"/>
      <c r="T1407" s="12"/>
      <c r="U1407" s="12"/>
      <c r="V1407" s="12"/>
      <c r="W1407" s="12"/>
      <c r="X1407" s="12"/>
      <c r="Y1407" s="12"/>
      <c r="Z1407" s="12"/>
      <c r="AA1407" s="12"/>
      <c r="AB1407" s="12"/>
      <c r="AC1407" s="12"/>
      <c r="AD1407" s="12"/>
    </row>
    <row r="1408" spans="2:30" x14ac:dyDescent="0.35">
      <c r="B1408" s="20"/>
      <c r="D1408" s="31"/>
      <c r="E1408" s="31"/>
      <c r="F1408" s="31"/>
      <c r="G1408" s="31"/>
      <c r="H1408" s="31"/>
      <c r="I1408" s="31"/>
      <c r="J1408" s="31"/>
      <c r="K1408" s="31"/>
      <c r="L1408" s="31"/>
      <c r="M1408" s="31"/>
      <c r="N1408" s="31"/>
      <c r="O1408" s="31"/>
      <c r="P1408" s="31"/>
      <c r="Q1408" s="24"/>
      <c r="R1408" s="21"/>
      <c r="S1408" s="12"/>
      <c r="T1408" s="12"/>
      <c r="U1408" s="12"/>
      <c r="V1408" s="12"/>
      <c r="W1408" s="12"/>
      <c r="X1408" s="12"/>
      <c r="Y1408" s="12"/>
      <c r="Z1408" s="12"/>
      <c r="AA1408" s="12"/>
      <c r="AB1408" s="12"/>
      <c r="AC1408" s="12"/>
      <c r="AD1408" s="12"/>
    </row>
    <row r="1409" spans="1:30" x14ac:dyDescent="0.35">
      <c r="B1409" s="20"/>
      <c r="D1409" s="30"/>
      <c r="E1409" s="30"/>
      <c r="F1409" s="30"/>
      <c r="G1409" s="30"/>
      <c r="H1409" s="30"/>
      <c r="I1409" s="30"/>
      <c r="J1409" s="30"/>
      <c r="K1409" s="30"/>
      <c r="L1409" s="30"/>
      <c r="M1409" s="30"/>
      <c r="N1409" s="30"/>
      <c r="O1409" s="30"/>
      <c r="P1409" s="30"/>
      <c r="Q1409" s="24"/>
      <c r="R1409" s="21"/>
      <c r="S1409" s="12"/>
      <c r="T1409" s="12"/>
      <c r="U1409" s="12"/>
      <c r="V1409" s="12"/>
      <c r="W1409" s="12"/>
      <c r="X1409" s="12"/>
      <c r="Y1409" s="12"/>
      <c r="Z1409" s="12"/>
      <c r="AA1409" s="12"/>
      <c r="AB1409" s="12"/>
      <c r="AC1409" s="12"/>
      <c r="AD1409" s="12"/>
    </row>
    <row r="1410" spans="1:30" x14ac:dyDescent="0.35">
      <c r="B1410" s="20"/>
      <c r="D1410" s="30"/>
      <c r="E1410" s="30"/>
      <c r="F1410" s="30"/>
      <c r="G1410" s="30"/>
      <c r="H1410" s="30"/>
      <c r="I1410" s="30"/>
      <c r="J1410" s="30"/>
      <c r="K1410" s="30"/>
      <c r="L1410" s="30"/>
      <c r="M1410" s="30"/>
      <c r="N1410" s="30"/>
      <c r="O1410" s="30"/>
      <c r="P1410" s="30"/>
      <c r="Q1410" s="24"/>
      <c r="R1410" s="21"/>
      <c r="S1410" s="12"/>
      <c r="T1410" s="12"/>
      <c r="U1410" s="12"/>
      <c r="V1410" s="12"/>
      <c r="W1410" s="12"/>
      <c r="X1410" s="12"/>
      <c r="Y1410" s="12"/>
      <c r="Z1410" s="12"/>
      <c r="AA1410" s="12"/>
      <c r="AB1410" s="12"/>
      <c r="AC1410" s="12"/>
      <c r="AD1410" s="12"/>
    </row>
    <row r="1411" spans="1:30" x14ac:dyDescent="0.35">
      <c r="B1411" s="20"/>
      <c r="D1411" s="30"/>
      <c r="E1411" s="30"/>
      <c r="F1411" s="30"/>
      <c r="G1411" s="30"/>
      <c r="H1411" s="30"/>
      <c r="I1411" s="30"/>
      <c r="J1411" s="30"/>
      <c r="K1411" s="30"/>
      <c r="L1411" s="30"/>
      <c r="M1411" s="30"/>
      <c r="N1411" s="30"/>
      <c r="O1411" s="30"/>
      <c r="P1411" s="30"/>
      <c r="Q1411" s="24"/>
      <c r="R1411" s="21"/>
      <c r="S1411" s="12"/>
      <c r="T1411" s="12"/>
      <c r="U1411" s="12"/>
      <c r="V1411" s="12"/>
      <c r="W1411" s="12"/>
      <c r="X1411" s="12"/>
      <c r="Y1411" s="12"/>
      <c r="Z1411" s="12"/>
      <c r="AA1411" s="12"/>
      <c r="AB1411" s="12"/>
      <c r="AC1411" s="12"/>
      <c r="AD1411" s="12"/>
    </row>
    <row r="1412" spans="1:30" x14ac:dyDescent="0.35">
      <c r="B1412" s="20"/>
      <c r="D1412" s="30"/>
      <c r="E1412" s="30"/>
      <c r="F1412" s="30"/>
      <c r="G1412" s="30"/>
      <c r="H1412" s="30"/>
      <c r="I1412" s="30"/>
      <c r="J1412" s="30"/>
      <c r="K1412" s="30"/>
      <c r="L1412" s="30"/>
      <c r="M1412" s="30"/>
      <c r="N1412" s="30"/>
      <c r="O1412" s="30"/>
      <c r="P1412" s="30"/>
      <c r="Q1412" s="24"/>
      <c r="R1412" s="21"/>
      <c r="S1412" s="12"/>
      <c r="T1412" s="12"/>
      <c r="U1412" s="12"/>
      <c r="V1412" s="12"/>
      <c r="W1412" s="12"/>
      <c r="X1412" s="12"/>
      <c r="Y1412" s="12"/>
      <c r="Z1412" s="12"/>
      <c r="AA1412" s="12"/>
      <c r="AB1412" s="12"/>
      <c r="AC1412" s="12"/>
      <c r="AD1412" s="12"/>
    </row>
    <row r="1413" spans="1:30" x14ac:dyDescent="0.35">
      <c r="B1413" s="20"/>
      <c r="D1413" s="30"/>
      <c r="E1413" s="30"/>
      <c r="F1413" s="30"/>
      <c r="G1413" s="30"/>
      <c r="H1413" s="30"/>
      <c r="I1413" s="30"/>
      <c r="J1413" s="30"/>
      <c r="K1413" s="30"/>
      <c r="L1413" s="30"/>
      <c r="M1413" s="30"/>
      <c r="N1413" s="30"/>
      <c r="O1413" s="30"/>
      <c r="P1413" s="30"/>
      <c r="Q1413" s="24"/>
      <c r="R1413" s="21"/>
      <c r="S1413" s="12"/>
      <c r="T1413" s="12"/>
      <c r="U1413" s="12"/>
      <c r="V1413" s="12"/>
      <c r="W1413" s="12"/>
      <c r="X1413" s="12"/>
      <c r="Y1413" s="12"/>
      <c r="Z1413" s="12"/>
      <c r="AA1413" s="12"/>
      <c r="AB1413" s="12"/>
      <c r="AC1413" s="12"/>
      <c r="AD1413" s="12"/>
    </row>
    <row r="1414" spans="1:30" x14ac:dyDescent="0.35">
      <c r="B1414" s="20"/>
      <c r="D1414" s="30"/>
      <c r="E1414" s="30"/>
      <c r="F1414" s="30"/>
      <c r="G1414" s="30"/>
      <c r="H1414" s="30"/>
      <c r="I1414" s="30"/>
      <c r="J1414" s="30"/>
      <c r="K1414" s="30"/>
      <c r="L1414" s="30"/>
      <c r="M1414" s="30"/>
      <c r="N1414" s="30"/>
      <c r="O1414" s="30"/>
      <c r="P1414" s="30"/>
      <c r="Q1414" s="24"/>
      <c r="R1414" s="21"/>
      <c r="S1414" s="12"/>
      <c r="T1414" s="12"/>
      <c r="U1414" s="12"/>
      <c r="V1414" s="12"/>
      <c r="W1414" s="12"/>
      <c r="X1414" s="12"/>
      <c r="Y1414" s="12"/>
      <c r="Z1414" s="12"/>
      <c r="AA1414" s="12"/>
      <c r="AB1414" s="12"/>
      <c r="AC1414" s="12"/>
      <c r="AD1414" s="12"/>
    </row>
    <row r="1415" spans="1:30" x14ac:dyDescent="0.35">
      <c r="B1415" s="20"/>
      <c r="D1415" s="30"/>
      <c r="E1415" s="30"/>
      <c r="F1415" s="30"/>
      <c r="G1415" s="30"/>
      <c r="H1415" s="30"/>
      <c r="I1415" s="30"/>
      <c r="J1415" s="30"/>
      <c r="K1415" s="30"/>
      <c r="L1415" s="30"/>
      <c r="M1415" s="30"/>
      <c r="N1415" s="30"/>
      <c r="O1415" s="30"/>
      <c r="P1415" s="30"/>
      <c r="Q1415" s="24"/>
      <c r="R1415" s="21"/>
      <c r="S1415" s="12"/>
      <c r="T1415" s="12"/>
      <c r="U1415" s="12"/>
      <c r="V1415" s="12"/>
      <c r="W1415" s="12"/>
      <c r="X1415" s="12"/>
      <c r="Y1415" s="12"/>
      <c r="Z1415" s="12"/>
      <c r="AA1415" s="12"/>
      <c r="AB1415" s="12"/>
      <c r="AC1415" s="12"/>
      <c r="AD1415" s="12"/>
    </row>
    <row r="1416" spans="1:30" x14ac:dyDescent="0.35">
      <c r="B1416" s="20"/>
      <c r="D1416" s="31"/>
      <c r="E1416" s="31"/>
      <c r="F1416" s="31"/>
      <c r="G1416" s="31"/>
      <c r="H1416" s="31"/>
      <c r="I1416" s="31"/>
      <c r="J1416" s="31"/>
      <c r="K1416" s="31"/>
      <c r="L1416" s="31"/>
      <c r="M1416" s="31"/>
      <c r="N1416" s="31"/>
      <c r="O1416" s="31"/>
      <c r="P1416" s="31"/>
      <c r="Q1416" s="24"/>
      <c r="R1416" s="21"/>
      <c r="S1416" s="12"/>
      <c r="T1416" s="12"/>
      <c r="U1416" s="12"/>
      <c r="V1416" s="12"/>
      <c r="W1416" s="12"/>
      <c r="X1416" s="12"/>
      <c r="Y1416" s="12"/>
      <c r="Z1416" s="12"/>
      <c r="AA1416" s="12"/>
      <c r="AB1416" s="12"/>
      <c r="AC1416" s="12"/>
      <c r="AD1416" s="12"/>
    </row>
    <row r="1417" spans="1:30" x14ac:dyDescent="0.35">
      <c r="A1417" s="20"/>
      <c r="B1417" s="20"/>
      <c r="D1417" s="30"/>
      <c r="E1417" s="30"/>
      <c r="F1417" s="30"/>
      <c r="G1417" s="30"/>
      <c r="H1417" s="30"/>
      <c r="I1417" s="30"/>
      <c r="J1417" s="30"/>
      <c r="K1417" s="30"/>
      <c r="L1417" s="30"/>
      <c r="M1417" s="30"/>
      <c r="N1417" s="30"/>
      <c r="O1417" s="30"/>
      <c r="P1417" s="30"/>
      <c r="Q1417" s="24"/>
      <c r="R1417" s="14"/>
      <c r="S1417" s="12"/>
      <c r="T1417" s="12"/>
      <c r="U1417" s="12"/>
      <c r="V1417" s="12"/>
      <c r="W1417" s="12"/>
      <c r="X1417" s="12"/>
      <c r="Y1417" s="12"/>
      <c r="Z1417" s="12"/>
      <c r="AA1417" s="12"/>
      <c r="AB1417" s="12"/>
      <c r="AC1417" s="12"/>
      <c r="AD1417" s="12"/>
    </row>
    <row r="1418" spans="1:30" x14ac:dyDescent="0.35">
      <c r="A1418" s="20"/>
      <c r="B1418" s="20"/>
      <c r="D1418" s="30"/>
      <c r="E1418" s="30"/>
      <c r="F1418" s="30"/>
      <c r="G1418" s="30"/>
      <c r="H1418" s="30"/>
      <c r="I1418" s="30"/>
      <c r="J1418" s="30"/>
      <c r="K1418" s="30"/>
      <c r="L1418" s="30"/>
      <c r="M1418" s="30"/>
      <c r="N1418" s="30"/>
      <c r="O1418" s="30"/>
      <c r="P1418" s="30"/>
      <c r="Q1418" s="24"/>
      <c r="R1418" s="14"/>
      <c r="S1418" s="12"/>
      <c r="T1418" s="12"/>
      <c r="U1418" s="12"/>
      <c r="V1418" s="12"/>
      <c r="W1418" s="12"/>
      <c r="X1418" s="12"/>
      <c r="Y1418" s="12"/>
      <c r="Z1418" s="12"/>
      <c r="AA1418" s="12"/>
      <c r="AB1418" s="12"/>
      <c r="AC1418" s="12"/>
      <c r="AD1418" s="12"/>
    </row>
    <row r="1419" spans="1:30" x14ac:dyDescent="0.35">
      <c r="A1419" s="20"/>
      <c r="B1419" s="20"/>
      <c r="D1419" s="30"/>
      <c r="E1419" s="30"/>
      <c r="F1419" s="30"/>
      <c r="G1419" s="30"/>
      <c r="H1419" s="30"/>
      <c r="I1419" s="30"/>
      <c r="J1419" s="30"/>
      <c r="K1419" s="30"/>
      <c r="L1419" s="30"/>
      <c r="M1419" s="30"/>
      <c r="N1419" s="30"/>
      <c r="O1419" s="30"/>
      <c r="P1419" s="30"/>
      <c r="Q1419" s="24"/>
      <c r="R1419" s="14"/>
      <c r="S1419" s="12"/>
      <c r="T1419" s="12"/>
      <c r="U1419" s="12"/>
      <c r="V1419" s="12"/>
      <c r="W1419" s="12"/>
      <c r="X1419" s="12"/>
      <c r="Y1419" s="12"/>
      <c r="Z1419" s="12"/>
      <c r="AA1419" s="12"/>
      <c r="AB1419" s="12"/>
      <c r="AC1419" s="12"/>
      <c r="AD1419" s="12"/>
    </row>
    <row r="1420" spans="1:30" x14ac:dyDescent="0.35">
      <c r="A1420" s="20"/>
      <c r="B1420" s="20"/>
      <c r="D1420" s="30"/>
      <c r="E1420" s="30"/>
      <c r="F1420" s="30"/>
      <c r="G1420" s="30"/>
      <c r="H1420" s="30"/>
      <c r="I1420" s="30"/>
      <c r="J1420" s="30"/>
      <c r="K1420" s="30"/>
      <c r="L1420" s="30"/>
      <c r="M1420" s="30"/>
      <c r="N1420" s="30"/>
      <c r="O1420" s="30"/>
      <c r="P1420" s="30"/>
      <c r="Q1420" s="24"/>
      <c r="R1420" s="14"/>
      <c r="S1420" s="12"/>
      <c r="T1420" s="12"/>
      <c r="U1420" s="12"/>
      <c r="V1420" s="12"/>
      <c r="W1420" s="12"/>
      <c r="X1420" s="12"/>
      <c r="Y1420" s="12"/>
      <c r="Z1420" s="12"/>
      <c r="AA1420" s="12"/>
      <c r="AB1420" s="12"/>
      <c r="AC1420" s="12"/>
      <c r="AD1420" s="12"/>
    </row>
    <row r="1421" spans="1:30" x14ac:dyDescent="0.35">
      <c r="A1421" s="20"/>
      <c r="B1421" s="20"/>
      <c r="D1421" s="30"/>
      <c r="E1421" s="30"/>
      <c r="F1421" s="30"/>
      <c r="G1421" s="30"/>
      <c r="H1421" s="30"/>
      <c r="I1421" s="30"/>
      <c r="J1421" s="30"/>
      <c r="K1421" s="30"/>
      <c r="L1421" s="30"/>
      <c r="M1421" s="30"/>
      <c r="N1421" s="30"/>
      <c r="O1421" s="30"/>
      <c r="P1421" s="30"/>
      <c r="Q1421" s="24"/>
      <c r="R1421" s="14"/>
      <c r="S1421" s="12"/>
      <c r="T1421" s="12"/>
      <c r="U1421" s="12"/>
      <c r="V1421" s="12"/>
      <c r="W1421" s="12"/>
      <c r="X1421" s="12"/>
      <c r="Y1421" s="12"/>
      <c r="Z1421" s="12"/>
      <c r="AA1421" s="12"/>
      <c r="AB1421" s="12"/>
      <c r="AC1421" s="12"/>
      <c r="AD1421" s="12"/>
    </row>
    <row r="1422" spans="1:30" x14ac:dyDescent="0.35">
      <c r="A1422" s="20"/>
      <c r="B1422" s="20"/>
      <c r="D1422" s="30"/>
      <c r="E1422" s="30"/>
      <c r="F1422" s="30"/>
      <c r="G1422" s="30"/>
      <c r="H1422" s="30"/>
      <c r="I1422" s="30"/>
      <c r="J1422" s="30"/>
      <c r="K1422" s="30"/>
      <c r="L1422" s="30"/>
      <c r="M1422" s="30"/>
      <c r="N1422" s="30"/>
      <c r="O1422" s="30"/>
      <c r="P1422" s="30"/>
      <c r="Q1422" s="24"/>
      <c r="R1422" s="14"/>
      <c r="S1422" s="12"/>
      <c r="T1422" s="12"/>
      <c r="U1422" s="12"/>
      <c r="V1422" s="12"/>
      <c r="W1422" s="12"/>
      <c r="X1422" s="12"/>
      <c r="Y1422" s="12"/>
      <c r="Z1422" s="12"/>
      <c r="AA1422" s="12"/>
      <c r="AB1422" s="12"/>
      <c r="AC1422" s="12"/>
      <c r="AD1422" s="12"/>
    </row>
    <row r="1423" spans="1:30" x14ac:dyDescent="0.35">
      <c r="A1423" s="20"/>
      <c r="B1423" s="20"/>
      <c r="D1423" s="30"/>
      <c r="E1423" s="30"/>
      <c r="F1423" s="30"/>
      <c r="G1423" s="30"/>
      <c r="H1423" s="30"/>
      <c r="I1423" s="30"/>
      <c r="J1423" s="30"/>
      <c r="K1423" s="30"/>
      <c r="L1423" s="30"/>
      <c r="M1423" s="30"/>
      <c r="N1423" s="30"/>
      <c r="O1423" s="30"/>
      <c r="P1423" s="30"/>
      <c r="Q1423" s="24"/>
      <c r="R1423" s="14"/>
      <c r="S1423" s="12"/>
      <c r="T1423" s="12"/>
      <c r="U1423" s="12"/>
      <c r="V1423" s="12"/>
      <c r="W1423" s="12"/>
      <c r="X1423" s="12"/>
      <c r="Y1423" s="12"/>
      <c r="Z1423" s="12"/>
      <c r="AA1423" s="12"/>
      <c r="AB1423" s="12"/>
      <c r="AC1423" s="12"/>
      <c r="AD1423" s="12"/>
    </row>
    <row r="1424" spans="1:30" x14ac:dyDescent="0.35">
      <c r="A1424" s="20"/>
      <c r="B1424" s="20"/>
      <c r="D1424" s="31"/>
      <c r="E1424" s="31"/>
      <c r="F1424" s="31"/>
      <c r="G1424" s="31"/>
      <c r="H1424" s="31"/>
      <c r="I1424" s="31"/>
      <c r="J1424" s="31"/>
      <c r="K1424" s="31"/>
      <c r="L1424" s="31"/>
      <c r="M1424" s="31"/>
      <c r="N1424" s="31"/>
      <c r="O1424" s="31"/>
      <c r="P1424" s="31"/>
      <c r="Q1424" s="24"/>
      <c r="R1424" s="14"/>
      <c r="S1424" s="12"/>
      <c r="T1424" s="12"/>
      <c r="U1424" s="12"/>
      <c r="V1424" s="12"/>
      <c r="W1424" s="12"/>
      <c r="X1424" s="12"/>
      <c r="Y1424" s="12"/>
      <c r="Z1424" s="12"/>
      <c r="AA1424" s="12"/>
      <c r="AB1424" s="12"/>
      <c r="AC1424" s="12"/>
      <c r="AD1424" s="12"/>
    </row>
    <row r="1425" spans="2:30" x14ac:dyDescent="0.35">
      <c r="B1425" s="20"/>
      <c r="D1425" s="30"/>
      <c r="E1425" s="30"/>
      <c r="F1425" s="30"/>
      <c r="G1425" s="30"/>
      <c r="H1425" s="30"/>
      <c r="I1425" s="30"/>
      <c r="J1425" s="30"/>
      <c r="K1425" s="30"/>
      <c r="L1425" s="30"/>
      <c r="M1425" s="30"/>
      <c r="N1425" s="30"/>
      <c r="O1425" s="30"/>
      <c r="P1425" s="30"/>
      <c r="Q1425" s="24"/>
      <c r="R1425" s="14"/>
      <c r="S1425" s="12"/>
      <c r="T1425" s="12"/>
      <c r="U1425" s="12"/>
      <c r="V1425" s="12"/>
      <c r="W1425" s="12"/>
      <c r="X1425" s="12"/>
      <c r="Y1425" s="12"/>
      <c r="Z1425" s="12"/>
      <c r="AA1425" s="12"/>
      <c r="AB1425" s="12"/>
      <c r="AC1425" s="12"/>
      <c r="AD1425" s="12"/>
    </row>
    <row r="1426" spans="2:30" x14ac:dyDescent="0.35">
      <c r="B1426" s="20"/>
      <c r="D1426" s="30"/>
      <c r="E1426" s="30"/>
      <c r="F1426" s="30"/>
      <c r="G1426" s="30"/>
      <c r="H1426" s="30"/>
      <c r="I1426" s="30"/>
      <c r="J1426" s="30"/>
      <c r="K1426" s="30"/>
      <c r="L1426" s="30"/>
      <c r="M1426" s="30"/>
      <c r="N1426" s="30"/>
      <c r="O1426" s="30"/>
      <c r="P1426" s="30"/>
      <c r="Q1426" s="24"/>
      <c r="R1426" s="14"/>
      <c r="S1426" s="12"/>
      <c r="T1426" s="12"/>
      <c r="U1426" s="12"/>
      <c r="V1426" s="12"/>
      <c r="W1426" s="12"/>
      <c r="X1426" s="12"/>
      <c r="Y1426" s="12"/>
      <c r="Z1426" s="12"/>
      <c r="AA1426" s="12"/>
      <c r="AB1426" s="12"/>
      <c r="AC1426" s="12"/>
      <c r="AD1426" s="12"/>
    </row>
    <row r="1427" spans="2:30" x14ac:dyDescent="0.35">
      <c r="B1427" s="20"/>
      <c r="D1427" s="30"/>
      <c r="E1427" s="30"/>
      <c r="F1427" s="30"/>
      <c r="G1427" s="30"/>
      <c r="H1427" s="30"/>
      <c r="I1427" s="30"/>
      <c r="J1427" s="30"/>
      <c r="K1427" s="30"/>
      <c r="L1427" s="30"/>
      <c r="M1427" s="30"/>
      <c r="N1427" s="30"/>
      <c r="O1427" s="30"/>
      <c r="P1427" s="30"/>
      <c r="Q1427" s="24"/>
      <c r="R1427" s="14"/>
      <c r="S1427" s="12"/>
      <c r="T1427" s="12"/>
      <c r="U1427" s="12"/>
      <c r="V1427" s="12"/>
      <c r="W1427" s="12"/>
      <c r="X1427" s="12"/>
      <c r="Y1427" s="12"/>
      <c r="Z1427" s="12"/>
      <c r="AA1427" s="12"/>
      <c r="AB1427" s="12"/>
      <c r="AC1427" s="12"/>
      <c r="AD1427" s="12"/>
    </row>
    <row r="1428" spans="2:30" x14ac:dyDescent="0.35">
      <c r="B1428" s="20"/>
      <c r="D1428" s="30"/>
      <c r="E1428" s="30"/>
      <c r="F1428" s="30"/>
      <c r="G1428" s="30"/>
      <c r="H1428" s="30"/>
      <c r="I1428" s="30"/>
      <c r="J1428" s="30"/>
      <c r="K1428" s="30"/>
      <c r="L1428" s="30"/>
      <c r="M1428" s="30"/>
      <c r="N1428" s="30"/>
      <c r="O1428" s="30"/>
      <c r="P1428" s="30"/>
      <c r="Q1428" s="24"/>
      <c r="R1428" s="14"/>
      <c r="S1428" s="12"/>
      <c r="T1428" s="12"/>
      <c r="U1428" s="12"/>
      <c r="V1428" s="12"/>
      <c r="W1428" s="12"/>
      <c r="X1428" s="12"/>
      <c r="Y1428" s="12"/>
      <c r="Z1428" s="12"/>
      <c r="AA1428" s="12"/>
      <c r="AB1428" s="12"/>
      <c r="AC1428" s="12"/>
      <c r="AD1428" s="12"/>
    </row>
    <row r="1429" spans="2:30" x14ac:dyDescent="0.35">
      <c r="B1429" s="20"/>
      <c r="D1429" s="30"/>
      <c r="E1429" s="30"/>
      <c r="F1429" s="30"/>
      <c r="G1429" s="30"/>
      <c r="H1429" s="30"/>
      <c r="I1429" s="30"/>
      <c r="J1429" s="30"/>
      <c r="K1429" s="30"/>
      <c r="L1429" s="30"/>
      <c r="M1429" s="30"/>
      <c r="N1429" s="30"/>
      <c r="O1429" s="30"/>
      <c r="P1429" s="30"/>
      <c r="Q1429" s="24"/>
      <c r="R1429" s="14"/>
      <c r="S1429" s="12"/>
      <c r="T1429" s="12"/>
      <c r="U1429" s="12"/>
      <c r="V1429" s="12"/>
      <c r="W1429" s="12"/>
      <c r="X1429" s="12"/>
      <c r="Y1429" s="12"/>
      <c r="Z1429" s="12"/>
      <c r="AA1429" s="12"/>
      <c r="AB1429" s="12"/>
      <c r="AC1429" s="12"/>
      <c r="AD1429" s="12"/>
    </row>
    <row r="1430" spans="2:30" x14ac:dyDescent="0.35">
      <c r="B1430" s="20"/>
      <c r="D1430" s="30"/>
      <c r="E1430" s="30"/>
      <c r="F1430" s="30"/>
      <c r="G1430" s="30"/>
      <c r="H1430" s="30"/>
      <c r="I1430" s="30"/>
      <c r="J1430" s="30"/>
      <c r="K1430" s="30"/>
      <c r="L1430" s="30"/>
      <c r="M1430" s="30"/>
      <c r="N1430" s="30"/>
      <c r="O1430" s="30"/>
      <c r="P1430" s="30"/>
      <c r="Q1430" s="24"/>
      <c r="R1430" s="14"/>
      <c r="S1430" s="12"/>
      <c r="T1430" s="12"/>
      <c r="U1430" s="12"/>
      <c r="V1430" s="12"/>
      <c r="W1430" s="12"/>
      <c r="X1430" s="12"/>
      <c r="Y1430" s="12"/>
      <c r="Z1430" s="12"/>
      <c r="AA1430" s="12"/>
      <c r="AB1430" s="12"/>
      <c r="AC1430" s="12"/>
      <c r="AD1430" s="12"/>
    </row>
    <row r="1431" spans="2:30" x14ac:dyDescent="0.35">
      <c r="B1431" s="20"/>
      <c r="D1431" s="30"/>
      <c r="E1431" s="30"/>
      <c r="F1431" s="30"/>
      <c r="G1431" s="30"/>
      <c r="H1431" s="30"/>
      <c r="I1431" s="30"/>
      <c r="J1431" s="30"/>
      <c r="K1431" s="30"/>
      <c r="L1431" s="30"/>
      <c r="M1431" s="30"/>
      <c r="N1431" s="30"/>
      <c r="O1431" s="30"/>
      <c r="P1431" s="30"/>
      <c r="Q1431" s="24"/>
      <c r="R1431" s="14"/>
      <c r="S1431" s="12"/>
      <c r="T1431" s="12"/>
      <c r="U1431" s="12"/>
      <c r="V1431" s="12"/>
      <c r="W1431" s="12"/>
      <c r="X1431" s="12"/>
      <c r="Y1431" s="12"/>
      <c r="Z1431" s="12"/>
      <c r="AA1431" s="12"/>
      <c r="AB1431" s="12"/>
      <c r="AC1431" s="12"/>
      <c r="AD1431" s="12"/>
    </row>
    <row r="1432" spans="2:30" x14ac:dyDescent="0.35">
      <c r="B1432" s="20"/>
      <c r="D1432" s="31"/>
      <c r="E1432" s="31"/>
      <c r="F1432" s="31"/>
      <c r="G1432" s="31"/>
      <c r="H1432" s="31"/>
      <c r="I1432" s="31"/>
      <c r="J1432" s="31"/>
      <c r="K1432" s="31"/>
      <c r="L1432" s="31"/>
      <c r="M1432" s="31"/>
      <c r="N1432" s="31"/>
      <c r="O1432" s="31"/>
      <c r="P1432" s="31"/>
      <c r="Q1432" s="24"/>
      <c r="R1432" s="21"/>
      <c r="S1432" s="12"/>
      <c r="T1432" s="12"/>
      <c r="U1432" s="12"/>
      <c r="V1432" s="12"/>
      <c r="W1432" s="12"/>
      <c r="X1432" s="12"/>
      <c r="Y1432" s="12"/>
      <c r="Z1432" s="12"/>
      <c r="AA1432" s="12"/>
      <c r="AB1432" s="12"/>
      <c r="AC1432" s="12"/>
      <c r="AD1432" s="12"/>
    </row>
    <row r="1433" spans="2:30" x14ac:dyDescent="0.35">
      <c r="B1433" s="20"/>
      <c r="D1433" s="30"/>
      <c r="E1433" s="30"/>
      <c r="F1433" s="30"/>
      <c r="G1433" s="30"/>
      <c r="H1433" s="30"/>
      <c r="I1433" s="30"/>
      <c r="J1433" s="30"/>
      <c r="K1433" s="30"/>
      <c r="L1433" s="30"/>
      <c r="M1433" s="30"/>
      <c r="N1433" s="30"/>
      <c r="O1433" s="30"/>
      <c r="P1433" s="30"/>
      <c r="Q1433" s="24"/>
      <c r="R1433" s="21"/>
      <c r="S1433" s="12"/>
      <c r="T1433" s="12"/>
      <c r="U1433" s="12"/>
      <c r="V1433" s="12"/>
      <c r="W1433" s="12"/>
      <c r="X1433" s="12"/>
      <c r="Y1433" s="12"/>
      <c r="Z1433" s="12"/>
      <c r="AA1433" s="12"/>
      <c r="AB1433" s="12"/>
      <c r="AC1433" s="12"/>
      <c r="AD1433" s="12"/>
    </row>
    <row r="1434" spans="2:30" x14ac:dyDescent="0.35">
      <c r="B1434" s="20"/>
      <c r="D1434" s="30"/>
      <c r="E1434" s="30"/>
      <c r="F1434" s="30"/>
      <c r="G1434" s="30"/>
      <c r="H1434" s="30"/>
      <c r="I1434" s="30"/>
      <c r="J1434" s="30"/>
      <c r="K1434" s="30"/>
      <c r="L1434" s="30"/>
      <c r="M1434" s="30"/>
      <c r="N1434" s="30"/>
      <c r="O1434" s="30"/>
      <c r="P1434" s="30"/>
      <c r="Q1434" s="24"/>
      <c r="R1434" s="21"/>
      <c r="S1434" s="12"/>
      <c r="T1434" s="12"/>
      <c r="U1434" s="12"/>
      <c r="V1434" s="12"/>
      <c r="W1434" s="12"/>
      <c r="X1434" s="12"/>
      <c r="Y1434" s="12"/>
      <c r="Z1434" s="12"/>
      <c r="AA1434" s="12"/>
      <c r="AB1434" s="12"/>
      <c r="AC1434" s="12"/>
      <c r="AD1434" s="12"/>
    </row>
    <row r="1435" spans="2:30" x14ac:dyDescent="0.35">
      <c r="B1435" s="20"/>
      <c r="D1435" s="30"/>
      <c r="E1435" s="30"/>
      <c r="F1435" s="30"/>
      <c r="G1435" s="30"/>
      <c r="H1435" s="30"/>
      <c r="I1435" s="30"/>
      <c r="J1435" s="30"/>
      <c r="K1435" s="30"/>
      <c r="L1435" s="30"/>
      <c r="M1435" s="30"/>
      <c r="N1435" s="30"/>
      <c r="O1435" s="30"/>
      <c r="P1435" s="30"/>
      <c r="Q1435" s="24"/>
      <c r="R1435" s="21"/>
      <c r="S1435" s="12"/>
      <c r="T1435" s="12"/>
      <c r="U1435" s="12"/>
      <c r="V1435" s="12"/>
      <c r="W1435" s="12"/>
      <c r="X1435" s="12"/>
      <c r="Y1435" s="12"/>
      <c r="Z1435" s="12"/>
      <c r="AA1435" s="12"/>
      <c r="AB1435" s="12"/>
      <c r="AC1435" s="12"/>
      <c r="AD1435" s="12"/>
    </row>
    <row r="1436" spans="2:30" x14ac:dyDescent="0.35">
      <c r="B1436" s="20"/>
      <c r="D1436" s="30"/>
      <c r="E1436" s="30"/>
      <c r="F1436" s="30"/>
      <c r="G1436" s="30"/>
      <c r="H1436" s="30"/>
      <c r="I1436" s="30"/>
      <c r="J1436" s="30"/>
      <c r="K1436" s="30"/>
      <c r="L1436" s="30"/>
      <c r="M1436" s="30"/>
      <c r="N1436" s="30"/>
      <c r="O1436" s="30"/>
      <c r="P1436" s="30"/>
      <c r="Q1436" s="24"/>
      <c r="R1436" s="21"/>
      <c r="S1436" s="12"/>
      <c r="T1436" s="12"/>
      <c r="U1436" s="12"/>
      <c r="V1436" s="12"/>
      <c r="W1436" s="12"/>
      <c r="X1436" s="12"/>
      <c r="Y1436" s="12"/>
      <c r="Z1436" s="12"/>
      <c r="AA1436" s="12"/>
      <c r="AB1436" s="12"/>
      <c r="AC1436" s="12"/>
      <c r="AD1436" s="12"/>
    </row>
    <row r="1437" spans="2:30" x14ac:dyDescent="0.35">
      <c r="B1437" s="20"/>
      <c r="D1437" s="30"/>
      <c r="E1437" s="30"/>
      <c r="F1437" s="30"/>
      <c r="G1437" s="30"/>
      <c r="H1437" s="30"/>
      <c r="I1437" s="30"/>
      <c r="J1437" s="30"/>
      <c r="K1437" s="30"/>
      <c r="L1437" s="30"/>
      <c r="M1437" s="30"/>
      <c r="N1437" s="30"/>
      <c r="O1437" s="30"/>
      <c r="P1437" s="30"/>
      <c r="Q1437" s="24"/>
      <c r="R1437" s="21"/>
      <c r="S1437" s="12"/>
      <c r="T1437" s="12"/>
      <c r="U1437" s="12"/>
      <c r="V1437" s="12"/>
      <c r="W1437" s="12"/>
      <c r="X1437" s="12"/>
      <c r="Y1437" s="12"/>
      <c r="Z1437" s="12"/>
      <c r="AA1437" s="12"/>
      <c r="AB1437" s="12"/>
      <c r="AC1437" s="12"/>
      <c r="AD1437" s="12"/>
    </row>
    <row r="1438" spans="2:30" x14ac:dyDescent="0.35">
      <c r="B1438" s="20"/>
      <c r="D1438" s="30"/>
      <c r="E1438" s="30"/>
      <c r="F1438" s="30"/>
      <c r="G1438" s="30"/>
      <c r="H1438" s="30"/>
      <c r="I1438" s="30"/>
      <c r="J1438" s="30"/>
      <c r="K1438" s="30"/>
      <c r="L1438" s="30"/>
      <c r="M1438" s="30"/>
      <c r="N1438" s="30"/>
      <c r="O1438" s="30"/>
      <c r="P1438" s="30"/>
      <c r="Q1438" s="24"/>
      <c r="R1438" s="21"/>
      <c r="S1438" s="12"/>
      <c r="T1438" s="12"/>
      <c r="U1438" s="12"/>
      <c r="V1438" s="12"/>
      <c r="W1438" s="12"/>
      <c r="X1438" s="12"/>
      <c r="Y1438" s="12"/>
      <c r="Z1438" s="12"/>
      <c r="AA1438" s="12"/>
      <c r="AB1438" s="12"/>
      <c r="AC1438" s="12"/>
      <c r="AD1438" s="12"/>
    </row>
    <row r="1439" spans="2:30" x14ac:dyDescent="0.35">
      <c r="B1439" s="20"/>
      <c r="D1439" s="30"/>
      <c r="E1439" s="30"/>
      <c r="F1439" s="30"/>
      <c r="G1439" s="30"/>
      <c r="H1439" s="30"/>
      <c r="I1439" s="30"/>
      <c r="J1439" s="30"/>
      <c r="K1439" s="30"/>
      <c r="L1439" s="30"/>
      <c r="M1439" s="30"/>
      <c r="N1439" s="30"/>
      <c r="O1439" s="30"/>
      <c r="P1439" s="30"/>
      <c r="Q1439" s="24"/>
      <c r="R1439" s="21"/>
      <c r="S1439" s="12"/>
      <c r="T1439" s="12"/>
      <c r="U1439" s="12"/>
      <c r="V1439" s="12"/>
      <c r="W1439" s="12"/>
      <c r="X1439" s="12"/>
      <c r="Y1439" s="12"/>
      <c r="Z1439" s="12"/>
      <c r="AA1439" s="12"/>
      <c r="AB1439" s="12"/>
      <c r="AC1439" s="12"/>
      <c r="AD1439" s="12"/>
    </row>
    <row r="1440" spans="2:30" x14ac:dyDescent="0.35">
      <c r="B1440" s="20"/>
      <c r="D1440" s="31"/>
      <c r="E1440" s="31"/>
      <c r="F1440" s="31"/>
      <c r="G1440" s="31"/>
      <c r="H1440" s="31"/>
      <c r="I1440" s="31"/>
      <c r="J1440" s="31"/>
      <c r="K1440" s="31"/>
      <c r="L1440" s="31"/>
      <c r="M1440" s="31"/>
      <c r="N1440" s="31"/>
      <c r="O1440" s="31"/>
      <c r="P1440" s="31"/>
      <c r="Q1440" s="24"/>
      <c r="R1440" s="21"/>
      <c r="S1440" s="12"/>
      <c r="T1440" s="12"/>
      <c r="U1440" s="12"/>
      <c r="V1440" s="12"/>
      <c r="W1440" s="12"/>
      <c r="X1440" s="12"/>
      <c r="Y1440" s="12"/>
      <c r="Z1440" s="12"/>
      <c r="AA1440" s="12"/>
      <c r="AB1440" s="12"/>
      <c r="AC1440" s="12"/>
      <c r="AD1440" s="12"/>
    </row>
    <row r="1441" spans="2:30" x14ac:dyDescent="0.35">
      <c r="B1441" s="20"/>
      <c r="D1441" s="30"/>
      <c r="E1441" s="30"/>
      <c r="F1441" s="30"/>
      <c r="G1441" s="30"/>
      <c r="H1441" s="30"/>
      <c r="I1441" s="30"/>
      <c r="J1441" s="30"/>
      <c r="K1441" s="30"/>
      <c r="L1441" s="30"/>
      <c r="M1441" s="30"/>
      <c r="N1441" s="30"/>
      <c r="O1441" s="30"/>
      <c r="P1441" s="30"/>
      <c r="Q1441" s="24"/>
      <c r="R1441" s="21"/>
      <c r="S1441" s="12"/>
      <c r="T1441" s="12"/>
      <c r="U1441" s="12"/>
      <c r="V1441" s="12"/>
      <c r="W1441" s="12"/>
      <c r="X1441" s="12"/>
      <c r="Y1441" s="12"/>
      <c r="Z1441" s="12"/>
      <c r="AA1441" s="12"/>
      <c r="AB1441" s="12"/>
      <c r="AC1441" s="12"/>
      <c r="AD1441" s="12"/>
    </row>
    <row r="1442" spans="2:30" x14ac:dyDescent="0.35">
      <c r="B1442" s="20"/>
      <c r="D1442" s="30"/>
      <c r="E1442" s="30"/>
      <c r="F1442" s="30"/>
      <c r="G1442" s="30"/>
      <c r="H1442" s="30"/>
      <c r="I1442" s="30"/>
      <c r="J1442" s="30"/>
      <c r="K1442" s="30"/>
      <c r="L1442" s="30"/>
      <c r="M1442" s="30"/>
      <c r="N1442" s="30"/>
      <c r="O1442" s="30"/>
      <c r="P1442" s="30"/>
      <c r="Q1442" s="24"/>
      <c r="R1442" s="21"/>
      <c r="S1442" s="12"/>
      <c r="T1442" s="12"/>
      <c r="U1442" s="12"/>
      <c r="V1442" s="12"/>
      <c r="W1442" s="12"/>
      <c r="X1442" s="12"/>
      <c r="Y1442" s="12"/>
      <c r="Z1442" s="12"/>
      <c r="AA1442" s="12"/>
      <c r="AB1442" s="12"/>
      <c r="AC1442" s="12"/>
      <c r="AD1442" s="12"/>
    </row>
    <row r="1443" spans="2:30" x14ac:dyDescent="0.35">
      <c r="B1443" s="20"/>
      <c r="D1443" s="30"/>
      <c r="E1443" s="30"/>
      <c r="F1443" s="30"/>
      <c r="G1443" s="30"/>
      <c r="H1443" s="30"/>
      <c r="I1443" s="30"/>
      <c r="J1443" s="30"/>
      <c r="K1443" s="30"/>
      <c r="L1443" s="30"/>
      <c r="M1443" s="30"/>
      <c r="N1443" s="30"/>
      <c r="O1443" s="30"/>
      <c r="P1443" s="30"/>
      <c r="Q1443" s="24"/>
      <c r="R1443" s="21"/>
      <c r="S1443" s="12"/>
      <c r="T1443" s="12"/>
      <c r="U1443" s="12"/>
      <c r="V1443" s="12"/>
      <c r="W1443" s="12"/>
      <c r="X1443" s="12"/>
      <c r="Y1443" s="12"/>
      <c r="Z1443" s="12"/>
      <c r="AA1443" s="12"/>
      <c r="AB1443" s="12"/>
      <c r="AC1443" s="12"/>
      <c r="AD1443" s="12"/>
    </row>
    <row r="1444" spans="2:30" x14ac:dyDescent="0.35">
      <c r="B1444" s="20"/>
      <c r="D1444" s="30"/>
      <c r="E1444" s="30"/>
      <c r="F1444" s="30"/>
      <c r="G1444" s="30"/>
      <c r="H1444" s="30"/>
      <c r="I1444" s="30"/>
      <c r="J1444" s="30"/>
      <c r="K1444" s="30"/>
      <c r="L1444" s="30"/>
      <c r="M1444" s="30"/>
      <c r="N1444" s="30"/>
      <c r="O1444" s="30"/>
      <c r="P1444" s="30"/>
      <c r="Q1444" s="24"/>
      <c r="R1444" s="21"/>
      <c r="S1444" s="12"/>
      <c r="T1444" s="12"/>
      <c r="U1444" s="12"/>
      <c r="V1444" s="12"/>
      <c r="W1444" s="12"/>
      <c r="X1444" s="12"/>
      <c r="Y1444" s="12"/>
      <c r="Z1444" s="12"/>
      <c r="AA1444" s="12"/>
      <c r="AB1444" s="12"/>
      <c r="AC1444" s="12"/>
      <c r="AD1444" s="12"/>
    </row>
    <row r="1445" spans="2:30" x14ac:dyDescent="0.35">
      <c r="B1445" s="20"/>
      <c r="D1445" s="30"/>
      <c r="E1445" s="30"/>
      <c r="F1445" s="30"/>
      <c r="G1445" s="30"/>
      <c r="H1445" s="30"/>
      <c r="I1445" s="30"/>
      <c r="J1445" s="30"/>
      <c r="K1445" s="30"/>
      <c r="L1445" s="30"/>
      <c r="M1445" s="30"/>
      <c r="N1445" s="30"/>
      <c r="O1445" s="30"/>
      <c r="P1445" s="30"/>
      <c r="Q1445" s="24"/>
      <c r="R1445" s="21"/>
      <c r="S1445" s="12"/>
      <c r="T1445" s="12"/>
      <c r="U1445" s="12"/>
      <c r="V1445" s="12"/>
      <c r="W1445" s="12"/>
      <c r="X1445" s="12"/>
      <c r="Y1445" s="12"/>
      <c r="Z1445" s="12"/>
      <c r="AA1445" s="12"/>
      <c r="AB1445" s="12"/>
      <c r="AC1445" s="12"/>
      <c r="AD1445" s="12"/>
    </row>
    <row r="1446" spans="2:30" x14ac:dyDescent="0.35">
      <c r="B1446" s="20"/>
      <c r="D1446" s="30"/>
      <c r="E1446" s="30"/>
      <c r="F1446" s="30"/>
      <c r="G1446" s="30"/>
      <c r="H1446" s="30"/>
      <c r="I1446" s="30"/>
      <c r="J1446" s="30"/>
      <c r="K1446" s="30"/>
      <c r="L1446" s="30"/>
      <c r="M1446" s="30"/>
      <c r="N1446" s="30"/>
      <c r="O1446" s="30"/>
      <c r="P1446" s="30"/>
      <c r="Q1446" s="24"/>
      <c r="R1446" s="21"/>
      <c r="S1446" s="12"/>
      <c r="T1446" s="12"/>
      <c r="U1446" s="12"/>
      <c r="V1446" s="12"/>
      <c r="W1446" s="12"/>
      <c r="X1446" s="12"/>
      <c r="Y1446" s="12"/>
      <c r="Z1446" s="12"/>
      <c r="AA1446" s="12"/>
      <c r="AB1446" s="12"/>
      <c r="AC1446" s="12"/>
      <c r="AD1446" s="12"/>
    </row>
    <row r="1447" spans="2:30" x14ac:dyDescent="0.35">
      <c r="B1447" s="20"/>
      <c r="D1447" s="30"/>
      <c r="E1447" s="30"/>
      <c r="F1447" s="30"/>
      <c r="G1447" s="30"/>
      <c r="H1447" s="30"/>
      <c r="I1447" s="30"/>
      <c r="J1447" s="30"/>
      <c r="K1447" s="30"/>
      <c r="L1447" s="30"/>
      <c r="M1447" s="30"/>
      <c r="N1447" s="30"/>
      <c r="O1447" s="30"/>
      <c r="P1447" s="30"/>
      <c r="Q1447" s="24"/>
      <c r="R1447" s="21"/>
      <c r="S1447" s="12"/>
      <c r="T1447" s="12"/>
      <c r="U1447" s="12"/>
      <c r="V1447" s="12"/>
      <c r="W1447" s="12"/>
      <c r="X1447" s="12"/>
      <c r="Y1447" s="12"/>
      <c r="Z1447" s="12"/>
      <c r="AA1447" s="12"/>
      <c r="AB1447" s="12"/>
      <c r="AC1447" s="12"/>
      <c r="AD1447" s="12"/>
    </row>
    <row r="1448" spans="2:30" x14ac:dyDescent="0.35">
      <c r="B1448" s="20"/>
      <c r="D1448" s="31"/>
      <c r="E1448" s="31"/>
      <c r="F1448" s="31"/>
      <c r="G1448" s="31"/>
      <c r="H1448" s="31"/>
      <c r="I1448" s="31"/>
      <c r="J1448" s="31"/>
      <c r="K1448" s="31"/>
      <c r="L1448" s="31"/>
      <c r="M1448" s="31"/>
      <c r="N1448" s="31"/>
      <c r="O1448" s="31"/>
      <c r="P1448" s="31"/>
      <c r="Q1448" s="24"/>
      <c r="R1448" s="14"/>
      <c r="S1448" s="12"/>
      <c r="T1448" s="12"/>
      <c r="U1448" s="12"/>
      <c r="V1448" s="12"/>
      <c r="W1448" s="12"/>
      <c r="X1448" s="12"/>
      <c r="Y1448" s="12"/>
      <c r="Z1448" s="12"/>
      <c r="AA1448" s="12"/>
      <c r="AB1448" s="12"/>
      <c r="AC1448" s="12"/>
      <c r="AD1448" s="12"/>
    </row>
    <row r="1449" spans="2:30" x14ac:dyDescent="0.35">
      <c r="B1449" s="20"/>
      <c r="D1449" s="30"/>
      <c r="E1449" s="30"/>
      <c r="F1449" s="30"/>
      <c r="G1449" s="30"/>
      <c r="H1449" s="30"/>
      <c r="I1449" s="30"/>
      <c r="J1449" s="30"/>
      <c r="K1449" s="30"/>
      <c r="L1449" s="30"/>
      <c r="M1449" s="30"/>
      <c r="N1449" s="30"/>
      <c r="O1449" s="30"/>
      <c r="P1449" s="30"/>
      <c r="Q1449" s="24"/>
      <c r="R1449" s="14"/>
      <c r="S1449" s="12"/>
      <c r="T1449" s="12"/>
      <c r="U1449" s="12"/>
      <c r="V1449" s="12"/>
      <c r="W1449" s="12"/>
      <c r="X1449" s="12"/>
      <c r="Y1449" s="12"/>
      <c r="Z1449" s="12"/>
      <c r="AA1449" s="12"/>
      <c r="AB1449" s="12"/>
      <c r="AC1449" s="12"/>
      <c r="AD1449" s="12"/>
    </row>
    <row r="1450" spans="2:30" x14ac:dyDescent="0.35">
      <c r="B1450" s="20"/>
      <c r="D1450" s="30"/>
      <c r="E1450" s="30"/>
      <c r="F1450" s="30"/>
      <c r="G1450" s="30"/>
      <c r="H1450" s="30"/>
      <c r="I1450" s="30"/>
      <c r="J1450" s="30"/>
      <c r="K1450" s="30"/>
      <c r="L1450" s="30"/>
      <c r="M1450" s="30"/>
      <c r="N1450" s="30"/>
      <c r="O1450" s="30"/>
      <c r="P1450" s="30"/>
      <c r="Q1450" s="24"/>
      <c r="R1450" s="14"/>
      <c r="S1450" s="12"/>
      <c r="T1450" s="12"/>
      <c r="U1450" s="12"/>
      <c r="V1450" s="12"/>
      <c r="W1450" s="12"/>
      <c r="X1450" s="12"/>
      <c r="Y1450" s="12"/>
      <c r="Z1450" s="12"/>
      <c r="AA1450" s="12"/>
      <c r="AB1450" s="12"/>
      <c r="AC1450" s="12"/>
      <c r="AD1450" s="12"/>
    </row>
    <row r="1451" spans="2:30" x14ac:dyDescent="0.35">
      <c r="B1451" s="20"/>
      <c r="D1451" s="30"/>
      <c r="E1451" s="30"/>
      <c r="F1451" s="30"/>
      <c r="G1451" s="30"/>
      <c r="H1451" s="30"/>
      <c r="I1451" s="30"/>
      <c r="J1451" s="30"/>
      <c r="K1451" s="30"/>
      <c r="L1451" s="30"/>
      <c r="M1451" s="30"/>
      <c r="N1451" s="30"/>
      <c r="O1451" s="30"/>
      <c r="P1451" s="30"/>
      <c r="Q1451" s="24"/>
      <c r="R1451" s="14"/>
      <c r="S1451" s="12"/>
      <c r="T1451" s="12"/>
      <c r="U1451" s="12"/>
      <c r="V1451" s="12"/>
      <c r="W1451" s="12"/>
      <c r="X1451" s="12"/>
      <c r="Y1451" s="12"/>
      <c r="Z1451" s="12"/>
      <c r="AA1451" s="12"/>
      <c r="AB1451" s="12"/>
      <c r="AC1451" s="12"/>
      <c r="AD1451" s="12"/>
    </row>
    <row r="1452" spans="2:30" x14ac:dyDescent="0.35">
      <c r="B1452" s="20"/>
      <c r="D1452" s="30"/>
      <c r="E1452" s="30"/>
      <c r="F1452" s="30"/>
      <c r="G1452" s="30"/>
      <c r="H1452" s="30"/>
      <c r="I1452" s="30"/>
      <c r="J1452" s="30"/>
      <c r="K1452" s="30"/>
      <c r="L1452" s="30"/>
      <c r="M1452" s="30"/>
      <c r="N1452" s="30"/>
      <c r="O1452" s="30"/>
      <c r="P1452" s="30"/>
      <c r="Q1452" s="24"/>
      <c r="R1452" s="14"/>
      <c r="S1452" s="12"/>
      <c r="T1452" s="12"/>
      <c r="U1452" s="12"/>
      <c r="V1452" s="12"/>
      <c r="W1452" s="12"/>
      <c r="X1452" s="12"/>
      <c r="Y1452" s="12"/>
      <c r="Z1452" s="12"/>
      <c r="AA1452" s="12"/>
      <c r="AB1452" s="12"/>
      <c r="AC1452" s="12"/>
      <c r="AD1452" s="12"/>
    </row>
    <row r="1453" spans="2:30" x14ac:dyDescent="0.35">
      <c r="B1453" s="20"/>
      <c r="D1453" s="30"/>
      <c r="E1453" s="30"/>
      <c r="F1453" s="30"/>
      <c r="G1453" s="30"/>
      <c r="H1453" s="30"/>
      <c r="I1453" s="30"/>
      <c r="J1453" s="30"/>
      <c r="K1453" s="30"/>
      <c r="L1453" s="30"/>
      <c r="M1453" s="30"/>
      <c r="N1453" s="30"/>
      <c r="O1453" s="30"/>
      <c r="P1453" s="30"/>
      <c r="Q1453" s="24"/>
      <c r="R1453" s="14"/>
      <c r="S1453" s="12"/>
      <c r="T1453" s="12"/>
      <c r="U1453" s="12"/>
      <c r="V1453" s="12"/>
      <c r="W1453" s="12"/>
      <c r="X1453" s="12"/>
      <c r="Y1453" s="12"/>
      <c r="Z1453" s="12"/>
      <c r="AA1453" s="12"/>
      <c r="AB1453" s="12"/>
      <c r="AC1453" s="12"/>
      <c r="AD1453" s="12"/>
    </row>
    <row r="1454" spans="2:30" x14ac:dyDescent="0.35">
      <c r="B1454" s="20"/>
      <c r="D1454" s="30"/>
      <c r="E1454" s="30"/>
      <c r="F1454" s="30"/>
      <c r="G1454" s="30"/>
      <c r="H1454" s="30"/>
      <c r="I1454" s="30"/>
      <c r="J1454" s="30"/>
      <c r="K1454" s="30"/>
      <c r="L1454" s="30"/>
      <c r="M1454" s="30"/>
      <c r="N1454" s="30"/>
      <c r="O1454" s="30"/>
      <c r="P1454" s="30"/>
      <c r="Q1454" s="24"/>
      <c r="R1454" s="14"/>
      <c r="S1454" s="12"/>
      <c r="T1454" s="12"/>
      <c r="U1454" s="12"/>
      <c r="V1454" s="12"/>
      <c r="W1454" s="12"/>
      <c r="X1454" s="12"/>
      <c r="Y1454" s="12"/>
      <c r="Z1454" s="12"/>
      <c r="AA1454" s="12"/>
      <c r="AB1454" s="12"/>
      <c r="AC1454" s="12"/>
      <c r="AD1454" s="12"/>
    </row>
    <row r="1455" spans="2:30" x14ac:dyDescent="0.35">
      <c r="B1455" s="20"/>
      <c r="D1455" s="30"/>
      <c r="E1455" s="30"/>
      <c r="F1455" s="30"/>
      <c r="G1455" s="30"/>
      <c r="H1455" s="30"/>
      <c r="I1455" s="30"/>
      <c r="J1455" s="30"/>
      <c r="K1455" s="30"/>
      <c r="L1455" s="30"/>
      <c r="M1455" s="30"/>
      <c r="N1455" s="30"/>
      <c r="O1455" s="30"/>
      <c r="P1455" s="30"/>
      <c r="Q1455" s="24"/>
      <c r="R1455" s="14"/>
      <c r="S1455" s="12"/>
      <c r="T1455" s="12"/>
      <c r="U1455" s="12"/>
      <c r="V1455" s="12"/>
      <c r="W1455" s="12"/>
      <c r="X1455" s="12"/>
      <c r="Y1455" s="12"/>
      <c r="Z1455" s="12"/>
      <c r="AA1455" s="12"/>
      <c r="AB1455" s="12"/>
      <c r="AC1455" s="12"/>
      <c r="AD1455" s="12"/>
    </row>
    <row r="1456" spans="2:30" x14ac:dyDescent="0.35">
      <c r="B1456" s="20"/>
      <c r="D1456" s="31"/>
      <c r="E1456" s="31"/>
      <c r="F1456" s="31"/>
      <c r="G1456" s="31"/>
      <c r="H1456" s="31"/>
      <c r="I1456" s="31"/>
      <c r="J1456" s="31"/>
      <c r="K1456" s="31"/>
      <c r="L1456" s="31"/>
      <c r="M1456" s="31"/>
      <c r="N1456" s="31"/>
      <c r="O1456" s="31"/>
      <c r="P1456" s="31"/>
      <c r="Q1456" s="24"/>
      <c r="R1456" s="14"/>
      <c r="S1456" s="12"/>
      <c r="T1456" s="12"/>
      <c r="U1456" s="12"/>
      <c r="V1456" s="12"/>
      <c r="W1456" s="12"/>
      <c r="X1456" s="12"/>
      <c r="Y1456" s="12"/>
      <c r="Z1456" s="12"/>
      <c r="AA1456" s="12"/>
      <c r="AB1456" s="12"/>
      <c r="AC1456" s="12"/>
      <c r="AD1456" s="12"/>
    </row>
    <row r="1457" spans="1:30" x14ac:dyDescent="0.35">
      <c r="A1457" s="20"/>
      <c r="B1457" s="20"/>
      <c r="D1457" s="30"/>
      <c r="E1457" s="30"/>
      <c r="F1457" s="30"/>
      <c r="G1457" s="30"/>
      <c r="H1457" s="30"/>
      <c r="I1457" s="30"/>
      <c r="J1457" s="30"/>
      <c r="K1457" s="30"/>
      <c r="L1457" s="30"/>
      <c r="M1457" s="30"/>
      <c r="N1457" s="30"/>
      <c r="O1457" s="30"/>
      <c r="P1457" s="30"/>
      <c r="Q1457" s="24"/>
      <c r="R1457" s="14"/>
      <c r="S1457" s="12"/>
      <c r="T1457" s="12"/>
      <c r="U1457" s="12"/>
      <c r="V1457" s="12"/>
      <c r="W1457" s="12"/>
      <c r="X1457" s="12"/>
      <c r="Y1457" s="12"/>
      <c r="Z1457" s="12"/>
      <c r="AA1457" s="12"/>
      <c r="AB1457" s="12"/>
      <c r="AC1457" s="12"/>
      <c r="AD1457" s="12"/>
    </row>
    <row r="1458" spans="1:30" x14ac:dyDescent="0.35">
      <c r="A1458" s="20"/>
      <c r="B1458" s="20"/>
      <c r="D1458" s="30"/>
      <c r="E1458" s="30"/>
      <c r="F1458" s="30"/>
      <c r="G1458" s="30"/>
      <c r="H1458" s="30"/>
      <c r="I1458" s="30"/>
      <c r="J1458" s="30"/>
      <c r="K1458" s="30"/>
      <c r="L1458" s="30"/>
      <c r="M1458" s="30"/>
      <c r="N1458" s="30"/>
      <c r="O1458" s="30"/>
      <c r="P1458" s="30"/>
      <c r="Q1458" s="24"/>
      <c r="R1458" s="21"/>
      <c r="S1458" s="12"/>
      <c r="T1458" s="12"/>
      <c r="U1458" s="12"/>
      <c r="V1458" s="12"/>
      <c r="W1458" s="12"/>
      <c r="X1458" s="12"/>
      <c r="Y1458" s="12"/>
      <c r="Z1458" s="12"/>
      <c r="AA1458" s="12"/>
      <c r="AB1458" s="12"/>
      <c r="AC1458" s="12"/>
      <c r="AD1458" s="12"/>
    </row>
    <row r="1459" spans="1:30" x14ac:dyDescent="0.35">
      <c r="A1459" s="20"/>
      <c r="B1459" s="20"/>
      <c r="D1459" s="30"/>
      <c r="E1459" s="30"/>
      <c r="F1459" s="30"/>
      <c r="G1459" s="30"/>
      <c r="H1459" s="30"/>
      <c r="I1459" s="30"/>
      <c r="J1459" s="30"/>
      <c r="K1459" s="30"/>
      <c r="L1459" s="30"/>
      <c r="M1459" s="30"/>
      <c r="N1459" s="30"/>
      <c r="O1459" s="30"/>
      <c r="P1459" s="30"/>
      <c r="Q1459" s="24"/>
      <c r="R1459" s="21"/>
      <c r="S1459" s="12"/>
      <c r="T1459" s="12"/>
      <c r="U1459" s="12"/>
      <c r="V1459" s="12"/>
      <c r="W1459" s="12"/>
      <c r="X1459" s="12"/>
      <c r="Y1459" s="12"/>
      <c r="Z1459" s="12"/>
      <c r="AA1459" s="12"/>
      <c r="AB1459" s="12"/>
      <c r="AC1459" s="12"/>
      <c r="AD1459" s="12"/>
    </row>
    <row r="1460" spans="1:30" x14ac:dyDescent="0.35">
      <c r="A1460" s="20"/>
      <c r="B1460" s="20"/>
      <c r="D1460" s="30"/>
      <c r="E1460" s="30"/>
      <c r="F1460" s="30"/>
      <c r="G1460" s="30"/>
      <c r="H1460" s="30"/>
      <c r="I1460" s="30"/>
      <c r="J1460" s="30"/>
      <c r="K1460" s="30"/>
      <c r="L1460" s="30"/>
      <c r="M1460" s="30"/>
      <c r="N1460" s="30"/>
      <c r="O1460" s="30"/>
      <c r="P1460" s="30"/>
      <c r="Q1460" s="24"/>
      <c r="R1460" s="21"/>
      <c r="S1460" s="12"/>
      <c r="T1460" s="12"/>
      <c r="U1460" s="12"/>
      <c r="V1460" s="12"/>
      <c r="W1460" s="12"/>
      <c r="X1460" s="12"/>
      <c r="Y1460" s="12"/>
      <c r="Z1460" s="12"/>
      <c r="AA1460" s="12"/>
      <c r="AB1460" s="12"/>
      <c r="AC1460" s="12"/>
      <c r="AD1460" s="12"/>
    </row>
    <row r="1461" spans="1:30" x14ac:dyDescent="0.35">
      <c r="A1461" s="20"/>
      <c r="B1461" s="20"/>
      <c r="D1461" s="30"/>
      <c r="E1461" s="30"/>
      <c r="F1461" s="30"/>
      <c r="G1461" s="30"/>
      <c r="H1461" s="30"/>
      <c r="I1461" s="30"/>
      <c r="J1461" s="30"/>
      <c r="K1461" s="30"/>
      <c r="L1461" s="30"/>
      <c r="M1461" s="30"/>
      <c r="N1461" s="30"/>
      <c r="O1461" s="30"/>
      <c r="P1461" s="30"/>
      <c r="Q1461" s="24"/>
      <c r="R1461" s="21"/>
      <c r="S1461" s="12"/>
      <c r="T1461" s="12"/>
      <c r="U1461" s="12"/>
      <c r="V1461" s="12"/>
      <c r="W1461" s="12"/>
      <c r="X1461" s="12"/>
      <c r="Y1461" s="12"/>
      <c r="Z1461" s="12"/>
      <c r="AA1461" s="12"/>
      <c r="AB1461" s="12"/>
      <c r="AC1461" s="12"/>
      <c r="AD1461" s="12"/>
    </row>
    <row r="1462" spans="1:30" x14ac:dyDescent="0.35">
      <c r="A1462" s="20"/>
      <c r="B1462" s="20"/>
      <c r="D1462" s="30"/>
      <c r="E1462" s="30"/>
      <c r="F1462" s="30"/>
      <c r="G1462" s="30"/>
      <c r="H1462" s="30"/>
      <c r="I1462" s="30"/>
      <c r="J1462" s="30"/>
      <c r="K1462" s="30"/>
      <c r="L1462" s="30"/>
      <c r="M1462" s="30"/>
      <c r="N1462" s="30"/>
      <c r="O1462" s="30"/>
      <c r="P1462" s="30"/>
      <c r="Q1462" s="24"/>
      <c r="R1462" s="21"/>
      <c r="S1462" s="12"/>
      <c r="T1462" s="12"/>
      <c r="U1462" s="12"/>
      <c r="V1462" s="12"/>
      <c r="W1462" s="12"/>
      <c r="X1462" s="12"/>
      <c r="Y1462" s="12"/>
      <c r="Z1462" s="12"/>
      <c r="AA1462" s="12"/>
      <c r="AB1462" s="12"/>
      <c r="AC1462" s="12"/>
      <c r="AD1462" s="12"/>
    </row>
    <row r="1463" spans="1:30" x14ac:dyDescent="0.35">
      <c r="A1463" s="20"/>
      <c r="B1463" s="20"/>
      <c r="D1463" s="30"/>
      <c r="E1463" s="30"/>
      <c r="F1463" s="30"/>
      <c r="G1463" s="30"/>
      <c r="H1463" s="30"/>
      <c r="I1463" s="30"/>
      <c r="J1463" s="30"/>
      <c r="K1463" s="30"/>
      <c r="L1463" s="30"/>
      <c r="M1463" s="30"/>
      <c r="N1463" s="30"/>
      <c r="O1463" s="30"/>
      <c r="P1463" s="30"/>
      <c r="Q1463" s="24"/>
      <c r="R1463" s="21"/>
      <c r="S1463" s="12"/>
      <c r="T1463" s="12"/>
      <c r="U1463" s="12"/>
      <c r="V1463" s="12"/>
      <c r="W1463" s="12"/>
      <c r="X1463" s="12"/>
      <c r="Y1463" s="12"/>
      <c r="Z1463" s="12"/>
      <c r="AA1463" s="12"/>
      <c r="AB1463" s="12"/>
      <c r="AC1463" s="12"/>
      <c r="AD1463" s="12"/>
    </row>
    <row r="1464" spans="1:30" x14ac:dyDescent="0.35">
      <c r="A1464" s="20"/>
      <c r="B1464" s="20"/>
      <c r="D1464" s="31"/>
      <c r="E1464" s="31"/>
      <c r="F1464" s="31"/>
      <c r="G1464" s="31"/>
      <c r="H1464" s="31"/>
      <c r="I1464" s="31"/>
      <c r="J1464" s="31"/>
      <c r="K1464" s="31"/>
      <c r="L1464" s="31"/>
      <c r="M1464" s="31"/>
      <c r="N1464" s="31"/>
      <c r="O1464" s="31"/>
      <c r="P1464" s="31"/>
      <c r="Q1464" s="24"/>
      <c r="R1464" s="21"/>
      <c r="S1464" s="12"/>
      <c r="T1464" s="12"/>
      <c r="U1464" s="12"/>
      <c r="V1464" s="12"/>
      <c r="W1464" s="12"/>
      <c r="X1464" s="12"/>
      <c r="Y1464" s="12"/>
      <c r="Z1464" s="12"/>
      <c r="AA1464" s="12"/>
      <c r="AB1464" s="12"/>
      <c r="AC1464" s="12"/>
      <c r="AD1464" s="12"/>
    </row>
    <row r="1465" spans="1:30" x14ac:dyDescent="0.35">
      <c r="B1465" s="20"/>
      <c r="D1465" s="30"/>
      <c r="E1465" s="30"/>
      <c r="F1465" s="30"/>
      <c r="G1465" s="30"/>
      <c r="H1465" s="30"/>
      <c r="I1465" s="30"/>
      <c r="J1465" s="30"/>
      <c r="K1465" s="30"/>
      <c r="L1465" s="30"/>
      <c r="M1465" s="30"/>
      <c r="N1465" s="30"/>
      <c r="O1465" s="30"/>
      <c r="P1465" s="30"/>
      <c r="Q1465" s="24"/>
      <c r="R1465" s="21"/>
      <c r="S1465" s="12"/>
      <c r="T1465" s="12"/>
      <c r="U1465" s="12"/>
      <c r="V1465" s="12"/>
      <c r="W1465" s="12"/>
      <c r="X1465" s="12"/>
      <c r="Y1465" s="12"/>
      <c r="Z1465" s="12"/>
      <c r="AA1465" s="12"/>
      <c r="AB1465" s="12"/>
      <c r="AC1465" s="12"/>
      <c r="AD1465" s="12"/>
    </row>
    <row r="1466" spans="1:30" x14ac:dyDescent="0.35">
      <c r="B1466" s="20"/>
      <c r="D1466" s="30"/>
      <c r="E1466" s="30"/>
      <c r="F1466" s="30"/>
      <c r="G1466" s="30"/>
      <c r="H1466" s="30"/>
      <c r="I1466" s="30"/>
      <c r="J1466" s="30"/>
      <c r="K1466" s="30"/>
      <c r="L1466" s="30"/>
      <c r="M1466" s="30"/>
      <c r="N1466" s="30"/>
      <c r="O1466" s="30"/>
      <c r="P1466" s="30"/>
      <c r="Q1466" s="24"/>
      <c r="R1466" s="21"/>
      <c r="S1466" s="12"/>
      <c r="T1466" s="12"/>
      <c r="U1466" s="12"/>
      <c r="V1466" s="12"/>
      <c r="W1466" s="12"/>
      <c r="X1466" s="12"/>
      <c r="Y1466" s="12"/>
      <c r="Z1466" s="12"/>
      <c r="AA1466" s="12"/>
      <c r="AB1466" s="12"/>
      <c r="AC1466" s="12"/>
      <c r="AD1466" s="12"/>
    </row>
    <row r="1467" spans="1:30" x14ac:dyDescent="0.35">
      <c r="B1467" s="20"/>
      <c r="D1467" s="30"/>
      <c r="E1467" s="30"/>
      <c r="F1467" s="30"/>
      <c r="G1467" s="30"/>
      <c r="H1467" s="30"/>
      <c r="I1467" s="30"/>
      <c r="J1467" s="30"/>
      <c r="K1467" s="30"/>
      <c r="L1467" s="30"/>
      <c r="M1467" s="30"/>
      <c r="N1467" s="30"/>
      <c r="O1467" s="30"/>
      <c r="P1467" s="30"/>
      <c r="Q1467" s="24"/>
      <c r="R1467" s="14"/>
      <c r="S1467" s="12"/>
      <c r="T1467" s="12"/>
      <c r="U1467" s="12"/>
      <c r="V1467" s="12"/>
      <c r="W1467" s="12"/>
      <c r="X1467" s="12"/>
      <c r="Y1467" s="12"/>
      <c r="Z1467" s="12"/>
      <c r="AA1467" s="12"/>
      <c r="AB1467" s="12"/>
      <c r="AC1467" s="12"/>
      <c r="AD1467" s="12"/>
    </row>
    <row r="1468" spans="1:30" x14ac:dyDescent="0.35">
      <c r="B1468" s="20"/>
      <c r="D1468" s="30"/>
      <c r="E1468" s="30"/>
      <c r="F1468" s="30"/>
      <c r="G1468" s="30"/>
      <c r="H1468" s="30"/>
      <c r="I1468" s="30"/>
      <c r="J1468" s="30"/>
      <c r="K1468" s="30"/>
      <c r="L1468" s="30"/>
      <c r="M1468" s="30"/>
      <c r="N1468" s="30"/>
      <c r="O1468" s="30"/>
      <c r="P1468" s="30"/>
      <c r="Q1468" s="24"/>
      <c r="R1468" s="14"/>
      <c r="S1468" s="12"/>
      <c r="T1468" s="12"/>
      <c r="U1468" s="12"/>
      <c r="V1468" s="12"/>
      <c r="W1468" s="12"/>
      <c r="X1468" s="12"/>
      <c r="Y1468" s="12"/>
      <c r="Z1468" s="12"/>
      <c r="AA1468" s="12"/>
      <c r="AB1468" s="12"/>
      <c r="AC1468" s="12"/>
      <c r="AD1468" s="12"/>
    </row>
    <row r="1469" spans="1:30" x14ac:dyDescent="0.35">
      <c r="B1469" s="20"/>
      <c r="D1469" s="30"/>
      <c r="E1469" s="30"/>
      <c r="F1469" s="30"/>
      <c r="G1469" s="30"/>
      <c r="H1469" s="30"/>
      <c r="I1469" s="30"/>
      <c r="J1469" s="30"/>
      <c r="K1469" s="30"/>
      <c r="L1469" s="30"/>
      <c r="M1469" s="30"/>
      <c r="N1469" s="30"/>
      <c r="O1469" s="30"/>
      <c r="P1469" s="30"/>
      <c r="Q1469" s="24"/>
      <c r="R1469" s="14"/>
      <c r="S1469" s="12"/>
      <c r="T1469" s="12"/>
      <c r="U1469" s="12"/>
      <c r="V1469" s="12"/>
      <c r="W1469" s="12"/>
      <c r="X1469" s="12"/>
      <c r="Y1469" s="12"/>
      <c r="Z1469" s="12"/>
      <c r="AA1469" s="12"/>
      <c r="AB1469" s="12"/>
      <c r="AC1469" s="12"/>
      <c r="AD1469" s="12"/>
    </row>
    <row r="1470" spans="1:30" x14ac:dyDescent="0.35">
      <c r="B1470" s="20"/>
      <c r="D1470" s="30"/>
      <c r="E1470" s="30"/>
      <c r="F1470" s="30"/>
      <c r="G1470" s="30"/>
      <c r="H1470" s="30"/>
      <c r="I1470" s="30"/>
      <c r="J1470" s="30"/>
      <c r="K1470" s="30"/>
      <c r="L1470" s="30"/>
      <c r="M1470" s="30"/>
      <c r="N1470" s="30"/>
      <c r="O1470" s="30"/>
      <c r="P1470" s="30"/>
      <c r="Q1470" s="24"/>
      <c r="R1470" s="14"/>
      <c r="S1470" s="12"/>
      <c r="T1470" s="12"/>
      <c r="U1470" s="12"/>
      <c r="V1470" s="12"/>
      <c r="W1470" s="12"/>
      <c r="X1470" s="12"/>
      <c r="Y1470" s="12"/>
      <c r="Z1470" s="12"/>
      <c r="AA1470" s="12"/>
      <c r="AB1470" s="12"/>
      <c r="AC1470" s="12"/>
      <c r="AD1470" s="12"/>
    </row>
    <row r="1471" spans="1:30" x14ac:dyDescent="0.35">
      <c r="B1471" s="20"/>
      <c r="D1471" s="30"/>
      <c r="E1471" s="30"/>
      <c r="F1471" s="30"/>
      <c r="G1471" s="30"/>
      <c r="H1471" s="30"/>
      <c r="I1471" s="30"/>
      <c r="J1471" s="30"/>
      <c r="K1471" s="30"/>
      <c r="L1471" s="30"/>
      <c r="M1471" s="30"/>
      <c r="N1471" s="30"/>
      <c r="O1471" s="30"/>
      <c r="P1471" s="30"/>
      <c r="Q1471" s="24"/>
      <c r="R1471" s="14"/>
      <c r="S1471" s="12"/>
      <c r="T1471" s="12"/>
      <c r="U1471" s="12"/>
      <c r="V1471" s="12"/>
      <c r="W1471" s="12"/>
      <c r="X1471" s="12"/>
      <c r="Y1471" s="12"/>
      <c r="Z1471" s="12"/>
      <c r="AA1471" s="12"/>
      <c r="AB1471" s="12"/>
      <c r="AC1471" s="12"/>
      <c r="AD1471" s="12"/>
    </row>
    <row r="1472" spans="1:30" x14ac:dyDescent="0.35">
      <c r="B1472" s="20"/>
      <c r="D1472" s="31"/>
      <c r="E1472" s="31"/>
      <c r="F1472" s="31"/>
      <c r="G1472" s="31"/>
      <c r="H1472" s="31"/>
      <c r="I1472" s="31"/>
      <c r="J1472" s="31"/>
      <c r="K1472" s="31"/>
      <c r="L1472" s="31"/>
      <c r="M1472" s="31"/>
      <c r="N1472" s="31"/>
      <c r="O1472" s="31"/>
      <c r="P1472" s="31"/>
      <c r="Q1472" s="24"/>
      <c r="R1472" s="14"/>
      <c r="S1472" s="12"/>
      <c r="T1472" s="12"/>
      <c r="U1472" s="12"/>
      <c r="V1472" s="12"/>
      <c r="W1472" s="12"/>
      <c r="X1472" s="12"/>
      <c r="Y1472" s="12"/>
      <c r="Z1472" s="12"/>
      <c r="AA1472" s="12"/>
      <c r="AB1472" s="12"/>
      <c r="AC1472" s="12"/>
      <c r="AD1472" s="12"/>
    </row>
    <row r="1473" spans="2:30" x14ac:dyDescent="0.35">
      <c r="B1473" s="20"/>
      <c r="D1473" s="30"/>
      <c r="E1473" s="30"/>
      <c r="F1473" s="30"/>
      <c r="G1473" s="30"/>
      <c r="H1473" s="30"/>
      <c r="I1473" s="30"/>
      <c r="J1473" s="30"/>
      <c r="K1473" s="30"/>
      <c r="L1473" s="30"/>
      <c r="M1473" s="30"/>
      <c r="N1473" s="30"/>
      <c r="O1473" s="30"/>
      <c r="P1473" s="30"/>
      <c r="Q1473" s="24"/>
      <c r="R1473" s="14"/>
      <c r="S1473" s="12"/>
      <c r="T1473" s="12"/>
      <c r="U1473" s="12"/>
      <c r="V1473" s="12"/>
      <c r="W1473" s="12"/>
      <c r="X1473" s="12"/>
      <c r="Y1473" s="12"/>
      <c r="Z1473" s="12"/>
      <c r="AA1473" s="12"/>
      <c r="AB1473" s="12"/>
      <c r="AC1473" s="12"/>
      <c r="AD1473" s="12"/>
    </row>
    <row r="1474" spans="2:30" x14ac:dyDescent="0.35">
      <c r="B1474" s="20"/>
      <c r="D1474" s="30"/>
      <c r="E1474" s="30"/>
      <c r="F1474" s="30"/>
      <c r="G1474" s="30"/>
      <c r="H1474" s="30"/>
      <c r="I1474" s="30"/>
      <c r="J1474" s="30"/>
      <c r="K1474" s="30"/>
      <c r="L1474" s="30"/>
      <c r="M1474" s="30"/>
      <c r="N1474" s="30"/>
      <c r="O1474" s="30"/>
      <c r="P1474" s="30"/>
      <c r="Q1474" s="24"/>
      <c r="R1474" s="14"/>
      <c r="S1474" s="12"/>
      <c r="T1474" s="12"/>
      <c r="U1474" s="12"/>
      <c r="V1474" s="12"/>
      <c r="W1474" s="12"/>
      <c r="X1474" s="12"/>
      <c r="Y1474" s="12"/>
      <c r="Z1474" s="12"/>
      <c r="AA1474" s="12"/>
      <c r="AB1474" s="12"/>
      <c r="AC1474" s="12"/>
      <c r="AD1474" s="12"/>
    </row>
    <row r="1475" spans="2:30" x14ac:dyDescent="0.35">
      <c r="B1475" s="20"/>
      <c r="D1475" s="30"/>
      <c r="E1475" s="30"/>
      <c r="F1475" s="30"/>
      <c r="G1475" s="30"/>
      <c r="H1475" s="30"/>
      <c r="I1475" s="30"/>
      <c r="J1475" s="30"/>
      <c r="K1475" s="30"/>
      <c r="L1475" s="30"/>
      <c r="M1475" s="30"/>
      <c r="N1475" s="30"/>
      <c r="O1475" s="30"/>
      <c r="P1475" s="30"/>
      <c r="Q1475" s="24"/>
      <c r="R1475" s="14"/>
      <c r="S1475" s="12"/>
      <c r="T1475" s="12"/>
      <c r="U1475" s="12"/>
      <c r="V1475" s="12"/>
      <c r="W1475" s="12"/>
      <c r="X1475" s="12"/>
      <c r="Y1475" s="12"/>
      <c r="Z1475" s="12"/>
      <c r="AA1475" s="12"/>
      <c r="AB1475" s="12"/>
      <c r="AC1475" s="12"/>
      <c r="AD1475" s="12"/>
    </row>
    <row r="1476" spans="2:30" x14ac:dyDescent="0.35">
      <c r="B1476" s="20"/>
      <c r="D1476" s="30"/>
      <c r="E1476" s="30"/>
      <c r="F1476" s="30"/>
      <c r="G1476" s="30"/>
      <c r="H1476" s="30"/>
      <c r="I1476" s="30"/>
      <c r="J1476" s="30"/>
      <c r="K1476" s="30"/>
      <c r="L1476" s="30"/>
      <c r="M1476" s="30"/>
      <c r="N1476" s="30"/>
      <c r="O1476" s="30"/>
      <c r="P1476" s="30"/>
      <c r="Q1476" s="24"/>
      <c r="R1476" s="14"/>
      <c r="S1476" s="12"/>
      <c r="T1476" s="12"/>
      <c r="U1476" s="12"/>
      <c r="V1476" s="12"/>
      <c r="W1476" s="12"/>
      <c r="X1476" s="12"/>
      <c r="Y1476" s="12"/>
      <c r="Z1476" s="12"/>
      <c r="AA1476" s="12"/>
      <c r="AB1476" s="12"/>
      <c r="AC1476" s="12"/>
      <c r="AD1476" s="12"/>
    </row>
    <row r="1477" spans="2:30" x14ac:dyDescent="0.35">
      <c r="B1477" s="20"/>
      <c r="D1477" s="30"/>
      <c r="E1477" s="30"/>
      <c r="F1477" s="30"/>
      <c r="G1477" s="30"/>
      <c r="H1477" s="30"/>
      <c r="I1477" s="30"/>
      <c r="J1477" s="30"/>
      <c r="K1477" s="30"/>
      <c r="L1477" s="30"/>
      <c r="M1477" s="30"/>
      <c r="N1477" s="30"/>
      <c r="O1477" s="30"/>
      <c r="P1477" s="30"/>
      <c r="Q1477" s="24"/>
      <c r="R1477" s="14"/>
      <c r="S1477" s="12"/>
      <c r="T1477" s="12"/>
      <c r="U1477" s="12"/>
      <c r="V1477" s="12"/>
      <c r="W1477" s="12"/>
      <c r="X1477" s="12"/>
      <c r="Y1477" s="12"/>
      <c r="Z1477" s="12"/>
      <c r="AA1477" s="12"/>
      <c r="AB1477" s="12"/>
      <c r="AC1477" s="12"/>
      <c r="AD1477" s="12"/>
    </row>
    <row r="1478" spans="2:30" x14ac:dyDescent="0.35">
      <c r="B1478" s="20"/>
      <c r="D1478" s="30"/>
      <c r="E1478" s="30"/>
      <c r="F1478" s="30"/>
      <c r="G1478" s="30"/>
      <c r="H1478" s="30"/>
      <c r="I1478" s="30"/>
      <c r="J1478" s="30"/>
      <c r="K1478" s="30"/>
      <c r="L1478" s="30"/>
      <c r="M1478" s="30"/>
      <c r="N1478" s="30"/>
      <c r="O1478" s="30"/>
      <c r="P1478" s="30"/>
      <c r="Q1478" s="24"/>
      <c r="R1478" s="14"/>
      <c r="S1478" s="12"/>
      <c r="T1478" s="12"/>
      <c r="U1478" s="12"/>
      <c r="V1478" s="12"/>
      <c r="W1478" s="12"/>
      <c r="X1478" s="12"/>
      <c r="Y1478" s="12"/>
      <c r="Z1478" s="12"/>
      <c r="AA1478" s="12"/>
      <c r="AB1478" s="12"/>
      <c r="AC1478" s="12"/>
      <c r="AD1478" s="12"/>
    </row>
    <row r="1479" spans="2:30" x14ac:dyDescent="0.35">
      <c r="B1479" s="20"/>
      <c r="D1479" s="30"/>
      <c r="E1479" s="30"/>
      <c r="F1479" s="30"/>
      <c r="G1479" s="30"/>
      <c r="H1479" s="30"/>
      <c r="I1479" s="30"/>
      <c r="J1479" s="30"/>
      <c r="K1479" s="30"/>
      <c r="L1479" s="30"/>
      <c r="M1479" s="30"/>
      <c r="N1479" s="30"/>
      <c r="O1479" s="30"/>
      <c r="P1479" s="30"/>
      <c r="Q1479" s="24"/>
      <c r="R1479" s="14"/>
      <c r="S1479" s="12"/>
      <c r="T1479" s="12"/>
      <c r="U1479" s="12"/>
      <c r="V1479" s="12"/>
      <c r="W1479" s="12"/>
      <c r="X1479" s="12"/>
      <c r="Y1479" s="12"/>
      <c r="Z1479" s="12"/>
      <c r="AA1479" s="12"/>
      <c r="AB1479" s="12"/>
      <c r="AC1479" s="12"/>
      <c r="AD1479" s="12"/>
    </row>
    <row r="1480" spans="2:30" x14ac:dyDescent="0.35">
      <c r="B1480" s="20"/>
      <c r="D1480" s="31"/>
      <c r="E1480" s="31"/>
      <c r="F1480" s="31"/>
      <c r="G1480" s="31"/>
      <c r="H1480" s="31"/>
      <c r="I1480" s="31"/>
      <c r="J1480" s="31"/>
      <c r="K1480" s="31"/>
      <c r="L1480" s="31"/>
      <c r="M1480" s="31"/>
      <c r="N1480" s="31"/>
      <c r="O1480" s="31"/>
      <c r="P1480" s="31"/>
      <c r="Q1480" s="24"/>
      <c r="R1480" s="14"/>
      <c r="S1480" s="12"/>
      <c r="T1480" s="12"/>
      <c r="U1480" s="12"/>
      <c r="V1480" s="12"/>
      <c r="W1480" s="12"/>
      <c r="X1480" s="12"/>
      <c r="Y1480" s="12"/>
      <c r="Z1480" s="12"/>
      <c r="AA1480" s="12"/>
      <c r="AB1480" s="12"/>
      <c r="AC1480" s="12"/>
      <c r="AD1480" s="12"/>
    </row>
    <row r="1481" spans="2:30" x14ac:dyDescent="0.35">
      <c r="B1481" s="20"/>
      <c r="D1481" s="30"/>
      <c r="E1481" s="30"/>
      <c r="F1481" s="30"/>
      <c r="G1481" s="30"/>
      <c r="H1481" s="30"/>
      <c r="I1481" s="30"/>
      <c r="J1481" s="30"/>
      <c r="K1481" s="30"/>
      <c r="L1481" s="30"/>
      <c r="M1481" s="30"/>
      <c r="N1481" s="30"/>
      <c r="O1481" s="30"/>
      <c r="P1481" s="30"/>
      <c r="Q1481" s="24"/>
      <c r="R1481" s="14"/>
      <c r="S1481" s="12"/>
      <c r="T1481" s="12"/>
      <c r="U1481" s="12"/>
      <c r="V1481" s="12"/>
      <c r="W1481" s="12"/>
      <c r="X1481" s="12"/>
      <c r="Y1481" s="12"/>
      <c r="Z1481" s="12"/>
      <c r="AA1481" s="12"/>
      <c r="AB1481" s="12"/>
      <c r="AC1481" s="12"/>
      <c r="AD1481" s="12"/>
    </row>
    <row r="1482" spans="2:30" x14ac:dyDescent="0.35">
      <c r="B1482" s="20"/>
      <c r="D1482" s="30"/>
      <c r="E1482" s="30"/>
      <c r="F1482" s="30"/>
      <c r="G1482" s="30"/>
      <c r="H1482" s="30"/>
      <c r="I1482" s="30"/>
      <c r="J1482" s="30"/>
      <c r="K1482" s="30"/>
      <c r="L1482" s="30"/>
      <c r="M1482" s="30"/>
      <c r="N1482" s="30"/>
      <c r="O1482" s="30"/>
      <c r="P1482" s="30"/>
      <c r="Q1482" s="24"/>
      <c r="R1482" s="21"/>
      <c r="S1482" s="12"/>
      <c r="T1482" s="12"/>
      <c r="U1482" s="12"/>
      <c r="V1482" s="12"/>
      <c r="W1482" s="12"/>
      <c r="X1482" s="12"/>
      <c r="Y1482" s="12"/>
      <c r="Z1482" s="12"/>
      <c r="AA1482" s="12"/>
      <c r="AB1482" s="12"/>
      <c r="AC1482" s="12"/>
      <c r="AD1482" s="12"/>
    </row>
    <row r="1483" spans="2:30" x14ac:dyDescent="0.35">
      <c r="B1483" s="20"/>
      <c r="D1483" s="30"/>
      <c r="E1483" s="30"/>
      <c r="F1483" s="30"/>
      <c r="G1483" s="30"/>
      <c r="H1483" s="30"/>
      <c r="I1483" s="30"/>
      <c r="J1483" s="30"/>
      <c r="K1483" s="30"/>
      <c r="L1483" s="30"/>
      <c r="M1483" s="30"/>
      <c r="N1483" s="30"/>
      <c r="O1483" s="30"/>
      <c r="P1483" s="30"/>
      <c r="Q1483" s="24"/>
      <c r="R1483" s="21"/>
      <c r="S1483" s="12"/>
      <c r="T1483" s="12"/>
      <c r="U1483" s="12"/>
      <c r="V1483" s="12"/>
      <c r="W1483" s="12"/>
      <c r="X1483" s="12"/>
      <c r="Y1483" s="12"/>
      <c r="Z1483" s="12"/>
      <c r="AA1483" s="12"/>
      <c r="AB1483" s="12"/>
      <c r="AC1483" s="12"/>
      <c r="AD1483" s="12"/>
    </row>
    <row r="1484" spans="2:30" x14ac:dyDescent="0.35">
      <c r="B1484" s="20"/>
      <c r="D1484" s="30"/>
      <c r="E1484" s="30"/>
      <c r="F1484" s="30"/>
      <c r="G1484" s="30"/>
      <c r="H1484" s="30"/>
      <c r="I1484" s="30"/>
      <c r="J1484" s="30"/>
      <c r="K1484" s="30"/>
      <c r="L1484" s="30"/>
      <c r="M1484" s="30"/>
      <c r="N1484" s="30"/>
      <c r="O1484" s="30"/>
      <c r="P1484" s="30"/>
      <c r="Q1484" s="24"/>
      <c r="R1484" s="21"/>
      <c r="S1484" s="12"/>
      <c r="T1484" s="12"/>
      <c r="U1484" s="12"/>
      <c r="V1484" s="12"/>
      <c r="W1484" s="12"/>
      <c r="X1484" s="12"/>
      <c r="Y1484" s="12"/>
      <c r="Z1484" s="12"/>
      <c r="AA1484" s="12"/>
      <c r="AB1484" s="12"/>
      <c r="AC1484" s="12"/>
      <c r="AD1484" s="12"/>
    </row>
    <row r="1485" spans="2:30" x14ac:dyDescent="0.35">
      <c r="B1485" s="20"/>
      <c r="D1485" s="30"/>
      <c r="E1485" s="30"/>
      <c r="F1485" s="30"/>
      <c r="G1485" s="30"/>
      <c r="H1485" s="30"/>
      <c r="I1485" s="30"/>
      <c r="J1485" s="30"/>
      <c r="K1485" s="30"/>
      <c r="L1485" s="30"/>
      <c r="M1485" s="30"/>
      <c r="N1485" s="30"/>
      <c r="O1485" s="30"/>
      <c r="P1485" s="30"/>
      <c r="Q1485" s="24"/>
      <c r="R1485" s="21"/>
      <c r="S1485" s="12"/>
      <c r="T1485" s="12"/>
      <c r="U1485" s="12"/>
      <c r="V1485" s="12"/>
      <c r="W1485" s="12"/>
      <c r="X1485" s="12"/>
      <c r="Y1485" s="12"/>
      <c r="Z1485" s="12"/>
      <c r="AA1485" s="12"/>
      <c r="AB1485" s="12"/>
      <c r="AC1485" s="12"/>
      <c r="AD1485" s="12"/>
    </row>
    <row r="1486" spans="2:30" x14ac:dyDescent="0.35">
      <c r="B1486" s="20"/>
      <c r="D1486" s="30"/>
      <c r="E1486" s="30"/>
      <c r="F1486" s="30"/>
      <c r="G1486" s="30"/>
      <c r="H1486" s="30"/>
      <c r="I1486" s="30"/>
      <c r="J1486" s="30"/>
      <c r="K1486" s="30"/>
      <c r="L1486" s="30"/>
      <c r="M1486" s="30"/>
      <c r="N1486" s="30"/>
      <c r="O1486" s="30"/>
      <c r="P1486" s="30"/>
      <c r="Q1486" s="24"/>
      <c r="R1486" s="21"/>
      <c r="S1486" s="12"/>
      <c r="T1486" s="12"/>
      <c r="U1486" s="12"/>
      <c r="V1486" s="12"/>
      <c r="W1486" s="12"/>
      <c r="X1486" s="12"/>
      <c r="Y1486" s="12"/>
      <c r="Z1486" s="12"/>
      <c r="AA1486" s="12"/>
      <c r="AB1486" s="12"/>
      <c r="AC1486" s="12"/>
      <c r="AD1486" s="12"/>
    </row>
    <row r="1487" spans="2:30" x14ac:dyDescent="0.35">
      <c r="B1487" s="20"/>
      <c r="D1487" s="30"/>
      <c r="E1487" s="30"/>
      <c r="F1487" s="30"/>
      <c r="G1487" s="30"/>
      <c r="H1487" s="30"/>
      <c r="I1487" s="30"/>
      <c r="J1487" s="30"/>
      <c r="K1487" s="30"/>
      <c r="L1487" s="30"/>
      <c r="M1487" s="30"/>
      <c r="N1487" s="30"/>
      <c r="O1487" s="30"/>
      <c r="P1487" s="30"/>
      <c r="Q1487" s="24"/>
      <c r="R1487" s="21"/>
      <c r="S1487" s="12"/>
      <c r="T1487" s="12"/>
      <c r="U1487" s="12"/>
      <c r="V1487" s="12"/>
      <c r="W1487" s="12"/>
      <c r="X1487" s="12"/>
      <c r="Y1487" s="12"/>
      <c r="Z1487" s="12"/>
      <c r="AA1487" s="12"/>
      <c r="AB1487" s="12"/>
      <c r="AC1487" s="12"/>
      <c r="AD1487" s="12"/>
    </row>
    <row r="1488" spans="2:30" x14ac:dyDescent="0.35">
      <c r="B1488" s="20"/>
      <c r="D1488" s="31"/>
      <c r="E1488" s="31"/>
      <c r="F1488" s="31"/>
      <c r="G1488" s="31"/>
      <c r="H1488" s="31"/>
      <c r="I1488" s="31"/>
      <c r="J1488" s="31"/>
      <c r="K1488" s="31"/>
      <c r="L1488" s="31"/>
      <c r="M1488" s="31"/>
      <c r="N1488" s="31"/>
      <c r="O1488" s="31"/>
      <c r="P1488" s="31"/>
      <c r="Q1488" s="24"/>
      <c r="R1488" s="21"/>
      <c r="S1488" s="12"/>
      <c r="T1488" s="12"/>
      <c r="U1488" s="12"/>
      <c r="V1488" s="12"/>
      <c r="W1488" s="12"/>
      <c r="X1488" s="12"/>
      <c r="Y1488" s="12"/>
      <c r="Z1488" s="12"/>
      <c r="AA1488" s="12"/>
      <c r="AB1488" s="12"/>
      <c r="AC1488" s="12"/>
      <c r="AD1488" s="12"/>
    </row>
    <row r="1489" spans="1:30" x14ac:dyDescent="0.35">
      <c r="A1489" s="20"/>
      <c r="B1489" s="22"/>
      <c r="C1489" s="25"/>
      <c r="D1489" s="26"/>
      <c r="E1489" s="24"/>
      <c r="F1489" s="24"/>
      <c r="G1489" s="24"/>
      <c r="H1489" s="24"/>
      <c r="I1489" s="24"/>
      <c r="J1489" s="24"/>
      <c r="K1489" s="24"/>
      <c r="L1489" s="24"/>
      <c r="M1489" s="24"/>
      <c r="N1489" s="24"/>
      <c r="O1489" s="24"/>
      <c r="P1489" s="24"/>
      <c r="Q1489" s="24"/>
      <c r="R1489" s="21"/>
      <c r="S1489" s="12"/>
      <c r="T1489" s="12"/>
      <c r="U1489" s="12"/>
      <c r="V1489" s="12"/>
      <c r="W1489" s="12"/>
      <c r="X1489" s="12"/>
      <c r="Y1489" s="12"/>
      <c r="Z1489" s="12"/>
      <c r="AA1489" s="12"/>
      <c r="AB1489" s="12"/>
      <c r="AC1489" s="12"/>
      <c r="AD1489" s="12"/>
    </row>
    <row r="1490" spans="1:30" x14ac:dyDescent="0.35">
      <c r="A1490" s="20"/>
      <c r="B1490" s="22"/>
      <c r="C1490" s="25"/>
      <c r="D1490" s="26"/>
      <c r="E1490" s="24"/>
      <c r="F1490" s="24"/>
      <c r="G1490" s="24"/>
      <c r="H1490" s="24"/>
      <c r="I1490" s="24"/>
      <c r="J1490" s="24"/>
      <c r="K1490" s="24"/>
      <c r="L1490" s="24"/>
      <c r="M1490" s="24"/>
      <c r="N1490" s="24"/>
      <c r="O1490" s="24"/>
      <c r="P1490" s="24"/>
      <c r="Q1490" s="24"/>
      <c r="R1490" s="21"/>
      <c r="S1490" s="12"/>
      <c r="T1490" s="12"/>
      <c r="U1490" s="12"/>
      <c r="V1490" s="12"/>
      <c r="W1490" s="12"/>
      <c r="X1490" s="12"/>
      <c r="Y1490" s="12"/>
      <c r="Z1490" s="12"/>
      <c r="AA1490" s="12"/>
      <c r="AB1490" s="12"/>
      <c r="AC1490" s="12"/>
      <c r="AD1490" s="12"/>
    </row>
    <row r="1491" spans="1:30" x14ac:dyDescent="0.35">
      <c r="A1491" s="20"/>
      <c r="B1491" s="22"/>
      <c r="C1491" s="25"/>
      <c r="D1491" s="26"/>
      <c r="E1491" s="24"/>
      <c r="F1491" s="24"/>
      <c r="G1491" s="24"/>
      <c r="H1491" s="24"/>
      <c r="I1491" s="24"/>
      <c r="J1491" s="24"/>
      <c r="K1491" s="24"/>
      <c r="L1491" s="24"/>
      <c r="M1491" s="24"/>
      <c r="N1491" s="24"/>
      <c r="O1491" s="24"/>
      <c r="P1491" s="24"/>
      <c r="Q1491" s="24"/>
      <c r="R1491" s="21"/>
      <c r="S1491" s="12"/>
      <c r="T1491" s="12"/>
      <c r="U1491" s="12"/>
      <c r="V1491" s="12"/>
      <c r="W1491" s="12"/>
      <c r="X1491" s="12"/>
      <c r="Y1491" s="12"/>
      <c r="Z1491" s="12"/>
      <c r="AA1491" s="12"/>
      <c r="AB1491" s="12"/>
      <c r="AC1491" s="12"/>
      <c r="AD1491" s="12"/>
    </row>
    <row r="1492" spans="1:30" x14ac:dyDescent="0.35">
      <c r="A1492" s="20"/>
      <c r="B1492" s="22"/>
      <c r="C1492" s="25"/>
      <c r="D1492" s="26"/>
      <c r="E1492" s="24"/>
      <c r="F1492" s="24"/>
      <c r="G1492" s="24"/>
      <c r="H1492" s="24"/>
      <c r="I1492" s="24"/>
      <c r="J1492" s="24"/>
      <c r="K1492" s="24"/>
      <c r="L1492" s="24"/>
      <c r="M1492" s="24"/>
      <c r="N1492" s="24"/>
      <c r="O1492" s="24"/>
      <c r="P1492" s="24"/>
      <c r="Q1492" s="24"/>
      <c r="R1492" s="21"/>
      <c r="S1492" s="12"/>
      <c r="T1492" s="12"/>
      <c r="U1492" s="12"/>
      <c r="V1492" s="12"/>
      <c r="W1492" s="12"/>
      <c r="X1492" s="12"/>
      <c r="Y1492" s="12"/>
      <c r="Z1492" s="12"/>
      <c r="AA1492" s="12"/>
      <c r="AB1492" s="12"/>
      <c r="AC1492" s="12"/>
      <c r="AD1492" s="12"/>
    </row>
    <row r="1493" spans="1:30" x14ac:dyDescent="0.35">
      <c r="A1493" s="20"/>
      <c r="B1493" s="22"/>
      <c r="C1493" s="25"/>
      <c r="D1493" s="26"/>
      <c r="E1493" s="24"/>
      <c r="F1493" s="24"/>
      <c r="G1493" s="24"/>
      <c r="H1493" s="24"/>
      <c r="I1493" s="24"/>
      <c r="J1493" s="24"/>
      <c r="K1493" s="24"/>
      <c r="L1493" s="24"/>
      <c r="M1493" s="24"/>
      <c r="N1493" s="24"/>
      <c r="O1493" s="24"/>
      <c r="P1493" s="24"/>
      <c r="Q1493" s="24"/>
      <c r="R1493" s="21"/>
      <c r="S1493" s="12"/>
      <c r="T1493" s="12"/>
      <c r="U1493" s="12"/>
      <c r="V1493" s="12"/>
      <c r="W1493" s="12"/>
      <c r="X1493" s="12"/>
      <c r="Y1493" s="12"/>
      <c r="Z1493" s="12"/>
      <c r="AA1493" s="12"/>
      <c r="AB1493" s="12"/>
      <c r="AC1493" s="12"/>
      <c r="AD1493" s="12"/>
    </row>
    <row r="1494" spans="1:30" x14ac:dyDescent="0.35">
      <c r="A1494" s="20"/>
      <c r="B1494" s="22"/>
      <c r="C1494" s="25"/>
      <c r="D1494" s="26"/>
      <c r="E1494" s="24"/>
      <c r="F1494" s="24"/>
      <c r="G1494" s="24"/>
      <c r="H1494" s="24"/>
      <c r="I1494" s="24"/>
      <c r="J1494" s="24"/>
      <c r="K1494" s="24"/>
      <c r="L1494" s="24"/>
      <c r="M1494" s="24"/>
      <c r="N1494" s="24"/>
      <c r="O1494" s="24"/>
      <c r="P1494" s="24"/>
      <c r="Q1494" s="24"/>
      <c r="R1494" s="21"/>
      <c r="S1494" s="12"/>
      <c r="T1494" s="12"/>
      <c r="U1494" s="12"/>
      <c r="V1494" s="12"/>
      <c r="W1494" s="12"/>
      <c r="X1494" s="12"/>
      <c r="Y1494" s="12"/>
      <c r="Z1494" s="12"/>
      <c r="AA1494" s="12"/>
      <c r="AB1494" s="12"/>
      <c r="AC1494" s="12"/>
      <c r="AD1494" s="12"/>
    </row>
    <row r="1495" spans="1:30" x14ac:dyDescent="0.35">
      <c r="A1495" s="20"/>
      <c r="B1495" s="22"/>
      <c r="C1495" s="25"/>
      <c r="D1495" s="26"/>
      <c r="E1495" s="24"/>
      <c r="F1495" s="24"/>
      <c r="G1495" s="24"/>
      <c r="H1495" s="24"/>
      <c r="I1495" s="24"/>
      <c r="J1495" s="24"/>
      <c r="K1495" s="24"/>
      <c r="L1495" s="24"/>
      <c r="M1495" s="24"/>
      <c r="N1495" s="24"/>
      <c r="O1495" s="24"/>
      <c r="P1495" s="24"/>
      <c r="Q1495" s="24"/>
      <c r="R1495" s="21"/>
      <c r="S1495" s="12"/>
      <c r="T1495" s="12"/>
      <c r="U1495" s="12"/>
      <c r="V1495" s="12"/>
      <c r="W1495" s="12"/>
      <c r="X1495" s="12"/>
      <c r="Y1495" s="12"/>
      <c r="Z1495" s="12"/>
      <c r="AA1495" s="12"/>
      <c r="AB1495" s="12"/>
      <c r="AC1495" s="12"/>
      <c r="AD1495" s="12"/>
    </row>
    <row r="1496" spans="1:30" x14ac:dyDescent="0.35">
      <c r="A1496" s="20"/>
      <c r="B1496" s="22"/>
      <c r="C1496" s="25"/>
      <c r="D1496" s="26"/>
      <c r="E1496" s="24"/>
      <c r="F1496" s="24"/>
      <c r="G1496" s="24"/>
      <c r="H1496" s="24"/>
      <c r="I1496" s="24"/>
      <c r="J1496" s="24"/>
      <c r="K1496" s="24"/>
      <c r="L1496" s="24"/>
      <c r="M1496" s="24"/>
      <c r="N1496" s="24"/>
      <c r="O1496" s="24"/>
      <c r="P1496" s="24"/>
      <c r="Q1496" s="24"/>
      <c r="R1496" s="21"/>
      <c r="S1496" s="12"/>
      <c r="T1496" s="12"/>
      <c r="U1496" s="12"/>
      <c r="V1496" s="12"/>
      <c r="W1496" s="12"/>
      <c r="X1496" s="12"/>
      <c r="Y1496" s="12"/>
      <c r="Z1496" s="12"/>
      <c r="AA1496" s="12"/>
      <c r="AB1496" s="12"/>
      <c r="AC1496" s="12"/>
      <c r="AD1496" s="12"/>
    </row>
    <row r="1497" spans="1:30" x14ac:dyDescent="0.35">
      <c r="A1497" s="20"/>
      <c r="B1497" s="22"/>
      <c r="C1497" s="25"/>
      <c r="D1497" s="26"/>
      <c r="E1497" s="24"/>
      <c r="F1497" s="24"/>
      <c r="G1497" s="24"/>
      <c r="H1497" s="24"/>
      <c r="I1497" s="24"/>
      <c r="J1497" s="24"/>
      <c r="K1497" s="24"/>
      <c r="L1497" s="24"/>
      <c r="M1497" s="24"/>
      <c r="N1497" s="24"/>
      <c r="O1497" s="24"/>
      <c r="P1497" s="24"/>
      <c r="Q1497" s="24"/>
      <c r="R1497" s="21"/>
      <c r="S1497" s="12"/>
      <c r="T1497" s="12"/>
      <c r="U1497" s="12"/>
      <c r="V1497" s="12"/>
      <c r="W1497" s="12"/>
      <c r="X1497" s="12"/>
      <c r="Y1497" s="12"/>
      <c r="Z1497" s="12"/>
      <c r="AA1497" s="12"/>
      <c r="AB1497" s="12"/>
      <c r="AC1497" s="12"/>
      <c r="AD1497" s="12"/>
    </row>
    <row r="1498" spans="1:30" x14ac:dyDescent="0.35">
      <c r="A1498" s="20"/>
      <c r="B1498" s="22"/>
      <c r="C1498" s="25"/>
      <c r="D1498" s="26"/>
      <c r="E1498" s="24"/>
      <c r="F1498" s="24"/>
      <c r="G1498" s="24"/>
      <c r="H1498" s="24"/>
      <c r="I1498" s="24"/>
      <c r="J1498" s="24"/>
      <c r="K1498" s="24"/>
      <c r="L1498" s="24"/>
      <c r="M1498" s="24"/>
      <c r="N1498" s="24"/>
      <c r="O1498" s="24"/>
      <c r="P1498" s="24"/>
      <c r="Q1498" s="24"/>
      <c r="R1498" s="14"/>
      <c r="S1498" s="12"/>
      <c r="T1498" s="12"/>
      <c r="U1498" s="12"/>
      <c r="V1498" s="12"/>
      <c r="W1498" s="12"/>
      <c r="X1498" s="12"/>
      <c r="Y1498" s="12"/>
      <c r="Z1498" s="12"/>
      <c r="AA1498" s="12"/>
      <c r="AB1498" s="12"/>
      <c r="AC1498" s="12"/>
      <c r="AD1498" s="12"/>
    </row>
    <row r="1499" spans="1:30" x14ac:dyDescent="0.35">
      <c r="A1499" s="20"/>
      <c r="B1499" s="22"/>
      <c r="C1499" s="25"/>
      <c r="D1499" s="26"/>
      <c r="E1499" s="24"/>
      <c r="F1499" s="24"/>
      <c r="G1499" s="24"/>
      <c r="H1499" s="24"/>
      <c r="I1499" s="24"/>
      <c r="J1499" s="24"/>
      <c r="K1499" s="24"/>
      <c r="L1499" s="24"/>
      <c r="M1499" s="24"/>
      <c r="N1499" s="24"/>
      <c r="O1499" s="24"/>
      <c r="P1499" s="24"/>
      <c r="Q1499" s="24"/>
      <c r="R1499" s="14"/>
      <c r="S1499" s="12"/>
      <c r="T1499" s="12"/>
      <c r="U1499" s="12"/>
      <c r="V1499" s="12"/>
      <c r="W1499" s="12"/>
      <c r="X1499" s="12"/>
      <c r="Y1499" s="12"/>
      <c r="Z1499" s="12"/>
      <c r="AA1499" s="12"/>
      <c r="AB1499" s="12"/>
      <c r="AC1499" s="12"/>
      <c r="AD1499" s="12"/>
    </row>
    <row r="1500" spans="1:30" x14ac:dyDescent="0.35">
      <c r="A1500" s="20"/>
      <c r="B1500" s="22"/>
      <c r="C1500" s="25"/>
      <c r="D1500" s="26"/>
      <c r="E1500" s="24"/>
      <c r="F1500" s="24"/>
      <c r="G1500" s="24"/>
      <c r="H1500" s="24"/>
      <c r="I1500" s="24"/>
      <c r="J1500" s="24"/>
      <c r="K1500" s="24"/>
      <c r="L1500" s="24"/>
      <c r="M1500" s="24"/>
      <c r="N1500" s="24"/>
      <c r="O1500" s="24"/>
      <c r="P1500" s="24"/>
      <c r="Q1500" s="24"/>
      <c r="R1500" s="14"/>
      <c r="S1500" s="12"/>
      <c r="T1500" s="12"/>
      <c r="U1500" s="12"/>
      <c r="V1500" s="12"/>
      <c r="W1500" s="12"/>
      <c r="X1500" s="12"/>
      <c r="Y1500" s="12"/>
      <c r="Z1500" s="12"/>
      <c r="AA1500" s="12"/>
      <c r="AB1500" s="12"/>
      <c r="AC1500" s="12"/>
      <c r="AD1500" s="12"/>
    </row>
    <row r="1501" spans="1:30" x14ac:dyDescent="0.35">
      <c r="A1501" s="20"/>
      <c r="B1501" s="22"/>
      <c r="C1501" s="25"/>
      <c r="D1501" s="26"/>
      <c r="E1501" s="24"/>
      <c r="F1501" s="24"/>
      <c r="G1501" s="24"/>
      <c r="H1501" s="24"/>
      <c r="I1501" s="24"/>
      <c r="J1501" s="24"/>
      <c r="K1501" s="24"/>
      <c r="L1501" s="24"/>
      <c r="M1501" s="24"/>
      <c r="N1501" s="24"/>
      <c r="O1501" s="24"/>
      <c r="P1501" s="24"/>
      <c r="Q1501" s="24"/>
      <c r="R1501" s="14"/>
      <c r="S1501" s="12"/>
      <c r="T1501" s="12"/>
      <c r="U1501" s="12"/>
      <c r="V1501" s="12"/>
      <c r="W1501" s="12"/>
      <c r="X1501" s="12"/>
      <c r="Y1501" s="12"/>
      <c r="Z1501" s="12"/>
      <c r="AA1501" s="12"/>
      <c r="AB1501" s="12"/>
      <c r="AC1501" s="12"/>
      <c r="AD1501" s="12"/>
    </row>
    <row r="1502" spans="1:30" x14ac:dyDescent="0.35">
      <c r="A1502" s="20"/>
      <c r="B1502" s="22"/>
      <c r="C1502" s="25"/>
      <c r="D1502" s="26"/>
      <c r="E1502" s="24"/>
      <c r="F1502" s="24"/>
      <c r="G1502" s="24"/>
      <c r="H1502" s="24"/>
      <c r="I1502" s="24"/>
      <c r="J1502" s="24"/>
      <c r="K1502" s="24"/>
      <c r="L1502" s="24"/>
      <c r="M1502" s="24"/>
      <c r="N1502" s="24"/>
      <c r="O1502" s="24"/>
      <c r="P1502" s="24"/>
      <c r="Q1502" s="24"/>
      <c r="R1502" s="14"/>
      <c r="S1502" s="12"/>
      <c r="T1502" s="12"/>
      <c r="U1502" s="12"/>
      <c r="V1502" s="12"/>
      <c r="W1502" s="12"/>
      <c r="X1502" s="12"/>
      <c r="Y1502" s="12"/>
      <c r="Z1502" s="12"/>
      <c r="AA1502" s="12"/>
      <c r="AB1502" s="12"/>
      <c r="AC1502" s="12"/>
      <c r="AD1502" s="12"/>
    </row>
    <row r="1503" spans="1:30" x14ac:dyDescent="0.35">
      <c r="A1503" s="20"/>
      <c r="B1503" s="22"/>
      <c r="C1503" s="25"/>
      <c r="D1503" s="26"/>
      <c r="E1503" s="24"/>
      <c r="F1503" s="24"/>
      <c r="G1503" s="24"/>
      <c r="H1503" s="24"/>
      <c r="I1503" s="24"/>
      <c r="J1503" s="24"/>
      <c r="K1503" s="24"/>
      <c r="L1503" s="24"/>
      <c r="M1503" s="24"/>
      <c r="N1503" s="24"/>
      <c r="O1503" s="24"/>
      <c r="P1503" s="24"/>
      <c r="Q1503" s="24"/>
      <c r="R1503" s="14"/>
      <c r="S1503" s="12"/>
      <c r="T1503" s="12"/>
      <c r="U1503" s="12"/>
      <c r="V1503" s="12"/>
      <c r="W1503" s="12"/>
      <c r="X1503" s="12"/>
      <c r="Y1503" s="12"/>
      <c r="Z1503" s="12"/>
      <c r="AA1503" s="12"/>
      <c r="AB1503" s="12"/>
      <c r="AC1503" s="12"/>
      <c r="AD1503" s="12"/>
    </row>
    <row r="1504" spans="1:30" x14ac:dyDescent="0.35">
      <c r="A1504" s="20"/>
      <c r="B1504" s="22"/>
      <c r="C1504" s="25"/>
      <c r="D1504" s="26"/>
      <c r="E1504" s="24"/>
      <c r="F1504" s="24"/>
      <c r="G1504" s="24"/>
      <c r="H1504" s="24"/>
      <c r="I1504" s="24"/>
      <c r="J1504" s="24"/>
      <c r="K1504" s="24"/>
      <c r="L1504" s="24"/>
      <c r="M1504" s="24"/>
      <c r="N1504" s="24"/>
      <c r="O1504" s="24"/>
      <c r="P1504" s="24"/>
      <c r="Q1504" s="24"/>
      <c r="R1504" s="14"/>
      <c r="S1504" s="12"/>
      <c r="T1504" s="12"/>
      <c r="U1504" s="12"/>
      <c r="V1504" s="12"/>
      <c r="W1504" s="12"/>
      <c r="X1504" s="12"/>
      <c r="Y1504" s="12"/>
      <c r="Z1504" s="12"/>
      <c r="AA1504" s="12"/>
      <c r="AB1504" s="12"/>
      <c r="AC1504" s="12"/>
      <c r="AD1504" s="12"/>
    </row>
    <row r="1505" spans="1:30" x14ac:dyDescent="0.35">
      <c r="A1505" s="20"/>
      <c r="B1505" s="22"/>
      <c r="C1505" s="25"/>
      <c r="D1505" s="26"/>
      <c r="E1505" s="24"/>
      <c r="F1505" s="24"/>
      <c r="G1505" s="24"/>
      <c r="H1505" s="24"/>
      <c r="I1505" s="24"/>
      <c r="J1505" s="24"/>
      <c r="K1505" s="24"/>
      <c r="L1505" s="24"/>
      <c r="M1505" s="24"/>
      <c r="N1505" s="24"/>
      <c r="O1505" s="24"/>
      <c r="P1505" s="24"/>
      <c r="Q1505" s="24"/>
      <c r="R1505" s="21"/>
      <c r="S1505" s="12"/>
      <c r="T1505" s="12"/>
      <c r="U1505" s="12"/>
      <c r="V1505" s="12"/>
      <c r="W1505" s="12"/>
      <c r="X1505" s="12"/>
      <c r="Y1505" s="12"/>
      <c r="Z1505" s="12"/>
      <c r="AA1505" s="12"/>
      <c r="AB1505" s="12"/>
      <c r="AC1505" s="12"/>
      <c r="AD1505" s="12"/>
    </row>
    <row r="1506" spans="1:30" x14ac:dyDescent="0.35">
      <c r="A1506" s="20"/>
      <c r="B1506" s="22"/>
      <c r="C1506" s="25"/>
      <c r="D1506" s="26"/>
      <c r="E1506" s="24"/>
      <c r="F1506" s="24"/>
      <c r="G1506" s="24"/>
      <c r="H1506" s="24"/>
      <c r="I1506" s="24"/>
      <c r="J1506" s="24"/>
      <c r="K1506" s="24"/>
      <c r="L1506" s="24"/>
      <c r="M1506" s="24"/>
      <c r="N1506" s="24"/>
      <c r="O1506" s="24"/>
      <c r="P1506" s="24"/>
      <c r="Q1506" s="24"/>
      <c r="R1506" s="21"/>
      <c r="S1506" s="12"/>
      <c r="T1506" s="12"/>
      <c r="U1506" s="12"/>
      <c r="V1506" s="12"/>
      <c r="W1506" s="12"/>
      <c r="X1506" s="12"/>
      <c r="Y1506" s="12"/>
      <c r="Z1506" s="12"/>
      <c r="AA1506" s="12"/>
      <c r="AB1506" s="12"/>
      <c r="AC1506" s="12"/>
      <c r="AD1506" s="12"/>
    </row>
    <row r="1507" spans="1:30" x14ac:dyDescent="0.35">
      <c r="A1507" s="20"/>
      <c r="B1507" s="22"/>
      <c r="C1507" s="25"/>
      <c r="D1507" s="26"/>
      <c r="E1507" s="24"/>
      <c r="F1507" s="24"/>
      <c r="G1507" s="24"/>
      <c r="H1507" s="24"/>
      <c r="I1507" s="24"/>
      <c r="J1507" s="24"/>
      <c r="K1507" s="24"/>
      <c r="L1507" s="24"/>
      <c r="M1507" s="24"/>
      <c r="N1507" s="24"/>
      <c r="O1507" s="24"/>
      <c r="P1507" s="24"/>
      <c r="Q1507" s="24"/>
      <c r="R1507" s="21"/>
      <c r="S1507" s="12"/>
      <c r="T1507" s="12"/>
      <c r="U1507" s="12"/>
      <c r="V1507" s="12"/>
      <c r="W1507" s="12"/>
      <c r="X1507" s="12"/>
      <c r="Y1507" s="12"/>
      <c r="Z1507" s="12"/>
      <c r="AA1507" s="12"/>
      <c r="AB1507" s="12"/>
      <c r="AC1507" s="12"/>
      <c r="AD1507" s="12"/>
    </row>
    <row r="1508" spans="1:30" x14ac:dyDescent="0.35">
      <c r="A1508" s="20"/>
      <c r="B1508" s="22"/>
      <c r="C1508" s="25"/>
      <c r="D1508" s="26"/>
      <c r="E1508" s="24"/>
      <c r="F1508" s="24"/>
      <c r="G1508" s="24"/>
      <c r="H1508" s="24"/>
      <c r="I1508" s="24"/>
      <c r="J1508" s="24"/>
      <c r="K1508" s="24"/>
      <c r="L1508" s="24"/>
      <c r="M1508" s="24"/>
      <c r="N1508" s="24"/>
      <c r="O1508" s="24"/>
      <c r="P1508" s="24"/>
      <c r="Q1508" s="24"/>
      <c r="R1508" s="21"/>
      <c r="S1508" s="12"/>
      <c r="T1508" s="12"/>
      <c r="U1508" s="12"/>
      <c r="V1508" s="12"/>
      <c r="W1508" s="12"/>
      <c r="X1508" s="12"/>
      <c r="Y1508" s="12"/>
      <c r="Z1508" s="12"/>
      <c r="AA1508" s="12"/>
      <c r="AB1508" s="12"/>
      <c r="AC1508" s="12"/>
      <c r="AD1508" s="12"/>
    </row>
    <row r="1509" spans="1:30" x14ac:dyDescent="0.35">
      <c r="A1509" s="20"/>
      <c r="B1509" s="22"/>
      <c r="C1509" s="25"/>
      <c r="D1509" s="26"/>
      <c r="E1509" s="24"/>
      <c r="F1509" s="24"/>
      <c r="G1509" s="24"/>
      <c r="H1509" s="24"/>
      <c r="I1509" s="24"/>
      <c r="J1509" s="24"/>
      <c r="K1509" s="24"/>
      <c r="L1509" s="24"/>
      <c r="M1509" s="24"/>
      <c r="N1509" s="24"/>
      <c r="O1509" s="24"/>
      <c r="P1509" s="24"/>
      <c r="Q1509" s="24"/>
      <c r="R1509" s="21"/>
      <c r="S1509" s="12"/>
      <c r="T1509" s="12"/>
      <c r="U1509" s="12"/>
      <c r="V1509" s="12"/>
      <c r="W1509" s="12"/>
      <c r="X1509" s="12"/>
      <c r="Y1509" s="12"/>
      <c r="Z1509" s="12"/>
      <c r="AA1509" s="12"/>
      <c r="AB1509" s="12"/>
      <c r="AC1509" s="12"/>
      <c r="AD1509" s="12"/>
    </row>
    <row r="1510" spans="1:30" x14ac:dyDescent="0.35">
      <c r="A1510" s="20"/>
      <c r="B1510" s="22"/>
      <c r="C1510" s="25"/>
      <c r="D1510" s="26"/>
      <c r="E1510" s="24"/>
      <c r="F1510" s="24"/>
      <c r="G1510" s="24"/>
      <c r="H1510" s="24"/>
      <c r="I1510" s="24"/>
      <c r="J1510" s="24"/>
      <c r="K1510" s="24"/>
      <c r="L1510" s="24"/>
      <c r="M1510" s="24"/>
      <c r="N1510" s="24"/>
      <c r="O1510" s="24"/>
      <c r="P1510" s="24"/>
      <c r="Q1510" s="24"/>
      <c r="R1510" s="21"/>
      <c r="S1510" s="12"/>
      <c r="T1510" s="12"/>
      <c r="U1510" s="12"/>
      <c r="V1510" s="12"/>
      <c r="W1510" s="12"/>
      <c r="X1510" s="12"/>
      <c r="Y1510" s="12"/>
      <c r="Z1510" s="12"/>
      <c r="AA1510" s="12"/>
      <c r="AB1510" s="12"/>
      <c r="AC1510" s="12"/>
      <c r="AD1510" s="12"/>
    </row>
    <row r="1511" spans="1:30" x14ac:dyDescent="0.35">
      <c r="A1511" s="20"/>
      <c r="B1511" s="22"/>
      <c r="C1511" s="25"/>
      <c r="D1511" s="26"/>
      <c r="E1511" s="24"/>
      <c r="F1511" s="24"/>
      <c r="G1511" s="24"/>
      <c r="H1511" s="24"/>
      <c r="I1511" s="24"/>
      <c r="J1511" s="24"/>
      <c r="K1511" s="24"/>
      <c r="L1511" s="24"/>
      <c r="M1511" s="24"/>
      <c r="N1511" s="24"/>
      <c r="O1511" s="24"/>
      <c r="P1511" s="24"/>
      <c r="Q1511" s="24"/>
      <c r="R1511" s="21"/>
      <c r="S1511" s="12"/>
      <c r="T1511" s="12"/>
      <c r="U1511" s="12"/>
      <c r="V1511" s="12"/>
      <c r="W1511" s="12"/>
      <c r="X1511" s="12"/>
      <c r="Y1511" s="12"/>
      <c r="Z1511" s="12"/>
      <c r="AA1511" s="12"/>
      <c r="AB1511" s="12"/>
      <c r="AC1511" s="12"/>
      <c r="AD1511" s="12"/>
    </row>
    <row r="1512" spans="1:30" x14ac:dyDescent="0.35">
      <c r="A1512" s="20"/>
      <c r="B1512" s="22"/>
      <c r="C1512" s="25"/>
      <c r="D1512" s="26"/>
      <c r="E1512" s="24"/>
      <c r="F1512" s="24"/>
      <c r="G1512" s="24"/>
      <c r="H1512" s="24"/>
      <c r="I1512" s="24"/>
      <c r="J1512" s="24"/>
      <c r="K1512" s="24"/>
      <c r="L1512" s="24"/>
      <c r="M1512" s="24"/>
      <c r="N1512" s="24"/>
      <c r="O1512" s="24"/>
      <c r="P1512" s="24"/>
      <c r="Q1512" s="24"/>
      <c r="R1512" s="21"/>
      <c r="S1512" s="12"/>
      <c r="T1512" s="12"/>
      <c r="U1512" s="12"/>
      <c r="V1512" s="12"/>
      <c r="W1512" s="12"/>
      <c r="X1512" s="12"/>
      <c r="Y1512" s="12"/>
      <c r="Z1512" s="12"/>
      <c r="AA1512" s="12"/>
      <c r="AB1512" s="12"/>
      <c r="AC1512" s="12"/>
      <c r="AD1512" s="12"/>
    </row>
    <row r="1513" spans="1:30" x14ac:dyDescent="0.35">
      <c r="A1513" s="20"/>
      <c r="B1513" s="22"/>
      <c r="C1513" s="25"/>
      <c r="D1513" s="26"/>
      <c r="E1513" s="24"/>
      <c r="F1513" s="24"/>
      <c r="G1513" s="24"/>
      <c r="H1513" s="24"/>
      <c r="I1513" s="24"/>
      <c r="J1513" s="24"/>
      <c r="K1513" s="24"/>
      <c r="L1513" s="24"/>
      <c r="M1513" s="24"/>
      <c r="N1513" s="24"/>
      <c r="O1513" s="24"/>
      <c r="P1513" s="24"/>
      <c r="Q1513" s="24"/>
      <c r="R1513" s="21"/>
      <c r="S1513" s="12"/>
      <c r="T1513" s="12"/>
      <c r="U1513" s="12"/>
      <c r="V1513" s="12"/>
      <c r="W1513" s="12"/>
      <c r="X1513" s="12"/>
      <c r="Y1513" s="12"/>
      <c r="Z1513" s="12"/>
      <c r="AA1513" s="12"/>
      <c r="AB1513" s="12"/>
      <c r="AC1513" s="12"/>
      <c r="AD1513" s="12"/>
    </row>
    <row r="1514" spans="1:30" x14ac:dyDescent="0.35">
      <c r="A1514" s="20"/>
      <c r="B1514" s="22"/>
      <c r="C1514" s="25"/>
      <c r="D1514" s="26"/>
      <c r="E1514" s="24"/>
      <c r="F1514" s="24"/>
      <c r="G1514" s="24"/>
      <c r="H1514" s="24"/>
      <c r="I1514" s="24"/>
      <c r="J1514" s="24"/>
      <c r="K1514" s="24"/>
      <c r="L1514" s="24"/>
      <c r="M1514" s="24"/>
      <c r="N1514" s="24"/>
      <c r="O1514" s="24"/>
      <c r="P1514" s="24"/>
      <c r="Q1514" s="24"/>
      <c r="R1514" s="14"/>
      <c r="S1514" s="12"/>
      <c r="T1514" s="12"/>
      <c r="U1514" s="12"/>
      <c r="V1514" s="12"/>
      <c r="W1514" s="12"/>
      <c r="X1514" s="12"/>
      <c r="Y1514" s="12"/>
      <c r="Z1514" s="12"/>
      <c r="AA1514" s="12"/>
      <c r="AB1514" s="12"/>
      <c r="AC1514" s="12"/>
      <c r="AD1514" s="12"/>
    </row>
    <row r="1515" spans="1:30" x14ac:dyDescent="0.35">
      <c r="A1515" s="20"/>
      <c r="B1515" s="22"/>
      <c r="C1515" s="25"/>
      <c r="D1515" s="26"/>
      <c r="E1515" s="24"/>
      <c r="F1515" s="24"/>
      <c r="G1515" s="24"/>
      <c r="H1515" s="24"/>
      <c r="I1515" s="24"/>
      <c r="J1515" s="24"/>
      <c r="K1515" s="24"/>
      <c r="L1515" s="24"/>
      <c r="M1515" s="24"/>
      <c r="N1515" s="24"/>
      <c r="O1515" s="24"/>
      <c r="P1515" s="24"/>
      <c r="Q1515" s="24"/>
      <c r="R1515" s="14"/>
      <c r="S1515" s="12"/>
      <c r="T1515" s="12"/>
      <c r="U1515" s="12"/>
      <c r="V1515" s="12"/>
      <c r="W1515" s="12"/>
      <c r="X1515" s="12"/>
      <c r="Y1515" s="12"/>
      <c r="Z1515" s="12"/>
      <c r="AA1515" s="12"/>
      <c r="AB1515" s="12"/>
      <c r="AC1515" s="12"/>
      <c r="AD1515" s="12"/>
    </row>
    <row r="1516" spans="1:30" x14ac:dyDescent="0.35">
      <c r="A1516" s="20"/>
      <c r="B1516" s="22"/>
      <c r="C1516" s="25"/>
      <c r="D1516" s="26"/>
      <c r="E1516" s="24"/>
      <c r="F1516" s="24"/>
      <c r="G1516" s="24"/>
      <c r="H1516" s="24"/>
      <c r="I1516" s="24"/>
      <c r="J1516" s="24"/>
      <c r="K1516" s="24"/>
      <c r="L1516" s="24"/>
      <c r="M1516" s="24"/>
      <c r="N1516" s="24"/>
      <c r="O1516" s="24"/>
      <c r="P1516" s="24"/>
      <c r="Q1516" s="24"/>
      <c r="R1516" s="14"/>
      <c r="S1516" s="12"/>
      <c r="T1516" s="12"/>
      <c r="U1516" s="12"/>
      <c r="V1516" s="12"/>
      <c r="W1516" s="12"/>
      <c r="X1516" s="12"/>
      <c r="Y1516" s="12"/>
      <c r="Z1516" s="12"/>
      <c r="AA1516" s="12"/>
      <c r="AB1516" s="12"/>
      <c r="AC1516" s="12"/>
      <c r="AD1516" s="12"/>
    </row>
    <row r="1517" spans="1:30" x14ac:dyDescent="0.35">
      <c r="A1517" s="20"/>
      <c r="B1517" s="22"/>
      <c r="C1517" s="25"/>
      <c r="D1517" s="26"/>
      <c r="E1517" s="24"/>
      <c r="F1517" s="24"/>
      <c r="G1517" s="24"/>
      <c r="H1517" s="24"/>
      <c r="I1517" s="24"/>
      <c r="J1517" s="24"/>
      <c r="K1517" s="24"/>
      <c r="L1517" s="24"/>
      <c r="M1517" s="24"/>
      <c r="N1517" s="24"/>
      <c r="O1517" s="24"/>
      <c r="P1517" s="24"/>
      <c r="Q1517" s="24"/>
      <c r="R1517" s="14"/>
      <c r="S1517" s="12"/>
      <c r="T1517" s="12"/>
      <c r="U1517" s="12"/>
      <c r="V1517" s="12"/>
      <c r="W1517" s="12"/>
      <c r="X1517" s="12"/>
      <c r="Y1517" s="12"/>
      <c r="Z1517" s="12"/>
      <c r="AA1517" s="12"/>
      <c r="AB1517" s="12"/>
      <c r="AC1517" s="12"/>
      <c r="AD1517" s="12"/>
    </row>
    <row r="1518" spans="1:30" x14ac:dyDescent="0.35">
      <c r="A1518" s="20"/>
      <c r="B1518" s="22"/>
      <c r="C1518" s="25"/>
      <c r="D1518" s="26"/>
      <c r="E1518" s="24"/>
      <c r="F1518" s="24"/>
      <c r="G1518" s="24"/>
      <c r="H1518" s="24"/>
      <c r="I1518" s="24"/>
      <c r="J1518" s="24"/>
      <c r="K1518" s="24"/>
      <c r="L1518" s="24"/>
      <c r="M1518" s="24"/>
      <c r="N1518" s="24"/>
      <c r="O1518" s="24"/>
      <c r="P1518" s="24"/>
      <c r="Q1518" s="24"/>
      <c r="R1518" s="14"/>
      <c r="S1518" s="12"/>
      <c r="T1518" s="12"/>
      <c r="U1518" s="12"/>
      <c r="V1518" s="12"/>
      <c r="W1518" s="12"/>
      <c r="X1518" s="12"/>
      <c r="Y1518" s="12"/>
      <c r="Z1518" s="12"/>
      <c r="AA1518" s="12"/>
      <c r="AB1518" s="12"/>
      <c r="AC1518" s="12"/>
      <c r="AD1518" s="12"/>
    </row>
    <row r="1519" spans="1:30" x14ac:dyDescent="0.35">
      <c r="A1519" s="20"/>
      <c r="B1519" s="22"/>
      <c r="C1519" s="25"/>
      <c r="D1519" s="26"/>
      <c r="E1519" s="24"/>
      <c r="F1519" s="24"/>
      <c r="G1519" s="24"/>
      <c r="H1519" s="24"/>
      <c r="I1519" s="24"/>
      <c r="J1519" s="24"/>
      <c r="K1519" s="24"/>
      <c r="L1519" s="24"/>
      <c r="M1519" s="24"/>
      <c r="N1519" s="24"/>
      <c r="O1519" s="24"/>
      <c r="P1519" s="24"/>
      <c r="Q1519" s="24"/>
      <c r="R1519" s="14"/>
      <c r="S1519" s="12"/>
      <c r="T1519" s="12"/>
      <c r="U1519" s="12"/>
      <c r="V1519" s="12"/>
      <c r="W1519" s="12"/>
      <c r="X1519" s="12"/>
      <c r="Y1519" s="12"/>
      <c r="Z1519" s="12"/>
      <c r="AA1519" s="12"/>
      <c r="AB1519" s="12"/>
      <c r="AC1519" s="12"/>
      <c r="AD1519" s="12"/>
    </row>
    <row r="1520" spans="1:30" x14ac:dyDescent="0.35">
      <c r="A1520" s="20"/>
      <c r="B1520" s="22"/>
      <c r="C1520" s="25"/>
      <c r="D1520" s="26"/>
      <c r="E1520" s="24"/>
      <c r="F1520" s="24"/>
      <c r="G1520" s="24"/>
      <c r="H1520" s="24"/>
      <c r="I1520" s="24"/>
      <c r="J1520" s="24"/>
      <c r="K1520" s="24"/>
      <c r="L1520" s="24"/>
      <c r="M1520" s="24"/>
      <c r="N1520" s="24"/>
      <c r="O1520" s="24"/>
      <c r="P1520" s="24"/>
      <c r="Q1520" s="24"/>
      <c r="R1520" s="14"/>
      <c r="S1520" s="12"/>
      <c r="T1520" s="12"/>
      <c r="U1520" s="12"/>
      <c r="V1520" s="12"/>
      <c r="W1520" s="12"/>
      <c r="X1520" s="12"/>
      <c r="Y1520" s="12"/>
      <c r="Z1520" s="12"/>
      <c r="AA1520" s="12"/>
      <c r="AB1520" s="12"/>
      <c r="AC1520" s="12"/>
      <c r="AD1520" s="12"/>
    </row>
    <row r="1521" spans="1:30" x14ac:dyDescent="0.35">
      <c r="A1521" s="20"/>
      <c r="B1521" s="22"/>
      <c r="C1521" s="25"/>
      <c r="D1521" s="26"/>
      <c r="E1521" s="24"/>
      <c r="F1521" s="24"/>
      <c r="G1521" s="24"/>
      <c r="H1521" s="24"/>
      <c r="I1521" s="24"/>
      <c r="J1521" s="24"/>
      <c r="K1521" s="24"/>
      <c r="L1521" s="24"/>
      <c r="M1521" s="24"/>
      <c r="N1521" s="24"/>
      <c r="O1521" s="24"/>
      <c r="P1521" s="24"/>
      <c r="Q1521" s="24"/>
      <c r="R1521" s="14"/>
      <c r="S1521" s="12"/>
      <c r="T1521" s="12"/>
      <c r="U1521" s="12"/>
      <c r="V1521" s="12"/>
      <c r="W1521" s="12"/>
      <c r="X1521" s="12"/>
      <c r="Y1521" s="12"/>
      <c r="Z1521" s="12"/>
      <c r="AA1521" s="12"/>
      <c r="AB1521" s="12"/>
      <c r="AC1521" s="12"/>
      <c r="AD1521" s="12"/>
    </row>
    <row r="1522" spans="1:30" x14ac:dyDescent="0.35">
      <c r="A1522" s="20"/>
      <c r="B1522" s="22"/>
      <c r="C1522" s="25"/>
      <c r="D1522" s="26"/>
      <c r="E1522" s="24"/>
      <c r="F1522" s="24"/>
      <c r="G1522" s="24"/>
      <c r="H1522" s="24"/>
      <c r="I1522" s="24"/>
      <c r="J1522" s="24"/>
      <c r="K1522" s="24"/>
      <c r="L1522" s="24"/>
      <c r="M1522" s="24"/>
      <c r="N1522" s="24"/>
      <c r="O1522" s="24"/>
      <c r="P1522" s="24"/>
      <c r="Q1522" s="24"/>
      <c r="R1522" s="14"/>
      <c r="S1522" s="12"/>
      <c r="T1522" s="12"/>
      <c r="U1522" s="12"/>
      <c r="V1522" s="12"/>
      <c r="W1522" s="12"/>
      <c r="X1522" s="12"/>
      <c r="Y1522" s="12"/>
      <c r="Z1522" s="12"/>
      <c r="AA1522" s="12"/>
      <c r="AB1522" s="12"/>
      <c r="AC1522" s="12"/>
      <c r="AD1522" s="12"/>
    </row>
    <row r="1523" spans="1:30" x14ac:dyDescent="0.35">
      <c r="A1523" s="20"/>
      <c r="B1523" s="22"/>
      <c r="C1523" s="25"/>
      <c r="D1523" s="26"/>
      <c r="E1523" s="24"/>
      <c r="F1523" s="24"/>
      <c r="G1523" s="24"/>
      <c r="H1523" s="24"/>
      <c r="I1523" s="24"/>
      <c r="J1523" s="24"/>
      <c r="K1523" s="24"/>
      <c r="L1523" s="24"/>
      <c r="M1523" s="24"/>
      <c r="N1523" s="24"/>
      <c r="O1523" s="24"/>
      <c r="P1523" s="24"/>
      <c r="Q1523" s="24"/>
      <c r="R1523" s="14"/>
      <c r="S1523" s="12"/>
      <c r="T1523" s="12"/>
      <c r="U1523" s="12"/>
      <c r="V1523" s="12"/>
      <c r="W1523" s="12"/>
      <c r="X1523" s="12"/>
      <c r="Y1523" s="12"/>
      <c r="Z1523" s="12"/>
      <c r="AA1523" s="12"/>
      <c r="AB1523" s="12"/>
      <c r="AC1523" s="12"/>
      <c r="AD1523" s="12"/>
    </row>
    <row r="1524" spans="1:30" x14ac:dyDescent="0.35">
      <c r="A1524" s="20"/>
      <c r="B1524" s="22"/>
      <c r="C1524" s="25"/>
      <c r="D1524" s="26"/>
      <c r="E1524" s="24"/>
      <c r="F1524" s="24"/>
      <c r="G1524" s="24"/>
      <c r="H1524" s="24"/>
      <c r="I1524" s="24"/>
      <c r="J1524" s="24"/>
      <c r="K1524" s="24"/>
      <c r="L1524" s="24"/>
      <c r="M1524" s="24"/>
      <c r="N1524" s="24"/>
      <c r="O1524" s="24"/>
      <c r="P1524" s="24"/>
      <c r="Q1524" s="24"/>
      <c r="R1524" s="14"/>
      <c r="S1524" s="12"/>
      <c r="T1524" s="12"/>
      <c r="U1524" s="12"/>
      <c r="V1524" s="12"/>
      <c r="W1524" s="12"/>
      <c r="X1524" s="12"/>
      <c r="Y1524" s="12"/>
      <c r="Z1524" s="12"/>
      <c r="AA1524" s="12"/>
      <c r="AB1524" s="12"/>
      <c r="AC1524" s="12"/>
      <c r="AD1524" s="12"/>
    </row>
    <row r="1525" spans="1:30" x14ac:dyDescent="0.35">
      <c r="A1525" s="20"/>
      <c r="B1525" s="22"/>
      <c r="C1525" s="25"/>
      <c r="D1525" s="26"/>
      <c r="E1525" s="24"/>
      <c r="F1525" s="24"/>
      <c r="G1525" s="24"/>
      <c r="H1525" s="24"/>
      <c r="I1525" s="24"/>
      <c r="J1525" s="24"/>
      <c r="K1525" s="24"/>
      <c r="L1525" s="24"/>
      <c r="M1525" s="24"/>
      <c r="N1525" s="24"/>
      <c r="O1525" s="24"/>
      <c r="P1525" s="24"/>
      <c r="Q1525" s="24"/>
      <c r="R1525" s="14"/>
      <c r="S1525" s="12"/>
      <c r="T1525" s="12"/>
      <c r="U1525" s="12"/>
      <c r="V1525" s="12"/>
      <c r="W1525" s="12"/>
      <c r="X1525" s="12"/>
      <c r="Y1525" s="12"/>
      <c r="Z1525" s="12"/>
      <c r="AA1525" s="12"/>
      <c r="AB1525" s="12"/>
      <c r="AC1525" s="12"/>
      <c r="AD1525" s="12"/>
    </row>
    <row r="1526" spans="1:30" x14ac:dyDescent="0.35">
      <c r="A1526" s="20"/>
      <c r="B1526" s="22"/>
      <c r="C1526" s="25"/>
      <c r="D1526" s="26"/>
      <c r="E1526" s="24"/>
      <c r="F1526" s="24"/>
      <c r="G1526" s="24"/>
      <c r="H1526" s="24"/>
      <c r="I1526" s="24"/>
      <c r="J1526" s="24"/>
      <c r="K1526" s="24"/>
      <c r="L1526" s="24"/>
      <c r="M1526" s="24"/>
      <c r="N1526" s="24"/>
      <c r="O1526" s="24"/>
      <c r="P1526" s="24"/>
      <c r="Q1526" s="24"/>
      <c r="R1526" s="14"/>
      <c r="S1526" s="12"/>
      <c r="T1526" s="12"/>
      <c r="U1526" s="12"/>
      <c r="V1526" s="12"/>
      <c r="W1526" s="12"/>
      <c r="X1526" s="12"/>
      <c r="Y1526" s="12"/>
      <c r="Z1526" s="12"/>
      <c r="AA1526" s="12"/>
      <c r="AB1526" s="12"/>
      <c r="AC1526" s="12"/>
      <c r="AD1526" s="12"/>
    </row>
    <row r="1527" spans="1:30" x14ac:dyDescent="0.35">
      <c r="A1527" s="20"/>
      <c r="B1527" s="22"/>
      <c r="C1527" s="25"/>
      <c r="D1527" s="26"/>
      <c r="E1527" s="24"/>
      <c r="F1527" s="24"/>
      <c r="G1527" s="24"/>
      <c r="H1527" s="24"/>
      <c r="I1527" s="24"/>
      <c r="J1527" s="24"/>
      <c r="K1527" s="24"/>
      <c r="L1527" s="24"/>
      <c r="M1527" s="24"/>
      <c r="N1527" s="24"/>
      <c r="O1527" s="24"/>
      <c r="P1527" s="24"/>
      <c r="Q1527" s="24"/>
      <c r="R1527" s="14"/>
      <c r="S1527" s="12"/>
      <c r="T1527" s="12"/>
      <c r="U1527" s="12"/>
      <c r="V1527" s="12"/>
      <c r="W1527" s="12"/>
      <c r="X1527" s="12"/>
      <c r="Y1527" s="12"/>
      <c r="Z1527" s="12"/>
      <c r="AA1527" s="12"/>
      <c r="AB1527" s="12"/>
      <c r="AC1527" s="12"/>
      <c r="AD1527" s="12"/>
    </row>
    <row r="1528" spans="1:30" x14ac:dyDescent="0.35">
      <c r="A1528" s="20"/>
      <c r="B1528" s="22"/>
      <c r="C1528" s="25"/>
      <c r="D1528" s="26"/>
      <c r="E1528" s="24"/>
      <c r="F1528" s="24"/>
      <c r="G1528" s="24"/>
      <c r="H1528" s="24"/>
      <c r="I1528" s="24"/>
      <c r="J1528" s="24"/>
      <c r="K1528" s="24"/>
      <c r="L1528" s="24"/>
      <c r="M1528" s="24"/>
      <c r="N1528" s="24"/>
      <c r="O1528" s="24"/>
      <c r="P1528" s="24"/>
      <c r="Q1528" s="24"/>
      <c r="R1528" s="14"/>
      <c r="S1528" s="12"/>
      <c r="T1528" s="12"/>
      <c r="U1528" s="12"/>
      <c r="V1528" s="12"/>
      <c r="W1528" s="12"/>
      <c r="X1528" s="12"/>
      <c r="Y1528" s="12"/>
      <c r="Z1528" s="12"/>
      <c r="AA1528" s="12"/>
      <c r="AB1528" s="12"/>
      <c r="AC1528" s="12"/>
      <c r="AD1528" s="12"/>
    </row>
    <row r="1529" spans="1:30" x14ac:dyDescent="0.35">
      <c r="A1529" s="20"/>
      <c r="B1529" s="22"/>
      <c r="C1529" s="25"/>
      <c r="D1529" s="26"/>
      <c r="E1529" s="24"/>
      <c r="F1529" s="24"/>
      <c r="G1529" s="24"/>
      <c r="H1529" s="24"/>
      <c r="I1529" s="24"/>
      <c r="J1529" s="24"/>
      <c r="K1529" s="24"/>
      <c r="L1529" s="24"/>
      <c r="M1529" s="24"/>
      <c r="N1529" s="24"/>
      <c r="O1529" s="24"/>
      <c r="P1529" s="24"/>
      <c r="Q1529" s="24"/>
      <c r="R1529" s="21"/>
      <c r="S1529" s="12"/>
      <c r="T1529" s="12"/>
      <c r="U1529" s="12"/>
      <c r="V1529" s="12"/>
      <c r="W1529" s="12"/>
      <c r="X1529" s="12"/>
      <c r="Y1529" s="12"/>
      <c r="Z1529" s="12"/>
      <c r="AA1529" s="12"/>
      <c r="AB1529" s="12"/>
      <c r="AC1529" s="12"/>
      <c r="AD1529" s="12"/>
    </row>
    <row r="1530" spans="1:30" x14ac:dyDescent="0.35">
      <c r="A1530" s="20"/>
      <c r="B1530" s="22"/>
      <c r="C1530" s="25"/>
      <c r="D1530" s="26"/>
      <c r="E1530" s="24"/>
      <c r="F1530" s="24"/>
      <c r="G1530" s="24"/>
      <c r="H1530" s="24"/>
      <c r="I1530" s="24"/>
      <c r="J1530" s="24"/>
      <c r="K1530" s="24"/>
      <c r="L1530" s="24"/>
      <c r="M1530" s="24"/>
      <c r="N1530" s="24"/>
      <c r="O1530" s="24"/>
      <c r="P1530" s="24"/>
      <c r="Q1530" s="24"/>
      <c r="R1530" s="21"/>
      <c r="S1530" s="12"/>
      <c r="T1530" s="12"/>
      <c r="U1530" s="12"/>
      <c r="V1530" s="12"/>
      <c r="W1530" s="12"/>
      <c r="X1530" s="12"/>
      <c r="Y1530" s="12"/>
      <c r="Z1530" s="12"/>
      <c r="AA1530" s="12"/>
      <c r="AB1530" s="12"/>
      <c r="AC1530" s="12"/>
      <c r="AD1530" s="12"/>
    </row>
    <row r="1531" spans="1:30" x14ac:dyDescent="0.35">
      <c r="A1531" s="20"/>
      <c r="B1531" s="22"/>
      <c r="C1531" s="25"/>
      <c r="D1531" s="26"/>
      <c r="E1531" s="24"/>
      <c r="F1531" s="24"/>
      <c r="G1531" s="24"/>
      <c r="H1531" s="24"/>
      <c r="I1531" s="24"/>
      <c r="J1531" s="24"/>
      <c r="K1531" s="24"/>
      <c r="L1531" s="24"/>
      <c r="M1531" s="24"/>
      <c r="N1531" s="24"/>
      <c r="O1531" s="24"/>
      <c r="P1531" s="24"/>
      <c r="Q1531" s="24"/>
      <c r="R1531" s="21"/>
      <c r="S1531" s="12"/>
      <c r="T1531" s="12"/>
      <c r="U1531" s="12"/>
      <c r="V1531" s="12"/>
      <c r="W1531" s="12"/>
      <c r="X1531" s="12"/>
      <c r="Y1531" s="12"/>
      <c r="Z1531" s="12"/>
      <c r="AA1531" s="12"/>
      <c r="AB1531" s="12"/>
      <c r="AC1531" s="12"/>
      <c r="AD1531" s="12"/>
    </row>
    <row r="1532" spans="1:30" x14ac:dyDescent="0.35">
      <c r="A1532" s="20"/>
      <c r="B1532" s="22"/>
      <c r="C1532" s="25"/>
      <c r="D1532" s="26"/>
      <c r="E1532" s="24"/>
      <c r="F1532" s="24"/>
      <c r="G1532" s="24"/>
      <c r="H1532" s="24"/>
      <c r="I1532" s="24"/>
      <c r="J1532" s="24"/>
      <c r="K1532" s="24"/>
      <c r="L1532" s="24"/>
      <c r="M1532" s="24"/>
      <c r="N1532" s="24"/>
      <c r="O1532" s="24"/>
      <c r="P1532" s="24"/>
      <c r="Q1532" s="24"/>
      <c r="R1532" s="21"/>
      <c r="S1532" s="12"/>
      <c r="T1532" s="12"/>
      <c r="U1532" s="12"/>
      <c r="V1532" s="12"/>
      <c r="W1532" s="12"/>
      <c r="X1532" s="12"/>
      <c r="Y1532" s="12"/>
      <c r="Z1532" s="12"/>
      <c r="AA1532" s="12"/>
      <c r="AB1532" s="12"/>
      <c r="AC1532" s="12"/>
      <c r="AD1532" s="12"/>
    </row>
    <row r="1533" spans="1:30" x14ac:dyDescent="0.35">
      <c r="A1533" s="20"/>
      <c r="B1533" s="22"/>
      <c r="C1533" s="25"/>
      <c r="D1533" s="26"/>
      <c r="E1533" s="24"/>
      <c r="F1533" s="24"/>
      <c r="G1533" s="24"/>
      <c r="H1533" s="24"/>
      <c r="I1533" s="24"/>
      <c r="J1533" s="24"/>
      <c r="K1533" s="24"/>
      <c r="L1533" s="24"/>
      <c r="M1533" s="24"/>
      <c r="N1533" s="24"/>
      <c r="O1533" s="24"/>
      <c r="P1533" s="24"/>
      <c r="Q1533" s="24"/>
      <c r="R1533" s="21"/>
      <c r="S1533" s="12"/>
      <c r="T1533" s="12"/>
      <c r="U1533" s="12"/>
      <c r="V1533" s="12"/>
      <c r="W1533" s="12"/>
      <c r="X1533" s="12"/>
      <c r="Y1533" s="12"/>
      <c r="Z1533" s="12"/>
      <c r="AA1533" s="12"/>
      <c r="AB1533" s="12"/>
      <c r="AC1533" s="12"/>
      <c r="AD1533" s="12"/>
    </row>
    <row r="1534" spans="1:30" x14ac:dyDescent="0.35">
      <c r="A1534" s="20"/>
      <c r="B1534" s="22"/>
      <c r="C1534" s="25"/>
      <c r="D1534" s="26"/>
      <c r="E1534" s="24"/>
      <c r="F1534" s="24"/>
      <c r="G1534" s="24"/>
      <c r="H1534" s="24"/>
      <c r="I1534" s="24"/>
      <c r="J1534" s="24"/>
      <c r="K1534" s="24"/>
      <c r="L1534" s="24"/>
      <c r="M1534" s="24"/>
      <c r="N1534" s="24"/>
      <c r="O1534" s="24"/>
      <c r="P1534" s="24"/>
      <c r="Q1534" s="24"/>
      <c r="R1534" s="21"/>
      <c r="S1534" s="12"/>
      <c r="T1534" s="12"/>
      <c r="U1534" s="12"/>
      <c r="V1534" s="12"/>
      <c r="W1534" s="12"/>
      <c r="X1534" s="12"/>
      <c r="Y1534" s="12"/>
      <c r="Z1534" s="12"/>
      <c r="AA1534" s="12"/>
      <c r="AB1534" s="12"/>
      <c r="AC1534" s="12"/>
      <c r="AD1534" s="12"/>
    </row>
    <row r="1535" spans="1:30" x14ac:dyDescent="0.35">
      <c r="A1535" s="20"/>
      <c r="B1535" s="22"/>
      <c r="C1535" s="25"/>
      <c r="D1535" s="26"/>
      <c r="E1535" s="24"/>
      <c r="F1535" s="24"/>
      <c r="G1535" s="24"/>
      <c r="H1535" s="24"/>
      <c r="I1535" s="24"/>
      <c r="J1535" s="24"/>
      <c r="K1535" s="24"/>
      <c r="L1535" s="24"/>
      <c r="M1535" s="24"/>
      <c r="N1535" s="24"/>
      <c r="O1535" s="24"/>
      <c r="P1535" s="24"/>
      <c r="Q1535" s="24"/>
      <c r="R1535" s="21"/>
      <c r="S1535" s="12"/>
      <c r="T1535" s="12"/>
      <c r="U1535" s="12"/>
      <c r="V1535" s="12"/>
      <c r="W1535" s="12"/>
      <c r="X1535" s="12"/>
      <c r="Y1535" s="12"/>
      <c r="Z1535" s="12"/>
      <c r="AA1535" s="12"/>
      <c r="AB1535" s="12"/>
      <c r="AC1535" s="12"/>
      <c r="AD1535" s="12"/>
    </row>
    <row r="1536" spans="1:30" x14ac:dyDescent="0.35">
      <c r="A1536" s="20"/>
      <c r="B1536" s="22"/>
      <c r="C1536" s="25"/>
      <c r="D1536" s="26"/>
      <c r="E1536" s="24"/>
      <c r="F1536" s="24"/>
      <c r="G1536" s="24"/>
      <c r="H1536" s="24"/>
      <c r="I1536" s="24"/>
      <c r="J1536" s="24"/>
      <c r="K1536" s="24"/>
      <c r="L1536" s="24"/>
      <c r="M1536" s="24"/>
      <c r="N1536" s="24"/>
      <c r="O1536" s="24"/>
      <c r="P1536" s="24"/>
      <c r="Q1536" s="24"/>
      <c r="R1536" s="21"/>
      <c r="S1536" s="12"/>
      <c r="T1536" s="12"/>
      <c r="U1536" s="12"/>
      <c r="V1536" s="12"/>
      <c r="W1536" s="12"/>
      <c r="X1536" s="12"/>
      <c r="Y1536" s="12"/>
      <c r="Z1536" s="12"/>
      <c r="AA1536" s="12"/>
      <c r="AB1536" s="12"/>
      <c r="AC1536" s="12"/>
      <c r="AD1536" s="12"/>
    </row>
    <row r="1537" spans="1:30" x14ac:dyDescent="0.35">
      <c r="A1537" s="20"/>
      <c r="B1537" s="22"/>
      <c r="C1537" s="25"/>
      <c r="D1537" s="26"/>
      <c r="E1537" s="24"/>
      <c r="F1537" s="24"/>
      <c r="G1537" s="24"/>
      <c r="H1537" s="24"/>
      <c r="I1537" s="24"/>
      <c r="J1537" s="24"/>
      <c r="K1537" s="24"/>
      <c r="L1537" s="24"/>
      <c r="M1537" s="24"/>
      <c r="N1537" s="24"/>
      <c r="O1537" s="24"/>
      <c r="P1537" s="24"/>
      <c r="Q1537" s="24"/>
      <c r="R1537" s="21"/>
      <c r="S1537" s="12"/>
      <c r="T1537" s="12"/>
      <c r="U1537" s="12"/>
      <c r="V1537" s="12"/>
      <c r="W1537" s="12"/>
      <c r="X1537" s="12"/>
      <c r="Y1537" s="12"/>
      <c r="Z1537" s="12"/>
      <c r="AA1537" s="12"/>
      <c r="AB1537" s="12"/>
      <c r="AC1537" s="12"/>
      <c r="AD1537" s="12"/>
    </row>
    <row r="1538" spans="1:30" x14ac:dyDescent="0.35">
      <c r="A1538" s="20"/>
      <c r="B1538" s="22"/>
      <c r="C1538" s="25"/>
      <c r="D1538" s="26"/>
      <c r="E1538" s="24"/>
      <c r="F1538" s="24"/>
      <c r="G1538" s="24"/>
      <c r="H1538" s="24"/>
      <c r="I1538" s="24"/>
      <c r="J1538" s="24"/>
      <c r="K1538" s="24"/>
      <c r="L1538" s="24"/>
      <c r="M1538" s="24"/>
      <c r="N1538" s="24"/>
      <c r="O1538" s="24"/>
      <c r="P1538" s="24"/>
      <c r="Q1538" s="24"/>
      <c r="R1538" s="21"/>
      <c r="S1538" s="12"/>
      <c r="T1538" s="12"/>
      <c r="U1538" s="12"/>
      <c r="V1538" s="12"/>
      <c r="W1538" s="12"/>
      <c r="X1538" s="12"/>
      <c r="Y1538" s="12"/>
      <c r="Z1538" s="12"/>
      <c r="AA1538" s="12"/>
      <c r="AB1538" s="12"/>
      <c r="AC1538" s="12"/>
      <c r="AD1538" s="12"/>
    </row>
    <row r="1539" spans="1:30" x14ac:dyDescent="0.35">
      <c r="A1539" s="20"/>
      <c r="B1539" s="22"/>
      <c r="C1539" s="25"/>
      <c r="D1539" s="26"/>
      <c r="E1539" s="24"/>
      <c r="F1539" s="24"/>
      <c r="G1539" s="24"/>
      <c r="H1539" s="24"/>
      <c r="I1539" s="24"/>
      <c r="J1539" s="24"/>
      <c r="K1539" s="24"/>
      <c r="L1539" s="24"/>
      <c r="M1539" s="24"/>
      <c r="N1539" s="24"/>
      <c r="O1539" s="24"/>
      <c r="P1539" s="24"/>
      <c r="Q1539" s="24"/>
      <c r="R1539" s="21"/>
      <c r="S1539" s="12"/>
      <c r="T1539" s="12"/>
      <c r="U1539" s="12"/>
      <c r="V1539" s="12"/>
      <c r="W1539" s="12"/>
      <c r="X1539" s="12"/>
      <c r="Y1539" s="12"/>
      <c r="Z1539" s="12"/>
      <c r="AA1539" s="12"/>
      <c r="AB1539" s="12"/>
      <c r="AC1539" s="12"/>
      <c r="AD1539" s="12"/>
    </row>
    <row r="1540" spans="1:30" x14ac:dyDescent="0.35">
      <c r="A1540" s="20"/>
      <c r="B1540" s="22"/>
      <c r="C1540" s="25"/>
      <c r="D1540" s="26"/>
      <c r="E1540" s="24"/>
      <c r="F1540" s="24"/>
      <c r="G1540" s="24"/>
      <c r="H1540" s="24"/>
      <c r="I1540" s="24"/>
      <c r="J1540" s="24"/>
      <c r="K1540" s="24"/>
      <c r="L1540" s="24"/>
      <c r="M1540" s="24"/>
      <c r="N1540" s="24"/>
      <c r="O1540" s="24"/>
      <c r="P1540" s="24"/>
      <c r="Q1540" s="24"/>
      <c r="R1540" s="21"/>
      <c r="S1540" s="12"/>
      <c r="T1540" s="12"/>
      <c r="U1540" s="12"/>
      <c r="V1540" s="12"/>
      <c r="W1540" s="12"/>
      <c r="X1540" s="12"/>
      <c r="Y1540" s="12"/>
      <c r="Z1540" s="12"/>
      <c r="AA1540" s="12"/>
      <c r="AB1540" s="12"/>
      <c r="AC1540" s="12"/>
      <c r="AD1540" s="12"/>
    </row>
    <row r="1541" spans="1:30" x14ac:dyDescent="0.35">
      <c r="A1541" s="20"/>
      <c r="B1541" s="22"/>
      <c r="C1541" s="25"/>
      <c r="D1541" s="26"/>
      <c r="E1541" s="24"/>
      <c r="F1541" s="24"/>
      <c r="G1541" s="24"/>
      <c r="H1541" s="24"/>
      <c r="I1541" s="24"/>
      <c r="J1541" s="24"/>
      <c r="K1541" s="24"/>
      <c r="L1541" s="24"/>
      <c r="M1541" s="24"/>
      <c r="N1541" s="24"/>
      <c r="O1541" s="24"/>
      <c r="P1541" s="24"/>
      <c r="Q1541" s="24"/>
      <c r="R1541" s="21"/>
      <c r="S1541" s="12"/>
      <c r="T1541" s="12"/>
      <c r="U1541" s="12"/>
      <c r="V1541" s="12"/>
      <c r="W1541" s="12"/>
      <c r="X1541" s="12"/>
      <c r="Y1541" s="12"/>
      <c r="Z1541" s="12"/>
      <c r="AA1541" s="12"/>
      <c r="AB1541" s="12"/>
      <c r="AC1541" s="12"/>
      <c r="AD1541" s="12"/>
    </row>
    <row r="1542" spans="1:30" x14ac:dyDescent="0.35">
      <c r="A1542" s="20"/>
      <c r="B1542" s="22"/>
      <c r="C1542" s="25"/>
      <c r="D1542" s="26"/>
      <c r="E1542" s="24"/>
      <c r="F1542" s="24"/>
      <c r="G1542" s="24"/>
      <c r="H1542" s="24"/>
      <c r="I1542" s="24"/>
      <c r="J1542" s="24"/>
      <c r="K1542" s="24"/>
      <c r="L1542" s="24"/>
      <c r="M1542" s="24"/>
      <c r="N1542" s="24"/>
      <c r="O1542" s="24"/>
      <c r="P1542" s="24"/>
      <c r="Q1542" s="24"/>
      <c r="R1542" s="21"/>
      <c r="S1542" s="12"/>
      <c r="T1542" s="12"/>
      <c r="U1542" s="12"/>
      <c r="V1542" s="12"/>
      <c r="W1542" s="12"/>
      <c r="X1542" s="12"/>
      <c r="Y1542" s="12"/>
      <c r="Z1542" s="12"/>
      <c r="AA1542" s="12"/>
      <c r="AB1542" s="12"/>
      <c r="AC1542" s="12"/>
      <c r="AD1542" s="12"/>
    </row>
    <row r="1543" spans="1:30" x14ac:dyDescent="0.35">
      <c r="A1543" s="20"/>
      <c r="B1543" s="22"/>
      <c r="C1543" s="25"/>
      <c r="D1543" s="26"/>
      <c r="E1543" s="24"/>
      <c r="F1543" s="24"/>
      <c r="G1543" s="24"/>
      <c r="H1543" s="24"/>
      <c r="I1543" s="24"/>
      <c r="J1543" s="24"/>
      <c r="K1543" s="24"/>
      <c r="L1543" s="24"/>
      <c r="M1543" s="24"/>
      <c r="N1543" s="24"/>
      <c r="O1543" s="24"/>
      <c r="P1543" s="24"/>
      <c r="Q1543" s="24"/>
      <c r="R1543" s="21"/>
      <c r="S1543" s="12"/>
      <c r="T1543" s="12"/>
      <c r="U1543" s="12"/>
      <c r="V1543" s="12"/>
      <c r="W1543" s="12"/>
      <c r="X1543" s="12"/>
      <c r="Y1543" s="12"/>
      <c r="Z1543" s="12"/>
      <c r="AA1543" s="12"/>
      <c r="AB1543" s="12"/>
      <c r="AC1543" s="12"/>
      <c r="AD1543" s="12"/>
    </row>
    <row r="1544" spans="1:30" x14ac:dyDescent="0.35">
      <c r="A1544" s="20"/>
      <c r="B1544" s="22"/>
      <c r="C1544" s="25"/>
      <c r="D1544" s="26"/>
      <c r="E1544" s="24"/>
      <c r="F1544" s="24"/>
      <c r="G1544" s="24"/>
      <c r="H1544" s="24"/>
      <c r="I1544" s="24"/>
      <c r="J1544" s="24"/>
      <c r="K1544" s="24"/>
      <c r="L1544" s="24"/>
      <c r="M1544" s="24"/>
      <c r="N1544" s="24"/>
      <c r="O1544" s="24"/>
      <c r="P1544" s="24"/>
      <c r="Q1544" s="24"/>
      <c r="R1544" s="21"/>
      <c r="S1544" s="12"/>
      <c r="T1544" s="12"/>
      <c r="U1544" s="12"/>
      <c r="V1544" s="12"/>
      <c r="W1544" s="12"/>
      <c r="X1544" s="12"/>
      <c r="Y1544" s="12"/>
      <c r="Z1544" s="12"/>
      <c r="AA1544" s="12"/>
      <c r="AB1544" s="12"/>
      <c r="AC1544" s="12"/>
      <c r="AD1544" s="12"/>
    </row>
    <row r="1545" spans="1:30" x14ac:dyDescent="0.35">
      <c r="A1545" s="20"/>
      <c r="B1545" s="22"/>
      <c r="C1545" s="25"/>
      <c r="D1545" s="26"/>
      <c r="E1545" s="24"/>
      <c r="F1545" s="24"/>
      <c r="G1545" s="24"/>
      <c r="H1545" s="24"/>
      <c r="I1545" s="24"/>
      <c r="J1545" s="24"/>
      <c r="K1545" s="24"/>
      <c r="L1545" s="24"/>
      <c r="M1545" s="24"/>
      <c r="N1545" s="24"/>
      <c r="O1545" s="24"/>
      <c r="P1545" s="24"/>
      <c r="Q1545" s="24"/>
      <c r="R1545" s="14"/>
      <c r="S1545" s="12"/>
      <c r="T1545" s="12"/>
      <c r="U1545" s="12"/>
      <c r="V1545" s="12"/>
      <c r="W1545" s="12"/>
      <c r="X1545" s="12"/>
      <c r="Y1545" s="12"/>
      <c r="Z1545" s="12"/>
      <c r="AA1545" s="12"/>
      <c r="AB1545" s="12"/>
      <c r="AC1545" s="12"/>
      <c r="AD1545" s="12"/>
    </row>
    <row r="1546" spans="1:30" x14ac:dyDescent="0.35">
      <c r="A1546" s="20"/>
      <c r="B1546" s="22"/>
      <c r="C1546" s="25"/>
      <c r="D1546" s="26"/>
      <c r="E1546" s="24"/>
      <c r="F1546" s="24"/>
      <c r="G1546" s="24"/>
      <c r="H1546" s="24"/>
      <c r="I1546" s="24"/>
      <c r="J1546" s="24"/>
      <c r="K1546" s="24"/>
      <c r="L1546" s="24"/>
      <c r="M1546" s="24"/>
      <c r="N1546" s="24"/>
      <c r="O1546" s="24"/>
      <c r="P1546" s="24"/>
      <c r="Q1546" s="24"/>
      <c r="R1546" s="14"/>
      <c r="S1546" s="12"/>
      <c r="T1546" s="12"/>
      <c r="U1546" s="12"/>
      <c r="V1546" s="12"/>
      <c r="W1546" s="12"/>
      <c r="X1546" s="12"/>
      <c r="Y1546" s="12"/>
      <c r="Z1546" s="12"/>
      <c r="AA1546" s="12"/>
      <c r="AB1546" s="12"/>
      <c r="AC1546" s="12"/>
      <c r="AD1546" s="12"/>
    </row>
    <row r="1547" spans="1:30" x14ac:dyDescent="0.35">
      <c r="A1547" s="20"/>
      <c r="B1547" s="22"/>
      <c r="C1547" s="25"/>
      <c r="D1547" s="26"/>
      <c r="E1547" s="24"/>
      <c r="F1547" s="24"/>
      <c r="G1547" s="24"/>
      <c r="H1547" s="24"/>
      <c r="I1547" s="24"/>
      <c r="J1547" s="24"/>
      <c r="K1547" s="24"/>
      <c r="L1547" s="24"/>
      <c r="M1547" s="24"/>
      <c r="N1547" s="24"/>
      <c r="O1547" s="24"/>
      <c r="P1547" s="24"/>
      <c r="Q1547" s="24"/>
      <c r="R1547" s="14"/>
      <c r="S1547" s="12"/>
      <c r="T1547" s="12"/>
      <c r="U1547" s="12"/>
      <c r="V1547" s="12"/>
      <c r="W1547" s="12"/>
      <c r="X1547" s="12"/>
      <c r="Y1547" s="12"/>
      <c r="Z1547" s="12"/>
      <c r="AA1547" s="12"/>
      <c r="AB1547" s="12"/>
      <c r="AC1547" s="12"/>
      <c r="AD1547" s="12"/>
    </row>
    <row r="1548" spans="1:30" x14ac:dyDescent="0.35">
      <c r="A1548" s="20"/>
      <c r="B1548" s="22"/>
      <c r="C1548" s="25"/>
      <c r="D1548" s="26"/>
      <c r="E1548" s="24"/>
      <c r="F1548" s="24"/>
      <c r="G1548" s="24"/>
      <c r="H1548" s="24"/>
      <c r="I1548" s="24"/>
      <c r="J1548" s="24"/>
      <c r="K1548" s="24"/>
      <c r="L1548" s="24"/>
      <c r="M1548" s="24"/>
      <c r="N1548" s="24"/>
      <c r="O1548" s="24"/>
      <c r="P1548" s="24"/>
      <c r="Q1548" s="24"/>
      <c r="R1548" s="14"/>
      <c r="S1548" s="12"/>
      <c r="T1548" s="12"/>
      <c r="U1548" s="12"/>
      <c r="V1548" s="12"/>
      <c r="W1548" s="12"/>
      <c r="X1548" s="12"/>
      <c r="Y1548" s="12"/>
      <c r="Z1548" s="12"/>
      <c r="AA1548" s="12"/>
      <c r="AB1548" s="12"/>
      <c r="AC1548" s="12"/>
      <c r="AD1548" s="12"/>
    </row>
    <row r="1549" spans="1:30" x14ac:dyDescent="0.35">
      <c r="A1549" s="20"/>
      <c r="B1549" s="22"/>
      <c r="C1549" s="25"/>
      <c r="D1549" s="26"/>
      <c r="E1549" s="24"/>
      <c r="F1549" s="24"/>
      <c r="G1549" s="24"/>
      <c r="H1549" s="24"/>
      <c r="I1549" s="24"/>
      <c r="J1549" s="24"/>
      <c r="K1549" s="24"/>
      <c r="L1549" s="24"/>
      <c r="M1549" s="24"/>
      <c r="N1549" s="24"/>
      <c r="O1549" s="24"/>
      <c r="P1549" s="24"/>
      <c r="Q1549" s="24"/>
      <c r="R1549" s="14"/>
      <c r="S1549" s="12"/>
      <c r="T1549" s="12"/>
      <c r="U1549" s="12"/>
      <c r="V1549" s="12"/>
      <c r="W1549" s="12"/>
      <c r="X1549" s="12"/>
      <c r="Y1549" s="12"/>
      <c r="Z1549" s="12"/>
      <c r="AA1549" s="12"/>
      <c r="AB1549" s="12"/>
      <c r="AC1549" s="12"/>
      <c r="AD1549" s="12"/>
    </row>
    <row r="1550" spans="1:30" x14ac:dyDescent="0.35">
      <c r="A1550" s="20"/>
      <c r="B1550" s="22"/>
      <c r="C1550" s="25"/>
      <c r="D1550" s="26"/>
      <c r="E1550" s="24"/>
      <c r="F1550" s="24"/>
      <c r="G1550" s="24"/>
      <c r="H1550" s="24"/>
      <c r="I1550" s="24"/>
      <c r="J1550" s="24"/>
      <c r="K1550" s="24"/>
      <c r="L1550" s="24"/>
      <c r="M1550" s="24"/>
      <c r="N1550" s="24"/>
      <c r="O1550" s="24"/>
      <c r="P1550" s="24"/>
      <c r="Q1550" s="24"/>
      <c r="R1550" s="14"/>
      <c r="S1550" s="12"/>
      <c r="T1550" s="12"/>
      <c r="U1550" s="12"/>
      <c r="V1550" s="12"/>
      <c r="W1550" s="12"/>
      <c r="X1550" s="12"/>
      <c r="Y1550" s="12"/>
      <c r="Z1550" s="12"/>
      <c r="AA1550" s="12"/>
      <c r="AB1550" s="12"/>
      <c r="AC1550" s="12"/>
      <c r="AD1550" s="12"/>
    </row>
    <row r="1551" spans="1:30" x14ac:dyDescent="0.35">
      <c r="A1551" s="20"/>
      <c r="B1551" s="22"/>
      <c r="C1551" s="25"/>
      <c r="D1551" s="26"/>
      <c r="E1551" s="24"/>
      <c r="F1551" s="24"/>
      <c r="G1551" s="24"/>
      <c r="H1551" s="24"/>
      <c r="I1551" s="24"/>
      <c r="J1551" s="24"/>
      <c r="K1551" s="24"/>
      <c r="L1551" s="24"/>
      <c r="M1551" s="24"/>
      <c r="N1551" s="24"/>
      <c r="O1551" s="24"/>
      <c r="P1551" s="24"/>
      <c r="Q1551" s="24"/>
      <c r="R1551" s="14"/>
      <c r="S1551" s="12"/>
      <c r="T1551" s="12"/>
      <c r="U1551" s="12"/>
      <c r="V1551" s="12"/>
      <c r="W1551" s="12"/>
      <c r="X1551" s="12"/>
      <c r="Y1551" s="12"/>
      <c r="Z1551" s="12"/>
      <c r="AA1551" s="12"/>
      <c r="AB1551" s="12"/>
      <c r="AC1551" s="12"/>
      <c r="AD1551" s="12"/>
    </row>
    <row r="1552" spans="1:30" x14ac:dyDescent="0.35">
      <c r="A1552" s="20"/>
      <c r="B1552" s="22"/>
      <c r="C1552" s="25"/>
      <c r="D1552" s="26"/>
      <c r="E1552" s="24"/>
      <c r="F1552" s="24"/>
      <c r="G1552" s="24"/>
      <c r="H1552" s="24"/>
      <c r="I1552" s="24"/>
      <c r="J1552" s="24"/>
      <c r="K1552" s="24"/>
      <c r="L1552" s="24"/>
      <c r="M1552" s="24"/>
      <c r="N1552" s="24"/>
      <c r="O1552" s="24"/>
      <c r="P1552" s="24"/>
      <c r="Q1552" s="24"/>
      <c r="R1552" s="21"/>
      <c r="S1552" s="12"/>
      <c r="T1552" s="12"/>
      <c r="U1552" s="12"/>
      <c r="V1552" s="12"/>
      <c r="W1552" s="12"/>
      <c r="X1552" s="12"/>
      <c r="Y1552" s="12"/>
      <c r="Z1552" s="12"/>
      <c r="AA1552" s="12"/>
      <c r="AB1552" s="12"/>
      <c r="AC1552" s="12"/>
      <c r="AD1552" s="12"/>
    </row>
    <row r="1553" spans="1:30" x14ac:dyDescent="0.35">
      <c r="A1553" s="20"/>
      <c r="B1553" s="22"/>
      <c r="C1553" s="25"/>
      <c r="D1553" s="26"/>
      <c r="E1553" s="24"/>
      <c r="F1553" s="24"/>
      <c r="G1553" s="24"/>
      <c r="H1553" s="24"/>
      <c r="I1553" s="24"/>
      <c r="J1553" s="24"/>
      <c r="K1553" s="24"/>
      <c r="L1553" s="24"/>
      <c r="M1553" s="24"/>
      <c r="N1553" s="24"/>
      <c r="O1553" s="24"/>
      <c r="P1553" s="24"/>
      <c r="Q1553" s="24"/>
      <c r="R1553" s="21"/>
      <c r="S1553" s="12"/>
      <c r="T1553" s="12"/>
      <c r="U1553" s="12"/>
      <c r="V1553" s="12"/>
      <c r="W1553" s="12"/>
      <c r="X1553" s="12"/>
      <c r="Y1553" s="12"/>
      <c r="Z1553" s="12"/>
      <c r="AA1553" s="12"/>
      <c r="AB1553" s="12"/>
      <c r="AC1553" s="12"/>
      <c r="AD1553" s="12"/>
    </row>
    <row r="1554" spans="1:30" x14ac:dyDescent="0.35">
      <c r="A1554" s="20"/>
      <c r="B1554" s="22"/>
      <c r="C1554" s="25"/>
      <c r="D1554" s="26"/>
      <c r="E1554" s="24"/>
      <c r="F1554" s="24"/>
      <c r="G1554" s="24"/>
      <c r="H1554" s="24"/>
      <c r="I1554" s="24"/>
      <c r="J1554" s="24"/>
      <c r="K1554" s="24"/>
      <c r="L1554" s="24"/>
      <c r="M1554" s="24"/>
      <c r="N1554" s="24"/>
      <c r="O1554" s="24"/>
      <c r="P1554" s="24"/>
      <c r="Q1554" s="24"/>
      <c r="R1554" s="21"/>
      <c r="S1554" s="12"/>
      <c r="T1554" s="12"/>
      <c r="U1554" s="12"/>
      <c r="V1554" s="12"/>
      <c r="W1554" s="12"/>
      <c r="X1554" s="12"/>
      <c r="Y1554" s="12"/>
      <c r="Z1554" s="12"/>
      <c r="AA1554" s="12"/>
      <c r="AB1554" s="12"/>
      <c r="AC1554" s="12"/>
      <c r="AD1554" s="12"/>
    </row>
    <row r="1555" spans="1:30" x14ac:dyDescent="0.35">
      <c r="A1555" s="20"/>
      <c r="B1555" s="22"/>
      <c r="C1555" s="25"/>
      <c r="D1555" s="26"/>
      <c r="E1555" s="24"/>
      <c r="F1555" s="24"/>
      <c r="G1555" s="24"/>
      <c r="H1555" s="24"/>
      <c r="I1555" s="24"/>
      <c r="J1555" s="24"/>
      <c r="K1555" s="24"/>
      <c r="L1555" s="24"/>
      <c r="M1555" s="24"/>
      <c r="N1555" s="24"/>
      <c r="O1555" s="24"/>
      <c r="P1555" s="24"/>
      <c r="Q1555" s="24"/>
      <c r="R1555" s="21"/>
      <c r="S1555" s="12"/>
      <c r="T1555" s="12"/>
      <c r="U1555" s="12"/>
      <c r="V1555" s="12"/>
      <c r="W1555" s="12"/>
      <c r="X1555" s="12"/>
      <c r="Y1555" s="12"/>
      <c r="Z1555" s="12"/>
      <c r="AA1555" s="12"/>
      <c r="AB1555" s="12"/>
      <c r="AC1555" s="12"/>
      <c r="AD1555" s="12"/>
    </row>
    <row r="1556" spans="1:30" x14ac:dyDescent="0.35">
      <c r="A1556" s="20"/>
      <c r="B1556" s="22"/>
      <c r="C1556" s="25"/>
      <c r="D1556" s="26"/>
      <c r="E1556" s="24"/>
      <c r="F1556" s="24"/>
      <c r="G1556" s="24"/>
      <c r="H1556" s="24"/>
      <c r="I1556" s="24"/>
      <c r="J1556" s="24"/>
      <c r="K1556" s="24"/>
      <c r="L1556" s="24"/>
      <c r="M1556" s="24"/>
      <c r="N1556" s="24"/>
      <c r="O1556" s="24"/>
      <c r="P1556" s="24"/>
      <c r="Q1556" s="24"/>
      <c r="R1556" s="21"/>
      <c r="S1556" s="12"/>
      <c r="T1556" s="12"/>
      <c r="U1556" s="12"/>
      <c r="V1556" s="12"/>
      <c r="W1556" s="12"/>
      <c r="X1556" s="12"/>
      <c r="Y1556" s="12"/>
      <c r="Z1556" s="12"/>
      <c r="AA1556" s="12"/>
      <c r="AB1556" s="12"/>
      <c r="AC1556" s="12"/>
      <c r="AD1556" s="12"/>
    </row>
    <row r="1557" spans="1:30" x14ac:dyDescent="0.35">
      <c r="A1557" s="20"/>
      <c r="B1557" s="22"/>
      <c r="C1557" s="25"/>
      <c r="D1557" s="26"/>
      <c r="E1557" s="24"/>
      <c r="F1557" s="24"/>
      <c r="G1557" s="24"/>
      <c r="H1557" s="24"/>
      <c r="I1557" s="24"/>
      <c r="J1557" s="24"/>
      <c r="K1557" s="24"/>
      <c r="L1557" s="24"/>
      <c r="M1557" s="24"/>
      <c r="N1557" s="24"/>
      <c r="O1557" s="24"/>
      <c r="P1557" s="24"/>
      <c r="Q1557" s="24"/>
      <c r="R1557" s="21"/>
      <c r="S1557" s="12"/>
      <c r="T1557" s="12"/>
      <c r="U1557" s="12"/>
      <c r="V1557" s="12"/>
      <c r="W1557" s="12"/>
      <c r="X1557" s="12"/>
      <c r="Y1557" s="12"/>
      <c r="Z1557" s="12"/>
      <c r="AA1557" s="12"/>
      <c r="AB1557" s="12"/>
      <c r="AC1557" s="12"/>
      <c r="AD1557" s="12"/>
    </row>
    <row r="1558" spans="1:30" x14ac:dyDescent="0.35">
      <c r="A1558" s="20"/>
      <c r="B1558" s="22"/>
      <c r="C1558" s="25"/>
      <c r="D1558" s="26"/>
      <c r="E1558" s="24"/>
      <c r="F1558" s="24"/>
      <c r="G1558" s="24"/>
      <c r="H1558" s="24"/>
      <c r="I1558" s="24"/>
      <c r="J1558" s="24"/>
      <c r="K1558" s="24"/>
      <c r="L1558" s="24"/>
      <c r="M1558" s="24"/>
      <c r="N1558" s="24"/>
      <c r="O1558" s="24"/>
      <c r="P1558" s="24"/>
      <c r="Q1558" s="24"/>
      <c r="R1558" s="21"/>
      <c r="S1558" s="12"/>
      <c r="T1558" s="12"/>
      <c r="U1558" s="12"/>
      <c r="V1558" s="12"/>
      <c r="W1558" s="12"/>
      <c r="X1558" s="12"/>
      <c r="Y1558" s="12"/>
      <c r="Z1558" s="12"/>
      <c r="AA1558" s="12"/>
      <c r="AB1558" s="12"/>
      <c r="AC1558" s="12"/>
      <c r="AD1558" s="12"/>
    </row>
    <row r="1559" spans="1:30" x14ac:dyDescent="0.35">
      <c r="A1559" s="20"/>
      <c r="B1559" s="22"/>
      <c r="C1559" s="25"/>
      <c r="D1559" s="26"/>
      <c r="E1559" s="24"/>
      <c r="F1559" s="24"/>
      <c r="G1559" s="24"/>
      <c r="H1559" s="24"/>
      <c r="I1559" s="24"/>
      <c r="J1559" s="24"/>
      <c r="K1559" s="24"/>
      <c r="L1559" s="24"/>
      <c r="M1559" s="24"/>
      <c r="N1559" s="24"/>
      <c r="O1559" s="24"/>
      <c r="P1559" s="24"/>
      <c r="Q1559" s="24"/>
      <c r="R1559" s="21"/>
      <c r="S1559" s="12"/>
      <c r="T1559" s="12"/>
      <c r="U1559" s="12"/>
      <c r="V1559" s="12"/>
      <c r="W1559" s="12"/>
      <c r="X1559" s="12"/>
      <c r="Y1559" s="12"/>
      <c r="Z1559" s="12"/>
      <c r="AA1559" s="12"/>
      <c r="AB1559" s="12"/>
      <c r="AC1559" s="12"/>
      <c r="AD1559" s="12"/>
    </row>
    <row r="1560" spans="1:30" x14ac:dyDescent="0.35">
      <c r="A1560" s="20"/>
      <c r="B1560" s="22"/>
      <c r="C1560" s="25"/>
      <c r="D1560" s="26"/>
      <c r="E1560" s="24"/>
      <c r="F1560" s="24"/>
      <c r="G1560" s="24"/>
      <c r="H1560" s="24"/>
      <c r="I1560" s="24"/>
      <c r="J1560" s="24"/>
      <c r="K1560" s="24"/>
      <c r="L1560" s="24"/>
      <c r="M1560" s="24"/>
      <c r="N1560" s="24"/>
      <c r="O1560" s="24"/>
      <c r="P1560" s="24"/>
      <c r="Q1560" s="24"/>
      <c r="R1560" s="21"/>
      <c r="S1560" s="12"/>
      <c r="T1560" s="12"/>
      <c r="U1560" s="12"/>
      <c r="V1560" s="12"/>
      <c r="W1560" s="12"/>
      <c r="X1560" s="12"/>
      <c r="Y1560" s="12"/>
      <c r="Z1560" s="12"/>
      <c r="AA1560" s="12"/>
      <c r="AB1560" s="12"/>
      <c r="AC1560" s="12"/>
      <c r="AD1560" s="12"/>
    </row>
    <row r="1561" spans="1:30" x14ac:dyDescent="0.35">
      <c r="A1561" s="20"/>
      <c r="B1561" s="22"/>
      <c r="C1561" s="25"/>
      <c r="D1561" s="26"/>
      <c r="E1561" s="24"/>
      <c r="F1561" s="24"/>
      <c r="G1561" s="24"/>
      <c r="H1561" s="24"/>
      <c r="I1561" s="24"/>
      <c r="J1561" s="24"/>
      <c r="K1561" s="24"/>
      <c r="L1561" s="24"/>
      <c r="M1561" s="24"/>
      <c r="N1561" s="24"/>
      <c r="O1561" s="24"/>
      <c r="P1561" s="24"/>
      <c r="Q1561" s="24"/>
      <c r="R1561" s="14"/>
      <c r="S1561" s="12"/>
      <c r="T1561" s="12"/>
      <c r="U1561" s="12"/>
      <c r="V1561" s="12"/>
      <c r="W1561" s="12"/>
      <c r="X1561" s="12"/>
      <c r="Y1561" s="12"/>
      <c r="Z1561" s="12"/>
      <c r="AA1561" s="12"/>
      <c r="AB1561" s="12"/>
      <c r="AC1561" s="12"/>
      <c r="AD1561" s="12"/>
    </row>
    <row r="1562" spans="1:30" x14ac:dyDescent="0.35">
      <c r="A1562" s="20"/>
      <c r="B1562" s="22"/>
      <c r="C1562" s="25"/>
      <c r="D1562" s="26"/>
      <c r="E1562" s="24"/>
      <c r="F1562" s="24"/>
      <c r="G1562" s="24"/>
      <c r="H1562" s="24"/>
      <c r="I1562" s="24"/>
      <c r="J1562" s="24"/>
      <c r="K1562" s="24"/>
      <c r="L1562" s="24"/>
      <c r="M1562" s="24"/>
      <c r="N1562" s="24"/>
      <c r="O1562" s="24"/>
      <c r="P1562" s="24"/>
      <c r="Q1562" s="24"/>
      <c r="R1562" s="14"/>
      <c r="S1562" s="12"/>
      <c r="T1562" s="12"/>
      <c r="U1562" s="12"/>
      <c r="V1562" s="12"/>
      <c r="W1562" s="12"/>
      <c r="X1562" s="12"/>
      <c r="Y1562" s="12"/>
      <c r="Z1562" s="12"/>
      <c r="AA1562" s="12"/>
      <c r="AB1562" s="12"/>
      <c r="AC1562" s="12"/>
      <c r="AD1562" s="12"/>
    </row>
    <row r="1563" spans="1:30" x14ac:dyDescent="0.35">
      <c r="A1563" s="20"/>
      <c r="B1563" s="22"/>
      <c r="C1563" s="25"/>
      <c r="D1563" s="26"/>
      <c r="E1563" s="24"/>
      <c r="F1563" s="24"/>
      <c r="G1563" s="24"/>
      <c r="H1563" s="24"/>
      <c r="I1563" s="24"/>
      <c r="J1563" s="24"/>
      <c r="K1563" s="24"/>
      <c r="L1563" s="24"/>
      <c r="M1563" s="24"/>
      <c r="N1563" s="24"/>
      <c r="O1563" s="24"/>
      <c r="P1563" s="24"/>
      <c r="Q1563" s="24"/>
      <c r="R1563" s="14"/>
      <c r="S1563" s="12"/>
      <c r="T1563" s="12"/>
      <c r="U1563" s="12"/>
      <c r="V1563" s="12"/>
      <c r="W1563" s="12"/>
      <c r="X1563" s="12"/>
      <c r="Y1563" s="12"/>
      <c r="Z1563" s="12"/>
      <c r="AA1563" s="12"/>
      <c r="AB1563" s="12"/>
      <c r="AC1563" s="12"/>
      <c r="AD1563" s="12"/>
    </row>
    <row r="1564" spans="1:30" x14ac:dyDescent="0.35">
      <c r="A1564" s="20"/>
      <c r="B1564" s="22"/>
      <c r="C1564" s="25"/>
      <c r="D1564" s="26"/>
      <c r="E1564" s="24"/>
      <c r="F1564" s="24"/>
      <c r="G1564" s="24"/>
      <c r="H1564" s="24"/>
      <c r="I1564" s="24"/>
      <c r="J1564" s="24"/>
      <c r="K1564" s="24"/>
      <c r="L1564" s="24"/>
      <c r="M1564" s="24"/>
      <c r="N1564" s="24"/>
      <c r="O1564" s="24"/>
      <c r="P1564" s="24"/>
      <c r="Q1564" s="24"/>
      <c r="R1564" s="14"/>
      <c r="S1564" s="12"/>
      <c r="T1564" s="12"/>
      <c r="U1564" s="12"/>
      <c r="V1564" s="12"/>
      <c r="W1564" s="12"/>
      <c r="X1564" s="12"/>
      <c r="Y1564" s="12"/>
      <c r="Z1564" s="12"/>
      <c r="AA1564" s="12"/>
      <c r="AB1564" s="12"/>
      <c r="AC1564" s="12"/>
      <c r="AD1564" s="12"/>
    </row>
    <row r="1565" spans="1:30" x14ac:dyDescent="0.35">
      <c r="A1565" s="20"/>
      <c r="B1565" s="22"/>
      <c r="C1565" s="25"/>
      <c r="D1565" s="26"/>
      <c r="E1565" s="24"/>
      <c r="F1565" s="24"/>
      <c r="G1565" s="24"/>
      <c r="H1565" s="24"/>
      <c r="I1565" s="24"/>
      <c r="J1565" s="24"/>
      <c r="K1565" s="24"/>
      <c r="L1565" s="24"/>
      <c r="M1565" s="24"/>
      <c r="N1565" s="24"/>
      <c r="O1565" s="24"/>
      <c r="P1565" s="24"/>
      <c r="Q1565" s="24"/>
      <c r="R1565" s="14"/>
      <c r="S1565" s="12"/>
      <c r="T1565" s="12"/>
      <c r="U1565" s="12"/>
      <c r="V1565" s="12"/>
      <c r="W1565" s="12"/>
      <c r="X1565" s="12"/>
      <c r="Y1565" s="12"/>
      <c r="Z1565" s="12"/>
      <c r="AA1565" s="12"/>
      <c r="AB1565" s="12"/>
      <c r="AC1565" s="12"/>
      <c r="AD1565" s="12"/>
    </row>
    <row r="1566" spans="1:30" x14ac:dyDescent="0.35">
      <c r="A1566" s="20"/>
      <c r="B1566" s="22"/>
      <c r="C1566" s="25"/>
      <c r="D1566" s="26"/>
      <c r="E1566" s="24"/>
      <c r="F1566" s="24"/>
      <c r="G1566" s="24"/>
      <c r="H1566" s="24"/>
      <c r="I1566" s="24"/>
      <c r="J1566" s="24"/>
      <c r="K1566" s="24"/>
      <c r="L1566" s="24"/>
      <c r="M1566" s="24"/>
      <c r="N1566" s="24"/>
      <c r="O1566" s="24"/>
      <c r="P1566" s="24"/>
      <c r="Q1566" s="24"/>
      <c r="R1566" s="14"/>
      <c r="S1566" s="12"/>
      <c r="T1566" s="12"/>
      <c r="U1566" s="12"/>
      <c r="V1566" s="12"/>
      <c r="W1566" s="12"/>
      <c r="X1566" s="12"/>
      <c r="Y1566" s="12"/>
      <c r="Z1566" s="12"/>
      <c r="AA1566" s="12"/>
      <c r="AB1566" s="12"/>
      <c r="AC1566" s="12"/>
      <c r="AD1566" s="12"/>
    </row>
    <row r="1567" spans="1:30" x14ac:dyDescent="0.35">
      <c r="A1567" s="20"/>
      <c r="B1567" s="22"/>
      <c r="C1567" s="25"/>
      <c r="D1567" s="26"/>
      <c r="E1567" s="24"/>
      <c r="F1567" s="24"/>
      <c r="G1567" s="24"/>
      <c r="H1567" s="24"/>
      <c r="I1567" s="24"/>
      <c r="J1567" s="24"/>
      <c r="K1567" s="24"/>
      <c r="L1567" s="24"/>
      <c r="M1567" s="24"/>
      <c r="N1567" s="24"/>
      <c r="O1567" s="24"/>
      <c r="P1567" s="24"/>
      <c r="Q1567" s="24"/>
      <c r="R1567" s="14"/>
      <c r="S1567" s="12"/>
      <c r="T1567" s="12"/>
      <c r="U1567" s="12"/>
      <c r="V1567" s="12"/>
      <c r="W1567" s="12"/>
      <c r="X1567" s="12"/>
      <c r="Y1567" s="12"/>
      <c r="Z1567" s="12"/>
      <c r="AA1567" s="12"/>
      <c r="AB1567" s="12"/>
      <c r="AC1567" s="12"/>
      <c r="AD1567" s="12"/>
    </row>
    <row r="1568" spans="1:30" x14ac:dyDescent="0.35">
      <c r="A1568" s="20"/>
      <c r="B1568" s="22"/>
      <c r="C1568" s="25"/>
      <c r="D1568" s="26"/>
      <c r="E1568" s="24"/>
      <c r="F1568" s="24"/>
      <c r="G1568" s="24"/>
      <c r="H1568" s="24"/>
      <c r="I1568" s="24"/>
      <c r="J1568" s="24"/>
      <c r="K1568" s="24"/>
      <c r="L1568" s="24"/>
      <c r="M1568" s="24"/>
      <c r="N1568" s="24"/>
      <c r="O1568" s="24"/>
      <c r="P1568" s="24"/>
      <c r="Q1568" s="24"/>
      <c r="R1568" s="14"/>
      <c r="S1568" s="12"/>
      <c r="T1568" s="12"/>
      <c r="U1568" s="12"/>
      <c r="V1568" s="12"/>
      <c r="W1568" s="12"/>
      <c r="X1568" s="12"/>
      <c r="Y1568" s="12"/>
      <c r="Z1568" s="12"/>
      <c r="AA1568" s="12"/>
      <c r="AB1568" s="12"/>
      <c r="AC1568" s="12"/>
      <c r="AD1568" s="12"/>
    </row>
    <row r="1569" spans="1:30" x14ac:dyDescent="0.35">
      <c r="A1569" s="20"/>
      <c r="B1569" s="22"/>
      <c r="C1569" s="25"/>
      <c r="D1569" s="26"/>
      <c r="E1569" s="24"/>
      <c r="F1569" s="24"/>
      <c r="G1569" s="24"/>
      <c r="H1569" s="24"/>
      <c r="I1569" s="24"/>
      <c r="J1569" s="24"/>
      <c r="K1569" s="24"/>
      <c r="L1569" s="24"/>
      <c r="M1569" s="24"/>
      <c r="N1569" s="24"/>
      <c r="O1569" s="24"/>
      <c r="P1569" s="24"/>
      <c r="Q1569" s="24"/>
      <c r="R1569" s="14"/>
      <c r="S1569" s="12"/>
      <c r="T1569" s="12"/>
      <c r="U1569" s="12"/>
      <c r="V1569" s="12"/>
      <c r="W1569" s="12"/>
      <c r="X1569" s="12"/>
      <c r="Y1569" s="12"/>
      <c r="Z1569" s="12"/>
      <c r="AA1569" s="12"/>
      <c r="AB1569" s="12"/>
      <c r="AC1569" s="12"/>
      <c r="AD1569" s="12"/>
    </row>
    <row r="1570" spans="1:30" x14ac:dyDescent="0.35">
      <c r="A1570" s="20"/>
      <c r="B1570" s="22"/>
      <c r="C1570" s="25"/>
      <c r="D1570" s="26"/>
      <c r="E1570" s="24"/>
      <c r="F1570" s="24"/>
      <c r="G1570" s="24"/>
      <c r="H1570" s="24"/>
      <c r="I1570" s="24"/>
      <c r="J1570" s="24"/>
      <c r="K1570" s="24"/>
      <c r="L1570" s="24"/>
      <c r="M1570" s="24"/>
      <c r="N1570" s="24"/>
      <c r="O1570" s="24"/>
      <c r="P1570" s="24"/>
      <c r="Q1570" s="24"/>
      <c r="R1570" s="14"/>
      <c r="S1570" s="12"/>
      <c r="T1570" s="12"/>
      <c r="U1570" s="12"/>
      <c r="V1570" s="12"/>
      <c r="W1570" s="12"/>
      <c r="X1570" s="12"/>
      <c r="Y1570" s="12"/>
      <c r="Z1570" s="12"/>
      <c r="AA1570" s="12"/>
      <c r="AB1570" s="12"/>
      <c r="AC1570" s="12"/>
      <c r="AD1570" s="12"/>
    </row>
    <row r="1571" spans="1:30" x14ac:dyDescent="0.35">
      <c r="A1571" s="20"/>
      <c r="B1571" s="22"/>
      <c r="C1571" s="25"/>
      <c r="D1571" s="26"/>
      <c r="E1571" s="24"/>
      <c r="F1571" s="24"/>
      <c r="G1571" s="24"/>
      <c r="H1571" s="24"/>
      <c r="I1571" s="24"/>
      <c r="J1571" s="24"/>
      <c r="K1571" s="24"/>
      <c r="L1571" s="24"/>
      <c r="M1571" s="24"/>
      <c r="N1571" s="24"/>
      <c r="O1571" s="24"/>
      <c r="P1571" s="24"/>
      <c r="Q1571" s="24"/>
      <c r="R1571" s="14"/>
      <c r="S1571" s="12"/>
      <c r="T1571" s="12"/>
      <c r="U1571" s="12"/>
      <c r="V1571" s="12"/>
      <c r="W1571" s="12"/>
      <c r="X1571" s="12"/>
      <c r="Y1571" s="12"/>
      <c r="Z1571" s="12"/>
      <c r="AA1571" s="12"/>
      <c r="AB1571" s="12"/>
      <c r="AC1571" s="12"/>
      <c r="AD1571" s="12"/>
    </row>
    <row r="1572" spans="1:30" x14ac:dyDescent="0.35">
      <c r="A1572" s="20"/>
      <c r="B1572" s="22"/>
      <c r="C1572" s="25"/>
      <c r="D1572" s="26"/>
      <c r="E1572" s="24"/>
      <c r="F1572" s="24"/>
      <c r="G1572" s="24"/>
      <c r="H1572" s="24"/>
      <c r="I1572" s="24"/>
      <c r="J1572" s="24"/>
      <c r="K1572" s="24"/>
      <c r="L1572" s="24"/>
      <c r="M1572" s="24"/>
      <c r="N1572" s="24"/>
      <c r="O1572" s="24"/>
      <c r="P1572" s="24"/>
      <c r="Q1572" s="24"/>
      <c r="R1572" s="14"/>
      <c r="S1572" s="12"/>
      <c r="T1572" s="12"/>
      <c r="U1572" s="12"/>
      <c r="V1572" s="12"/>
      <c r="W1572" s="12"/>
      <c r="X1572" s="12"/>
      <c r="Y1572" s="12"/>
      <c r="Z1572" s="12"/>
      <c r="AA1572" s="12"/>
      <c r="AB1572" s="12"/>
      <c r="AC1572" s="12"/>
      <c r="AD1572" s="12"/>
    </row>
    <row r="1573" spans="1:30" x14ac:dyDescent="0.35">
      <c r="A1573" s="20"/>
      <c r="B1573" s="22"/>
      <c r="C1573" s="25"/>
      <c r="D1573" s="26"/>
      <c r="E1573" s="24"/>
      <c r="F1573" s="24"/>
      <c r="G1573" s="24"/>
      <c r="H1573" s="24"/>
      <c r="I1573" s="24"/>
      <c r="J1573" s="24"/>
      <c r="K1573" s="24"/>
      <c r="L1573" s="24"/>
      <c r="M1573" s="24"/>
      <c r="N1573" s="24"/>
      <c r="O1573" s="24"/>
      <c r="P1573" s="24"/>
      <c r="Q1573" s="24"/>
      <c r="R1573" s="14"/>
      <c r="S1573" s="12"/>
      <c r="T1573" s="12"/>
      <c r="U1573" s="12"/>
      <c r="V1573" s="12"/>
      <c r="W1573" s="12"/>
      <c r="X1573" s="12"/>
      <c r="Y1573" s="12"/>
      <c r="Z1573" s="12"/>
      <c r="AA1573" s="12"/>
      <c r="AB1573" s="12"/>
      <c r="AC1573" s="12"/>
      <c r="AD1573" s="12"/>
    </row>
    <row r="1574" spans="1:30" x14ac:dyDescent="0.35">
      <c r="A1574" s="20"/>
      <c r="B1574" s="22"/>
      <c r="C1574" s="25"/>
      <c r="D1574" s="26"/>
      <c r="E1574" s="24"/>
      <c r="F1574" s="24"/>
      <c r="G1574" s="24"/>
      <c r="H1574" s="24"/>
      <c r="I1574" s="24"/>
      <c r="J1574" s="24"/>
      <c r="K1574" s="24"/>
      <c r="L1574" s="24"/>
      <c r="M1574" s="24"/>
      <c r="N1574" s="24"/>
      <c r="O1574" s="24"/>
      <c r="P1574" s="24"/>
      <c r="Q1574" s="24"/>
      <c r="R1574" s="14"/>
      <c r="S1574" s="12"/>
      <c r="T1574" s="12"/>
      <c r="U1574" s="12"/>
      <c r="V1574" s="12"/>
      <c r="W1574" s="12"/>
      <c r="X1574" s="12"/>
      <c r="Y1574" s="12"/>
      <c r="Z1574" s="12"/>
      <c r="AA1574" s="12"/>
      <c r="AB1574" s="12"/>
      <c r="AC1574" s="12"/>
      <c r="AD1574" s="12"/>
    </row>
    <row r="1575" spans="1:30" x14ac:dyDescent="0.35">
      <c r="A1575" s="20"/>
      <c r="B1575" s="22"/>
      <c r="C1575" s="25"/>
      <c r="D1575" s="26"/>
      <c r="E1575" s="24"/>
      <c r="F1575" s="24"/>
      <c r="G1575" s="24"/>
      <c r="H1575" s="24"/>
      <c r="I1575" s="24"/>
      <c r="J1575" s="24"/>
      <c r="K1575" s="24"/>
      <c r="L1575" s="24"/>
      <c r="M1575" s="24"/>
      <c r="N1575" s="24"/>
      <c r="O1575" s="24"/>
      <c r="P1575" s="24"/>
      <c r="Q1575" s="24"/>
      <c r="R1575" s="14"/>
      <c r="S1575" s="12"/>
      <c r="T1575" s="12"/>
      <c r="U1575" s="12"/>
      <c r="V1575" s="12"/>
      <c r="W1575" s="12"/>
      <c r="X1575" s="12"/>
      <c r="Y1575" s="12"/>
      <c r="Z1575" s="12"/>
      <c r="AA1575" s="12"/>
      <c r="AB1575" s="12"/>
      <c r="AC1575" s="12"/>
      <c r="AD1575" s="12"/>
    </row>
    <row r="1576" spans="1:30" x14ac:dyDescent="0.35">
      <c r="A1576" s="20"/>
      <c r="B1576" s="22"/>
      <c r="C1576" s="25"/>
      <c r="D1576" s="26"/>
      <c r="E1576" s="24"/>
      <c r="F1576" s="24"/>
      <c r="G1576" s="24"/>
      <c r="H1576" s="24"/>
      <c r="I1576" s="24"/>
      <c r="J1576" s="24"/>
      <c r="K1576" s="24"/>
      <c r="L1576" s="24"/>
      <c r="M1576" s="24"/>
      <c r="N1576" s="24"/>
      <c r="O1576" s="24"/>
      <c r="P1576" s="24"/>
      <c r="Q1576" s="24"/>
      <c r="R1576" s="21"/>
      <c r="S1576" s="12"/>
      <c r="T1576" s="12"/>
      <c r="U1576" s="12"/>
      <c r="V1576" s="12"/>
      <c r="W1576" s="12"/>
      <c r="X1576" s="12"/>
      <c r="Y1576" s="12"/>
      <c r="Z1576" s="12"/>
      <c r="AA1576" s="12"/>
      <c r="AB1576" s="12"/>
      <c r="AC1576" s="12"/>
      <c r="AD1576" s="12"/>
    </row>
    <row r="1577" spans="1:30" x14ac:dyDescent="0.35">
      <c r="A1577" s="20"/>
      <c r="B1577" s="22"/>
      <c r="C1577" s="25"/>
      <c r="D1577" s="26"/>
      <c r="E1577" s="24"/>
      <c r="F1577" s="24"/>
      <c r="G1577" s="24"/>
      <c r="H1577" s="24"/>
      <c r="I1577" s="24"/>
      <c r="J1577" s="24"/>
      <c r="K1577" s="24"/>
      <c r="L1577" s="24"/>
      <c r="M1577" s="24"/>
      <c r="N1577" s="24"/>
      <c r="O1577" s="24"/>
      <c r="P1577" s="24"/>
      <c r="Q1577" s="24"/>
      <c r="R1577" s="21"/>
      <c r="S1577" s="12"/>
      <c r="T1577" s="12"/>
      <c r="U1577" s="12"/>
      <c r="V1577" s="12"/>
      <c r="W1577" s="12"/>
      <c r="X1577" s="12"/>
      <c r="Y1577" s="12"/>
      <c r="Z1577" s="12"/>
      <c r="AA1577" s="12"/>
      <c r="AB1577" s="12"/>
      <c r="AC1577" s="12"/>
      <c r="AD1577" s="12"/>
    </row>
    <row r="1578" spans="1:30" x14ac:dyDescent="0.35">
      <c r="A1578" s="20"/>
      <c r="B1578" s="22"/>
      <c r="C1578" s="25"/>
      <c r="D1578" s="26"/>
      <c r="E1578" s="24"/>
      <c r="F1578" s="24"/>
      <c r="G1578" s="24"/>
      <c r="H1578" s="24"/>
      <c r="I1578" s="24"/>
      <c r="J1578" s="24"/>
      <c r="K1578" s="24"/>
      <c r="L1578" s="24"/>
      <c r="M1578" s="24"/>
      <c r="N1578" s="24"/>
      <c r="O1578" s="24"/>
      <c r="P1578" s="24"/>
      <c r="Q1578" s="24"/>
      <c r="R1578" s="21"/>
      <c r="S1578" s="12"/>
      <c r="T1578" s="12"/>
      <c r="U1578" s="12"/>
      <c r="V1578" s="12"/>
      <c r="W1578" s="12"/>
      <c r="X1578" s="12"/>
      <c r="Y1578" s="12"/>
      <c r="Z1578" s="12"/>
      <c r="AA1578" s="12"/>
      <c r="AB1578" s="12"/>
      <c r="AC1578" s="12"/>
      <c r="AD1578" s="12"/>
    </row>
    <row r="1579" spans="1:30" x14ac:dyDescent="0.35">
      <c r="A1579" s="20"/>
      <c r="B1579" s="22"/>
      <c r="C1579" s="25"/>
      <c r="D1579" s="26"/>
      <c r="E1579" s="24"/>
      <c r="F1579" s="24"/>
      <c r="G1579" s="24"/>
      <c r="H1579" s="24"/>
      <c r="I1579" s="24"/>
      <c r="J1579" s="24"/>
      <c r="K1579" s="24"/>
      <c r="L1579" s="24"/>
      <c r="M1579" s="24"/>
      <c r="N1579" s="24"/>
      <c r="O1579" s="24"/>
      <c r="P1579" s="24"/>
      <c r="Q1579" s="24"/>
      <c r="R1579" s="21"/>
      <c r="S1579" s="12"/>
      <c r="T1579" s="12"/>
      <c r="U1579" s="12"/>
      <c r="V1579" s="12"/>
      <c r="W1579" s="12"/>
      <c r="X1579" s="12"/>
      <c r="Y1579" s="12"/>
      <c r="Z1579" s="12"/>
      <c r="AA1579" s="12"/>
      <c r="AB1579" s="12"/>
      <c r="AC1579" s="12"/>
      <c r="AD1579" s="12"/>
    </row>
    <row r="1580" spans="1:30" x14ac:dyDescent="0.35">
      <c r="A1580" s="20"/>
      <c r="B1580" s="22"/>
      <c r="C1580" s="25"/>
      <c r="D1580" s="26"/>
      <c r="E1580" s="24"/>
      <c r="F1580" s="24"/>
      <c r="G1580" s="24"/>
      <c r="H1580" s="24"/>
      <c r="I1580" s="24"/>
      <c r="J1580" s="24"/>
      <c r="K1580" s="24"/>
      <c r="L1580" s="24"/>
      <c r="M1580" s="24"/>
      <c r="N1580" s="24"/>
      <c r="O1580" s="24"/>
      <c r="P1580" s="24"/>
      <c r="Q1580" s="24"/>
      <c r="R1580" s="21"/>
      <c r="S1580" s="12"/>
      <c r="T1580" s="12"/>
      <c r="U1580" s="12"/>
      <c r="V1580" s="12"/>
      <c r="W1580" s="12"/>
      <c r="X1580" s="12"/>
      <c r="Y1580" s="12"/>
      <c r="Z1580" s="12"/>
      <c r="AA1580" s="12"/>
      <c r="AB1580" s="12"/>
      <c r="AC1580" s="12"/>
      <c r="AD1580" s="12"/>
    </row>
    <row r="1581" spans="1:30" x14ac:dyDescent="0.35">
      <c r="A1581" s="20"/>
      <c r="B1581" s="22"/>
      <c r="C1581" s="25"/>
      <c r="D1581" s="26"/>
      <c r="E1581" s="24"/>
      <c r="F1581" s="24"/>
      <c r="G1581" s="24"/>
      <c r="H1581" s="24"/>
      <c r="I1581" s="24"/>
      <c r="J1581" s="24"/>
      <c r="K1581" s="24"/>
      <c r="L1581" s="24"/>
      <c r="M1581" s="24"/>
      <c r="N1581" s="24"/>
      <c r="O1581" s="24"/>
      <c r="P1581" s="24"/>
      <c r="Q1581" s="24"/>
      <c r="R1581" s="21"/>
      <c r="S1581" s="12"/>
      <c r="T1581" s="12"/>
      <c r="U1581" s="12"/>
      <c r="V1581" s="12"/>
      <c r="W1581" s="12"/>
      <c r="X1581" s="12"/>
      <c r="Y1581" s="12"/>
      <c r="Z1581" s="12"/>
      <c r="AA1581" s="12"/>
      <c r="AB1581" s="12"/>
      <c r="AC1581" s="12"/>
      <c r="AD1581" s="12"/>
    </row>
    <row r="1582" spans="1:30" x14ac:dyDescent="0.35">
      <c r="A1582" s="20"/>
      <c r="B1582" s="22"/>
      <c r="C1582" s="25"/>
      <c r="D1582" s="26"/>
      <c r="E1582" s="24"/>
      <c r="F1582" s="24"/>
      <c r="G1582" s="24"/>
      <c r="H1582" s="24"/>
      <c r="I1582" s="24"/>
      <c r="J1582" s="24"/>
      <c r="K1582" s="24"/>
      <c r="L1582" s="24"/>
      <c r="M1582" s="24"/>
      <c r="N1582" s="24"/>
      <c r="O1582" s="24"/>
      <c r="P1582" s="24"/>
      <c r="Q1582" s="24"/>
      <c r="R1582" s="21"/>
      <c r="S1582" s="12"/>
      <c r="T1582" s="12"/>
      <c r="U1582" s="12"/>
      <c r="V1582" s="12"/>
      <c r="W1582" s="12"/>
      <c r="X1582" s="12"/>
      <c r="Y1582" s="12"/>
      <c r="Z1582" s="12"/>
      <c r="AA1582" s="12"/>
      <c r="AB1582" s="12"/>
      <c r="AC1582" s="12"/>
      <c r="AD1582" s="12"/>
    </row>
    <row r="1583" spans="1:30" x14ac:dyDescent="0.35">
      <c r="A1583" s="20"/>
      <c r="B1583" s="22"/>
      <c r="C1583" s="25"/>
      <c r="D1583" s="26"/>
      <c r="E1583" s="24"/>
      <c r="F1583" s="24"/>
      <c r="G1583" s="24"/>
      <c r="H1583" s="24"/>
      <c r="I1583" s="24"/>
      <c r="J1583" s="24"/>
      <c r="K1583" s="24"/>
      <c r="L1583" s="24"/>
      <c r="M1583" s="24"/>
      <c r="N1583" s="24"/>
      <c r="O1583" s="24"/>
      <c r="P1583" s="24"/>
      <c r="Q1583" s="24"/>
      <c r="R1583" s="21"/>
      <c r="S1583" s="12"/>
      <c r="T1583" s="12"/>
      <c r="U1583" s="12"/>
      <c r="V1583" s="12"/>
      <c r="W1583" s="12"/>
      <c r="X1583" s="12"/>
      <c r="Y1583" s="12"/>
      <c r="Z1583" s="12"/>
      <c r="AA1583" s="12"/>
      <c r="AB1583" s="12"/>
      <c r="AC1583" s="12"/>
      <c r="AD1583" s="12"/>
    </row>
    <row r="1584" spans="1:30" x14ac:dyDescent="0.35">
      <c r="A1584" s="20"/>
      <c r="B1584" s="22"/>
      <c r="C1584" s="25"/>
      <c r="D1584" s="26"/>
      <c r="E1584" s="24"/>
      <c r="F1584" s="24"/>
      <c r="G1584" s="24"/>
      <c r="H1584" s="24"/>
      <c r="I1584" s="24"/>
      <c r="J1584" s="24"/>
      <c r="K1584" s="24"/>
      <c r="L1584" s="24"/>
      <c r="M1584" s="24"/>
      <c r="N1584" s="24"/>
      <c r="O1584" s="24"/>
      <c r="P1584" s="24"/>
      <c r="Q1584" s="24"/>
      <c r="R1584" s="21"/>
      <c r="S1584" s="12"/>
      <c r="T1584" s="12"/>
      <c r="U1584" s="12"/>
      <c r="V1584" s="12"/>
      <c r="W1584" s="12"/>
      <c r="X1584" s="12"/>
      <c r="Y1584" s="12"/>
      <c r="Z1584" s="12"/>
      <c r="AA1584" s="12"/>
      <c r="AB1584" s="12"/>
      <c r="AC1584" s="12"/>
      <c r="AD1584" s="12"/>
    </row>
    <row r="1585" spans="1:30" x14ac:dyDescent="0.35">
      <c r="A1585" s="20"/>
      <c r="B1585" s="22"/>
      <c r="C1585" s="25"/>
      <c r="D1585" s="26"/>
      <c r="E1585" s="24"/>
      <c r="F1585" s="24"/>
      <c r="G1585" s="24"/>
      <c r="H1585" s="24"/>
      <c r="I1585" s="24"/>
      <c r="J1585" s="24"/>
      <c r="K1585" s="24"/>
      <c r="L1585" s="24"/>
      <c r="M1585" s="24"/>
      <c r="N1585" s="24"/>
      <c r="O1585" s="24"/>
      <c r="P1585" s="24"/>
      <c r="Q1585" s="24"/>
      <c r="R1585" s="21"/>
      <c r="S1585" s="12"/>
      <c r="T1585" s="12"/>
      <c r="U1585" s="12"/>
      <c r="V1585" s="12"/>
      <c r="W1585" s="12"/>
      <c r="X1585" s="12"/>
      <c r="Y1585" s="12"/>
      <c r="Z1585" s="12"/>
      <c r="AA1585" s="12"/>
      <c r="AB1585" s="12"/>
      <c r="AC1585" s="12"/>
      <c r="AD1585" s="12"/>
    </row>
    <row r="1586" spans="1:30" x14ac:dyDescent="0.35">
      <c r="A1586" s="20"/>
      <c r="B1586" s="22"/>
      <c r="C1586" s="25"/>
      <c r="D1586" s="26"/>
      <c r="E1586" s="24"/>
      <c r="F1586" s="24"/>
      <c r="G1586" s="24"/>
      <c r="H1586" s="24"/>
      <c r="I1586" s="24"/>
      <c r="J1586" s="24"/>
      <c r="K1586" s="24"/>
      <c r="L1586" s="24"/>
      <c r="M1586" s="24"/>
      <c r="N1586" s="24"/>
      <c r="O1586" s="24"/>
      <c r="P1586" s="24"/>
      <c r="Q1586" s="24"/>
      <c r="R1586" s="21"/>
      <c r="S1586" s="12"/>
      <c r="T1586" s="12"/>
      <c r="U1586" s="12"/>
      <c r="V1586" s="12"/>
      <c r="W1586" s="12"/>
      <c r="X1586" s="12"/>
      <c r="Y1586" s="12"/>
      <c r="Z1586" s="12"/>
      <c r="AA1586" s="12"/>
      <c r="AB1586" s="12"/>
      <c r="AC1586" s="12"/>
      <c r="AD1586" s="12"/>
    </row>
    <row r="1587" spans="1:30" x14ac:dyDescent="0.35">
      <c r="A1587" s="20"/>
      <c r="B1587" s="22"/>
      <c r="C1587" s="25"/>
      <c r="D1587" s="26"/>
      <c r="E1587" s="24"/>
      <c r="F1587" s="24"/>
      <c r="G1587" s="24"/>
      <c r="H1587" s="24"/>
      <c r="I1587" s="24"/>
      <c r="J1587" s="24"/>
      <c r="K1587" s="24"/>
      <c r="L1587" s="24"/>
      <c r="M1587" s="24"/>
      <c r="N1587" s="24"/>
      <c r="O1587" s="24"/>
      <c r="P1587" s="24"/>
      <c r="Q1587" s="24"/>
      <c r="R1587" s="21"/>
      <c r="S1587" s="12"/>
      <c r="T1587" s="12"/>
      <c r="U1587" s="12"/>
      <c r="V1587" s="12"/>
      <c r="W1587" s="12"/>
      <c r="X1587" s="12"/>
      <c r="Y1587" s="12"/>
      <c r="Z1587" s="12"/>
      <c r="AA1587" s="12"/>
      <c r="AB1587" s="12"/>
      <c r="AC1587" s="12"/>
      <c r="AD1587" s="12"/>
    </row>
    <row r="1588" spans="1:30" x14ac:dyDescent="0.35">
      <c r="A1588" s="20"/>
      <c r="B1588" s="22"/>
      <c r="C1588" s="25"/>
      <c r="D1588" s="26"/>
      <c r="E1588" s="24"/>
      <c r="F1588" s="24"/>
      <c r="G1588" s="24"/>
      <c r="H1588" s="24"/>
      <c r="I1588" s="24"/>
      <c r="J1588" s="24"/>
      <c r="K1588" s="24"/>
      <c r="L1588" s="24"/>
      <c r="M1588" s="24"/>
      <c r="N1588" s="24"/>
      <c r="O1588" s="24"/>
      <c r="P1588" s="24"/>
      <c r="Q1588" s="24"/>
      <c r="R1588" s="21"/>
      <c r="S1588" s="12"/>
      <c r="T1588" s="12"/>
      <c r="U1588" s="12"/>
      <c r="V1588" s="12"/>
      <c r="W1588" s="12"/>
      <c r="X1588" s="12"/>
      <c r="Y1588" s="12"/>
      <c r="Z1588" s="12"/>
      <c r="AA1588" s="12"/>
      <c r="AB1588" s="12"/>
      <c r="AC1588" s="12"/>
      <c r="AD1588" s="12"/>
    </row>
    <row r="1589" spans="1:30" x14ac:dyDescent="0.35">
      <c r="A1589" s="20"/>
      <c r="B1589" s="22"/>
      <c r="C1589" s="25"/>
      <c r="D1589" s="26"/>
      <c r="E1589" s="24"/>
      <c r="F1589" s="24"/>
      <c r="G1589" s="24"/>
      <c r="H1589" s="24"/>
      <c r="I1589" s="24"/>
      <c r="J1589" s="24"/>
      <c r="K1589" s="24"/>
      <c r="L1589" s="24"/>
      <c r="M1589" s="24"/>
      <c r="N1589" s="24"/>
      <c r="O1589" s="24"/>
      <c r="P1589" s="24"/>
      <c r="Q1589" s="24"/>
      <c r="R1589" s="21"/>
      <c r="S1589" s="12"/>
      <c r="T1589" s="12"/>
      <c r="U1589" s="12"/>
      <c r="V1589" s="12"/>
      <c r="W1589" s="12"/>
      <c r="X1589" s="12"/>
      <c r="Y1589" s="12"/>
      <c r="Z1589" s="12"/>
      <c r="AA1589" s="12"/>
      <c r="AB1589" s="12"/>
      <c r="AC1589" s="12"/>
      <c r="AD1589" s="12"/>
    </row>
    <row r="1590" spans="1:30" x14ac:dyDescent="0.35">
      <c r="A1590" s="20"/>
      <c r="B1590" s="22"/>
      <c r="C1590" s="25"/>
      <c r="D1590" s="26"/>
      <c r="E1590" s="24"/>
      <c r="F1590" s="24"/>
      <c r="G1590" s="24"/>
      <c r="H1590" s="24"/>
      <c r="I1590" s="24"/>
      <c r="J1590" s="24"/>
      <c r="K1590" s="24"/>
      <c r="L1590" s="24"/>
      <c r="M1590" s="24"/>
      <c r="N1590" s="24"/>
      <c r="O1590" s="24"/>
      <c r="P1590" s="24"/>
      <c r="Q1590" s="24"/>
      <c r="R1590" s="21"/>
      <c r="S1590" s="12"/>
      <c r="T1590" s="12"/>
      <c r="U1590" s="12"/>
      <c r="V1590" s="12"/>
      <c r="W1590" s="12"/>
      <c r="X1590" s="12"/>
      <c r="Y1590" s="12"/>
      <c r="Z1590" s="12"/>
      <c r="AA1590" s="12"/>
      <c r="AB1590" s="12"/>
      <c r="AC1590" s="12"/>
      <c r="AD1590" s="12"/>
    </row>
    <row r="1591" spans="1:30" x14ac:dyDescent="0.35">
      <c r="A1591" s="20"/>
      <c r="B1591" s="22"/>
      <c r="C1591" s="25"/>
      <c r="D1591" s="26"/>
      <c r="E1591" s="24"/>
      <c r="F1591" s="24"/>
      <c r="G1591" s="24"/>
      <c r="H1591" s="24"/>
      <c r="I1591" s="24"/>
      <c r="J1591" s="24"/>
      <c r="K1591" s="24"/>
      <c r="L1591" s="24"/>
      <c r="M1591" s="24"/>
      <c r="N1591" s="24"/>
      <c r="O1591" s="24"/>
      <c r="P1591" s="24"/>
      <c r="Q1591" s="24"/>
      <c r="R1591" s="21"/>
      <c r="S1591" s="12"/>
      <c r="T1591" s="12"/>
      <c r="U1591" s="12"/>
      <c r="V1591" s="12"/>
      <c r="W1591" s="12"/>
      <c r="X1591" s="12"/>
      <c r="Y1591" s="12"/>
      <c r="Z1591" s="12"/>
      <c r="AA1591" s="12"/>
      <c r="AB1591" s="12"/>
      <c r="AC1591" s="12"/>
      <c r="AD1591" s="12"/>
    </row>
    <row r="1592" spans="1:30" x14ac:dyDescent="0.35">
      <c r="A1592" s="20"/>
      <c r="B1592" s="22"/>
      <c r="C1592" s="25"/>
      <c r="D1592" s="26"/>
      <c r="E1592" s="24"/>
      <c r="F1592" s="24"/>
      <c r="G1592" s="24"/>
      <c r="H1592" s="24"/>
      <c r="I1592" s="24"/>
      <c r="J1592" s="24"/>
      <c r="K1592" s="24"/>
      <c r="L1592" s="24"/>
      <c r="M1592" s="24"/>
      <c r="N1592" s="24"/>
      <c r="O1592" s="24"/>
      <c r="P1592" s="24"/>
      <c r="Q1592" s="24"/>
      <c r="R1592" s="14"/>
      <c r="S1592" s="12"/>
      <c r="T1592" s="12"/>
      <c r="U1592" s="12"/>
      <c r="V1592" s="12"/>
      <c r="W1592" s="12"/>
      <c r="X1592" s="12"/>
      <c r="Y1592" s="12"/>
      <c r="Z1592" s="12"/>
      <c r="AA1592" s="12"/>
      <c r="AB1592" s="12"/>
      <c r="AC1592" s="12"/>
      <c r="AD1592" s="12"/>
    </row>
    <row r="1593" spans="1:30" x14ac:dyDescent="0.35">
      <c r="A1593" s="20"/>
      <c r="B1593" s="22"/>
      <c r="C1593" s="25"/>
      <c r="D1593" s="26"/>
      <c r="E1593" s="24"/>
      <c r="F1593" s="24"/>
      <c r="G1593" s="24"/>
      <c r="H1593" s="24"/>
      <c r="I1593" s="24"/>
      <c r="J1593" s="24"/>
      <c r="K1593" s="24"/>
      <c r="L1593" s="24"/>
      <c r="M1593" s="24"/>
      <c r="N1593" s="24"/>
      <c r="O1593" s="24"/>
      <c r="P1593" s="24"/>
      <c r="Q1593" s="24"/>
      <c r="R1593" s="14"/>
      <c r="S1593" s="12"/>
      <c r="T1593" s="12"/>
      <c r="U1593" s="12"/>
      <c r="V1593" s="12"/>
      <c r="W1593" s="12"/>
      <c r="X1593" s="12"/>
      <c r="Y1593" s="12"/>
      <c r="Z1593" s="12"/>
      <c r="AA1593" s="12"/>
      <c r="AB1593" s="12"/>
      <c r="AC1593" s="12"/>
      <c r="AD1593" s="12"/>
    </row>
    <row r="1594" spans="1:30" x14ac:dyDescent="0.35">
      <c r="A1594" s="20"/>
      <c r="B1594" s="22"/>
      <c r="C1594" s="25"/>
      <c r="D1594" s="26"/>
      <c r="E1594" s="24"/>
      <c r="F1594" s="24"/>
      <c r="G1594" s="24"/>
      <c r="H1594" s="24"/>
      <c r="I1594" s="24"/>
      <c r="J1594" s="24"/>
      <c r="K1594" s="24"/>
      <c r="L1594" s="24"/>
      <c r="M1594" s="24"/>
      <c r="N1594" s="24"/>
      <c r="O1594" s="24"/>
      <c r="P1594" s="24"/>
      <c r="Q1594" s="24"/>
      <c r="R1594" s="14"/>
      <c r="S1594" s="12"/>
      <c r="T1594" s="12"/>
      <c r="U1594" s="12"/>
      <c r="V1594" s="12"/>
      <c r="W1594" s="12"/>
      <c r="X1594" s="12"/>
      <c r="Y1594" s="12"/>
      <c r="Z1594" s="12"/>
      <c r="AA1594" s="12"/>
      <c r="AB1594" s="12"/>
      <c r="AC1594" s="12"/>
      <c r="AD1594" s="12"/>
    </row>
    <row r="1595" spans="1:30" x14ac:dyDescent="0.35">
      <c r="A1595" s="20"/>
      <c r="B1595" s="22"/>
      <c r="C1595" s="25"/>
      <c r="D1595" s="26"/>
      <c r="E1595" s="24"/>
      <c r="F1595" s="24"/>
      <c r="G1595" s="24"/>
      <c r="H1595" s="24"/>
      <c r="I1595" s="24"/>
      <c r="J1595" s="24"/>
      <c r="K1595" s="24"/>
      <c r="L1595" s="24"/>
      <c r="M1595" s="24"/>
      <c r="N1595" s="24"/>
      <c r="O1595" s="24"/>
      <c r="P1595" s="24"/>
      <c r="Q1595" s="24"/>
      <c r="R1595" s="14"/>
      <c r="S1595" s="12"/>
      <c r="T1595" s="12"/>
      <c r="U1595" s="12"/>
      <c r="V1595" s="12"/>
      <c r="W1595" s="12"/>
      <c r="X1595" s="12"/>
      <c r="Y1595" s="12"/>
      <c r="Z1595" s="12"/>
      <c r="AA1595" s="12"/>
      <c r="AB1595" s="12"/>
      <c r="AC1595" s="12"/>
      <c r="AD1595" s="12"/>
    </row>
    <row r="1596" spans="1:30" x14ac:dyDescent="0.35">
      <c r="A1596" s="20"/>
      <c r="B1596" s="22"/>
      <c r="C1596" s="25"/>
      <c r="D1596" s="26"/>
      <c r="E1596" s="24"/>
      <c r="F1596" s="24"/>
      <c r="G1596" s="24"/>
      <c r="H1596" s="24"/>
      <c r="I1596" s="24"/>
      <c r="J1596" s="24"/>
      <c r="K1596" s="24"/>
      <c r="L1596" s="24"/>
      <c r="M1596" s="24"/>
      <c r="N1596" s="24"/>
      <c r="O1596" s="24"/>
      <c r="P1596" s="24"/>
      <c r="Q1596" s="24"/>
      <c r="R1596" s="14"/>
      <c r="S1596" s="12"/>
      <c r="T1596" s="12"/>
      <c r="U1596" s="12"/>
      <c r="V1596" s="12"/>
      <c r="W1596" s="12"/>
      <c r="X1596" s="12"/>
      <c r="Y1596" s="12"/>
      <c r="Z1596" s="12"/>
      <c r="AA1596" s="12"/>
      <c r="AB1596" s="12"/>
      <c r="AC1596" s="12"/>
      <c r="AD1596" s="12"/>
    </row>
    <row r="1597" spans="1:30" x14ac:dyDescent="0.35">
      <c r="A1597" s="20"/>
      <c r="B1597" s="22"/>
      <c r="C1597" s="25"/>
      <c r="D1597" s="26"/>
      <c r="E1597" s="24"/>
      <c r="F1597" s="24"/>
      <c r="G1597" s="24"/>
      <c r="H1597" s="24"/>
      <c r="I1597" s="24"/>
      <c r="J1597" s="24"/>
      <c r="K1597" s="24"/>
      <c r="L1597" s="24"/>
      <c r="M1597" s="24"/>
      <c r="N1597" s="24"/>
      <c r="O1597" s="24"/>
      <c r="P1597" s="24"/>
      <c r="Q1597" s="24"/>
      <c r="R1597" s="14"/>
      <c r="S1597" s="12"/>
      <c r="T1597" s="12"/>
      <c r="U1597" s="12"/>
      <c r="V1597" s="12"/>
      <c r="W1597" s="12"/>
      <c r="X1597" s="12"/>
      <c r="Y1597" s="12"/>
      <c r="Z1597" s="12"/>
      <c r="AA1597" s="12"/>
      <c r="AB1597" s="12"/>
      <c r="AC1597" s="12"/>
      <c r="AD1597" s="12"/>
    </row>
    <row r="1598" spans="1:30" x14ac:dyDescent="0.35">
      <c r="A1598" s="20"/>
      <c r="B1598" s="22"/>
      <c r="C1598" s="25"/>
      <c r="D1598" s="26"/>
      <c r="E1598" s="24"/>
      <c r="F1598" s="24"/>
      <c r="G1598" s="24"/>
      <c r="H1598" s="24"/>
      <c r="I1598" s="24"/>
      <c r="J1598" s="24"/>
      <c r="K1598" s="24"/>
      <c r="L1598" s="24"/>
      <c r="M1598" s="24"/>
      <c r="N1598" s="24"/>
      <c r="O1598" s="24"/>
      <c r="P1598" s="24"/>
      <c r="Q1598" s="24"/>
      <c r="R1598" s="14"/>
      <c r="S1598" s="12"/>
      <c r="T1598" s="12"/>
      <c r="U1598" s="12"/>
      <c r="V1598" s="12"/>
      <c r="W1598" s="12"/>
      <c r="X1598" s="12"/>
      <c r="Y1598" s="12"/>
      <c r="Z1598" s="12"/>
      <c r="AA1598" s="12"/>
      <c r="AB1598" s="12"/>
      <c r="AC1598" s="12"/>
      <c r="AD1598" s="12"/>
    </row>
    <row r="1599" spans="1:30" x14ac:dyDescent="0.35">
      <c r="A1599" s="20"/>
      <c r="B1599" s="22"/>
      <c r="C1599" s="25"/>
      <c r="D1599" s="26"/>
      <c r="E1599" s="24"/>
      <c r="F1599" s="24"/>
      <c r="G1599" s="24"/>
      <c r="H1599" s="24"/>
      <c r="I1599" s="24"/>
      <c r="J1599" s="24"/>
      <c r="K1599" s="24"/>
      <c r="L1599" s="24"/>
      <c r="M1599" s="24"/>
      <c r="N1599" s="24"/>
      <c r="O1599" s="24"/>
      <c r="P1599" s="24"/>
      <c r="Q1599" s="24"/>
      <c r="S1599" s="12"/>
      <c r="T1599" s="12"/>
      <c r="U1599" s="12"/>
      <c r="V1599" s="12"/>
      <c r="W1599" s="12"/>
      <c r="X1599" s="12"/>
      <c r="Y1599" s="12"/>
      <c r="Z1599" s="12"/>
      <c r="AA1599" s="12"/>
      <c r="AB1599" s="12"/>
      <c r="AC1599" s="12"/>
      <c r="AD1599" s="12"/>
    </row>
    <row r="1600" spans="1:30" x14ac:dyDescent="0.35">
      <c r="A1600" s="20"/>
      <c r="B1600" s="22"/>
      <c r="C1600" s="25"/>
      <c r="D1600" s="26"/>
      <c r="E1600" s="24"/>
      <c r="F1600" s="24"/>
      <c r="G1600" s="24"/>
      <c r="H1600" s="24"/>
      <c r="I1600" s="24"/>
      <c r="J1600" s="24"/>
      <c r="K1600" s="24"/>
      <c r="L1600" s="24"/>
      <c r="M1600" s="24"/>
      <c r="N1600" s="24"/>
      <c r="O1600" s="24"/>
      <c r="P1600" s="24"/>
      <c r="Q1600" s="24"/>
      <c r="S1600" s="12"/>
      <c r="T1600" s="12"/>
      <c r="U1600" s="12"/>
      <c r="V1600" s="12"/>
      <c r="W1600" s="12"/>
      <c r="X1600" s="12"/>
      <c r="Y1600" s="12"/>
      <c r="Z1600" s="12"/>
      <c r="AA1600" s="12"/>
      <c r="AB1600" s="12"/>
      <c r="AC1600" s="12"/>
      <c r="AD1600" s="12"/>
    </row>
    <row r="1601" spans="1:30" x14ac:dyDescent="0.35">
      <c r="A1601" s="20"/>
      <c r="B1601" s="22"/>
      <c r="C1601" s="25"/>
      <c r="D1601" s="26"/>
      <c r="E1601" s="24"/>
      <c r="F1601" s="24"/>
      <c r="G1601" s="24"/>
      <c r="H1601" s="24"/>
      <c r="I1601" s="24"/>
      <c r="J1601" s="24"/>
      <c r="K1601" s="24"/>
      <c r="L1601" s="24"/>
      <c r="M1601" s="24"/>
      <c r="N1601" s="24"/>
      <c r="O1601" s="24"/>
      <c r="P1601" s="24"/>
      <c r="Q1601" s="24"/>
      <c r="S1601" s="12"/>
      <c r="T1601" s="12"/>
      <c r="U1601" s="12"/>
      <c r="V1601" s="12"/>
      <c r="W1601" s="12"/>
      <c r="X1601" s="12"/>
      <c r="Y1601" s="12"/>
      <c r="Z1601" s="12"/>
      <c r="AA1601" s="12"/>
      <c r="AB1601" s="12"/>
      <c r="AC1601" s="12"/>
      <c r="AD1601" s="12"/>
    </row>
    <row r="1602" spans="1:30" x14ac:dyDescent="0.35">
      <c r="A1602" s="20"/>
      <c r="B1602" s="22"/>
      <c r="C1602" s="25"/>
      <c r="D1602" s="26"/>
      <c r="E1602" s="24"/>
      <c r="F1602" s="24"/>
      <c r="G1602" s="24"/>
      <c r="H1602" s="24"/>
      <c r="I1602" s="24"/>
      <c r="J1602" s="24"/>
      <c r="K1602" s="24"/>
      <c r="L1602" s="24"/>
      <c r="M1602" s="24"/>
      <c r="N1602" s="24"/>
      <c r="O1602" s="24"/>
      <c r="P1602" s="24"/>
      <c r="Q1602" s="24"/>
      <c r="S1602" s="12"/>
      <c r="T1602" s="12"/>
      <c r="U1602" s="12"/>
      <c r="V1602" s="12"/>
      <c r="W1602" s="12"/>
      <c r="X1602" s="12"/>
      <c r="Y1602" s="12"/>
      <c r="Z1602" s="12"/>
      <c r="AA1602" s="12"/>
      <c r="AB1602" s="12"/>
      <c r="AC1602" s="12"/>
      <c r="AD1602" s="12"/>
    </row>
    <row r="1603" spans="1:30" x14ac:dyDescent="0.35">
      <c r="A1603" s="20"/>
      <c r="B1603" s="22"/>
      <c r="C1603" s="25"/>
      <c r="D1603" s="26"/>
      <c r="E1603" s="24"/>
      <c r="F1603" s="24"/>
      <c r="G1603" s="24"/>
      <c r="H1603" s="24"/>
      <c r="I1603" s="24"/>
      <c r="J1603" s="24"/>
      <c r="K1603" s="24"/>
      <c r="L1603" s="24"/>
      <c r="M1603" s="24"/>
      <c r="N1603" s="24"/>
      <c r="O1603" s="24"/>
      <c r="P1603" s="24"/>
      <c r="Q1603" s="24"/>
      <c r="R1603" s="5"/>
      <c r="S1603" s="12"/>
      <c r="T1603" s="12"/>
      <c r="U1603" s="12"/>
      <c r="V1603" s="12"/>
      <c r="W1603" s="12"/>
      <c r="X1603" s="12"/>
      <c r="Y1603" s="12"/>
      <c r="Z1603" s="12"/>
      <c r="AA1603" s="12"/>
      <c r="AB1603" s="12"/>
      <c r="AC1603" s="12"/>
      <c r="AD1603" s="12"/>
    </row>
    <row r="1604" spans="1:30" x14ac:dyDescent="0.35">
      <c r="A1604" s="20"/>
      <c r="B1604" s="22"/>
      <c r="C1604" s="25"/>
      <c r="D1604" s="26"/>
      <c r="E1604" s="24"/>
      <c r="F1604" s="24"/>
      <c r="G1604" s="24"/>
      <c r="H1604" s="24"/>
      <c r="I1604" s="24"/>
      <c r="J1604" s="24"/>
      <c r="K1604" s="24"/>
      <c r="L1604" s="24"/>
      <c r="M1604" s="24"/>
      <c r="N1604" s="24"/>
      <c r="O1604" s="24"/>
      <c r="P1604" s="24"/>
      <c r="Q1604" s="24"/>
      <c r="R1604" s="21"/>
      <c r="S1604" s="12"/>
      <c r="T1604" s="12"/>
      <c r="U1604" s="12"/>
      <c r="V1604" s="12"/>
      <c r="W1604" s="12"/>
      <c r="X1604" s="12"/>
      <c r="Y1604" s="12"/>
      <c r="Z1604" s="12"/>
      <c r="AA1604" s="12"/>
      <c r="AB1604" s="12"/>
      <c r="AC1604" s="12"/>
      <c r="AD1604" s="12"/>
    </row>
    <row r="1605" spans="1:30" x14ac:dyDescent="0.35">
      <c r="A1605" s="20"/>
      <c r="B1605" s="22"/>
      <c r="C1605" s="25"/>
      <c r="D1605" s="26"/>
      <c r="E1605" s="24"/>
      <c r="F1605" s="24"/>
      <c r="G1605" s="24"/>
      <c r="H1605" s="24"/>
      <c r="I1605" s="24"/>
      <c r="J1605" s="24"/>
      <c r="K1605" s="24"/>
      <c r="L1605" s="24"/>
      <c r="M1605" s="24"/>
      <c r="N1605" s="24"/>
      <c r="O1605" s="24"/>
      <c r="P1605" s="24"/>
      <c r="Q1605" s="24"/>
      <c r="R1605" s="21"/>
      <c r="S1605" s="12"/>
      <c r="T1605" s="12"/>
      <c r="U1605" s="12"/>
      <c r="V1605" s="12"/>
      <c r="W1605" s="12"/>
      <c r="X1605" s="12"/>
      <c r="Y1605" s="12"/>
      <c r="Z1605" s="12"/>
      <c r="AA1605" s="12"/>
      <c r="AB1605" s="12"/>
      <c r="AC1605" s="12"/>
      <c r="AD1605" s="12"/>
    </row>
    <row r="1606" spans="1:30" x14ac:dyDescent="0.35">
      <c r="A1606" s="20"/>
      <c r="B1606" s="22"/>
      <c r="C1606" s="25"/>
      <c r="D1606" s="26"/>
      <c r="E1606" s="24"/>
      <c r="F1606" s="24"/>
      <c r="G1606" s="24"/>
      <c r="H1606" s="24"/>
      <c r="I1606" s="24"/>
      <c r="J1606" s="24"/>
      <c r="K1606" s="24"/>
      <c r="L1606" s="24"/>
      <c r="M1606" s="24"/>
      <c r="N1606" s="24"/>
      <c r="O1606" s="24"/>
      <c r="P1606" s="24"/>
      <c r="Q1606" s="24"/>
      <c r="R1606" s="21"/>
      <c r="S1606" s="12"/>
      <c r="T1606" s="12"/>
      <c r="U1606" s="12"/>
      <c r="V1606" s="12"/>
      <c r="W1606" s="12"/>
      <c r="X1606" s="12"/>
      <c r="Y1606" s="12"/>
      <c r="Z1606" s="12"/>
      <c r="AA1606" s="12"/>
      <c r="AB1606" s="12"/>
      <c r="AC1606" s="12"/>
      <c r="AD1606" s="12"/>
    </row>
    <row r="1607" spans="1:30" x14ac:dyDescent="0.35">
      <c r="A1607" s="20"/>
      <c r="B1607" s="22"/>
      <c r="C1607" s="25"/>
      <c r="D1607" s="26"/>
      <c r="E1607" s="24"/>
      <c r="F1607" s="24"/>
      <c r="G1607" s="24"/>
      <c r="H1607" s="24"/>
      <c r="I1607" s="24"/>
      <c r="J1607" s="24"/>
      <c r="K1607" s="24"/>
      <c r="L1607" s="24"/>
      <c r="M1607" s="24"/>
      <c r="N1607" s="24"/>
      <c r="O1607" s="24"/>
      <c r="P1607" s="24"/>
      <c r="Q1607" s="24"/>
      <c r="R1607" s="21"/>
      <c r="S1607" s="12"/>
      <c r="T1607" s="12"/>
      <c r="U1607" s="12"/>
      <c r="V1607" s="12"/>
      <c r="W1607" s="12"/>
      <c r="X1607" s="12"/>
      <c r="Y1607" s="12"/>
      <c r="Z1607" s="12"/>
      <c r="AA1607" s="12"/>
      <c r="AB1607" s="12"/>
      <c r="AC1607" s="12"/>
      <c r="AD1607" s="12"/>
    </row>
    <row r="1608" spans="1:30" x14ac:dyDescent="0.35">
      <c r="A1608" s="20"/>
      <c r="B1608" s="22"/>
      <c r="C1608" s="25"/>
      <c r="D1608" s="26"/>
      <c r="E1608" s="24"/>
      <c r="F1608" s="24"/>
      <c r="G1608" s="24"/>
      <c r="H1608" s="24"/>
      <c r="I1608" s="24"/>
      <c r="J1608" s="24"/>
      <c r="K1608" s="24"/>
      <c r="L1608" s="24"/>
      <c r="M1608" s="24"/>
      <c r="N1608" s="24"/>
      <c r="O1608" s="24"/>
      <c r="P1608" s="24"/>
      <c r="Q1608" s="24"/>
      <c r="R1608" s="21"/>
      <c r="S1608" s="12"/>
      <c r="T1608" s="12"/>
      <c r="U1608" s="12"/>
      <c r="V1608" s="12"/>
      <c r="W1608" s="12"/>
      <c r="X1608" s="12"/>
      <c r="Y1608" s="12"/>
      <c r="Z1608" s="12"/>
      <c r="AA1608" s="12"/>
      <c r="AB1608" s="12"/>
      <c r="AC1608" s="12"/>
      <c r="AD1608" s="12"/>
    </row>
    <row r="1609" spans="1:30" x14ac:dyDescent="0.35">
      <c r="A1609" s="20"/>
      <c r="B1609" s="22"/>
      <c r="C1609" s="25"/>
      <c r="D1609" s="26"/>
      <c r="E1609" s="24"/>
      <c r="F1609" s="24"/>
      <c r="G1609" s="24"/>
      <c r="H1609" s="24"/>
      <c r="I1609" s="24"/>
      <c r="J1609" s="24"/>
      <c r="K1609" s="24"/>
      <c r="L1609" s="24"/>
      <c r="M1609" s="24"/>
      <c r="N1609" s="24"/>
      <c r="O1609" s="24"/>
      <c r="P1609" s="24"/>
      <c r="Q1609" s="24"/>
      <c r="R1609" s="21"/>
      <c r="S1609" s="12"/>
      <c r="T1609" s="12"/>
      <c r="U1609" s="12"/>
      <c r="V1609" s="12"/>
      <c r="W1609" s="12"/>
      <c r="X1609" s="12"/>
      <c r="Y1609" s="12"/>
      <c r="Z1609" s="12"/>
      <c r="AA1609" s="12"/>
      <c r="AB1609" s="12"/>
      <c r="AC1609" s="12"/>
      <c r="AD1609" s="12"/>
    </row>
    <row r="1610" spans="1:30" x14ac:dyDescent="0.35">
      <c r="A1610" s="20"/>
      <c r="B1610" s="22"/>
      <c r="C1610" s="25"/>
      <c r="D1610" s="26"/>
      <c r="E1610" s="24"/>
      <c r="F1610" s="24"/>
      <c r="G1610" s="24"/>
      <c r="H1610" s="24"/>
      <c r="I1610" s="24"/>
      <c r="J1610" s="24"/>
      <c r="K1610" s="24"/>
      <c r="L1610" s="24"/>
      <c r="M1610" s="24"/>
      <c r="N1610" s="24"/>
      <c r="O1610" s="24"/>
      <c r="P1610" s="24"/>
      <c r="Q1610" s="24"/>
      <c r="R1610" s="21"/>
      <c r="S1610" s="12"/>
      <c r="T1610" s="12"/>
      <c r="U1610" s="12"/>
      <c r="V1610" s="12"/>
      <c r="W1610" s="12"/>
      <c r="X1610" s="12"/>
      <c r="Y1610" s="12"/>
      <c r="Z1610" s="12"/>
      <c r="AA1610" s="12"/>
      <c r="AB1610" s="12"/>
      <c r="AC1610" s="12"/>
      <c r="AD1610" s="12"/>
    </row>
    <row r="1611" spans="1:30" x14ac:dyDescent="0.35">
      <c r="A1611" s="20"/>
      <c r="B1611" s="22"/>
      <c r="C1611" s="25"/>
      <c r="D1611" s="26"/>
      <c r="E1611" s="24"/>
      <c r="F1611" s="24"/>
      <c r="G1611" s="24"/>
      <c r="H1611" s="24"/>
      <c r="I1611" s="24"/>
      <c r="J1611" s="24"/>
      <c r="K1611" s="24"/>
      <c r="L1611" s="24"/>
      <c r="M1611" s="24"/>
      <c r="N1611" s="24"/>
      <c r="O1611" s="24"/>
      <c r="P1611" s="24"/>
      <c r="Q1611" s="24"/>
      <c r="R1611" s="21"/>
      <c r="S1611" s="12"/>
      <c r="T1611" s="12"/>
      <c r="U1611" s="12"/>
      <c r="V1611" s="12"/>
      <c r="W1611" s="12"/>
      <c r="X1611" s="12"/>
      <c r="Y1611" s="12"/>
      <c r="Z1611" s="12"/>
      <c r="AA1611" s="12"/>
      <c r="AB1611" s="12"/>
      <c r="AC1611" s="12"/>
      <c r="AD1611" s="12"/>
    </row>
    <row r="1612" spans="1:30" x14ac:dyDescent="0.35">
      <c r="A1612" s="20"/>
      <c r="B1612" s="22"/>
      <c r="C1612" s="25"/>
      <c r="D1612" s="26"/>
      <c r="E1612" s="24"/>
      <c r="F1612" s="24"/>
      <c r="G1612" s="24"/>
      <c r="H1612" s="24"/>
      <c r="I1612" s="24"/>
      <c r="J1612" s="24"/>
      <c r="K1612" s="24"/>
      <c r="L1612" s="24"/>
      <c r="M1612" s="24"/>
      <c r="N1612" s="24"/>
      <c r="O1612" s="24"/>
      <c r="P1612" s="24"/>
      <c r="Q1612" s="24"/>
      <c r="R1612" s="21"/>
      <c r="S1612" s="12"/>
      <c r="T1612" s="12"/>
      <c r="U1612" s="12"/>
      <c r="V1612" s="12"/>
      <c r="W1612" s="12"/>
      <c r="X1612" s="12"/>
      <c r="Y1612" s="12"/>
      <c r="Z1612" s="12"/>
      <c r="AA1612" s="12"/>
      <c r="AB1612" s="12"/>
      <c r="AC1612" s="12"/>
      <c r="AD1612" s="12"/>
    </row>
    <row r="1613" spans="1:30" x14ac:dyDescent="0.35">
      <c r="A1613" s="20"/>
      <c r="B1613" s="22"/>
      <c r="C1613" s="25"/>
      <c r="D1613" s="26"/>
      <c r="E1613" s="24"/>
      <c r="F1613" s="24"/>
      <c r="G1613" s="24"/>
      <c r="H1613" s="24"/>
      <c r="I1613" s="24"/>
      <c r="J1613" s="24"/>
      <c r="K1613" s="24"/>
      <c r="L1613" s="24"/>
      <c r="M1613" s="24"/>
      <c r="N1613" s="24"/>
      <c r="O1613" s="24"/>
      <c r="P1613" s="24"/>
      <c r="Q1613" s="24"/>
      <c r="R1613" s="14"/>
      <c r="S1613" s="12"/>
      <c r="T1613" s="12"/>
      <c r="U1613" s="12"/>
      <c r="V1613" s="12"/>
      <c r="W1613" s="12"/>
      <c r="X1613" s="12"/>
      <c r="Y1613" s="12"/>
      <c r="Z1613" s="12"/>
      <c r="AA1613" s="12"/>
      <c r="AB1613" s="12"/>
      <c r="AC1613" s="12"/>
      <c r="AD1613" s="12"/>
    </row>
    <row r="1614" spans="1:30" x14ac:dyDescent="0.35">
      <c r="A1614" s="20"/>
      <c r="B1614" s="22"/>
      <c r="C1614" s="25"/>
      <c r="D1614" s="26"/>
      <c r="E1614" s="24"/>
      <c r="F1614" s="24"/>
      <c r="G1614" s="24"/>
      <c r="H1614" s="24"/>
      <c r="I1614" s="24"/>
      <c r="J1614" s="24"/>
      <c r="K1614" s="24"/>
      <c r="L1614" s="24"/>
      <c r="M1614" s="24"/>
      <c r="N1614" s="24"/>
      <c r="O1614" s="24"/>
      <c r="P1614" s="24"/>
      <c r="Q1614" s="24"/>
      <c r="R1614" s="14"/>
      <c r="S1614" s="12"/>
      <c r="T1614" s="12"/>
      <c r="U1614" s="12"/>
      <c r="V1614" s="12"/>
      <c r="W1614" s="12"/>
      <c r="X1614" s="12"/>
      <c r="Y1614" s="12"/>
      <c r="Z1614" s="12"/>
      <c r="AA1614" s="12"/>
      <c r="AB1614" s="12"/>
      <c r="AC1614" s="12"/>
      <c r="AD1614" s="12"/>
    </row>
    <row r="1615" spans="1:30" x14ac:dyDescent="0.35">
      <c r="A1615" s="20"/>
      <c r="B1615" s="22"/>
      <c r="C1615" s="25"/>
      <c r="D1615" s="26"/>
      <c r="E1615" s="24"/>
      <c r="F1615" s="24"/>
      <c r="G1615" s="24"/>
      <c r="H1615" s="24"/>
      <c r="I1615" s="24"/>
      <c r="J1615" s="24"/>
      <c r="K1615" s="24"/>
      <c r="L1615" s="24"/>
      <c r="M1615" s="24"/>
      <c r="N1615" s="24"/>
      <c r="O1615" s="24"/>
      <c r="P1615" s="24"/>
      <c r="Q1615" s="24"/>
      <c r="R1615" s="14"/>
      <c r="S1615" s="12"/>
      <c r="T1615" s="12"/>
      <c r="U1615" s="12"/>
      <c r="V1615" s="12"/>
      <c r="W1615" s="12"/>
      <c r="X1615" s="12"/>
      <c r="Y1615" s="12"/>
      <c r="Z1615" s="12"/>
      <c r="AA1615" s="12"/>
      <c r="AB1615" s="12"/>
      <c r="AC1615" s="12"/>
      <c r="AD1615" s="12"/>
    </row>
    <row r="1616" spans="1:30" x14ac:dyDescent="0.35">
      <c r="A1616" s="20"/>
      <c r="B1616" s="22"/>
      <c r="C1616" s="25"/>
      <c r="D1616" s="26"/>
      <c r="E1616" s="24"/>
      <c r="F1616" s="24"/>
      <c r="G1616" s="24"/>
      <c r="H1616" s="24"/>
      <c r="I1616" s="24"/>
      <c r="J1616" s="24"/>
      <c r="K1616" s="24"/>
      <c r="L1616" s="24"/>
      <c r="M1616" s="24"/>
      <c r="N1616" s="24"/>
      <c r="O1616" s="24"/>
      <c r="P1616" s="24"/>
      <c r="Q1616" s="24"/>
      <c r="R1616" s="14"/>
      <c r="S1616" s="12"/>
      <c r="T1616" s="12"/>
      <c r="U1616" s="12"/>
      <c r="V1616" s="12"/>
      <c r="W1616" s="12"/>
      <c r="X1616" s="12"/>
      <c r="Y1616" s="12"/>
      <c r="Z1616" s="12"/>
      <c r="AA1616" s="12"/>
      <c r="AB1616" s="12"/>
      <c r="AC1616" s="12"/>
      <c r="AD1616" s="12"/>
    </row>
    <row r="1617" spans="1:30" x14ac:dyDescent="0.35">
      <c r="A1617" s="20"/>
      <c r="B1617" s="22"/>
      <c r="C1617" s="25"/>
      <c r="D1617" s="26"/>
      <c r="E1617" s="24"/>
      <c r="F1617" s="24"/>
      <c r="G1617" s="24"/>
      <c r="H1617" s="24"/>
      <c r="I1617" s="24"/>
      <c r="J1617" s="24"/>
      <c r="K1617" s="24"/>
      <c r="L1617" s="24"/>
      <c r="M1617" s="24"/>
      <c r="N1617" s="24"/>
      <c r="O1617" s="24"/>
      <c r="P1617" s="24"/>
      <c r="Q1617" s="24"/>
      <c r="R1617" s="14"/>
      <c r="S1617" s="12"/>
      <c r="T1617" s="12"/>
      <c r="U1617" s="12"/>
      <c r="V1617" s="12"/>
      <c r="W1617" s="12"/>
      <c r="X1617" s="12"/>
      <c r="Y1617" s="12"/>
      <c r="Z1617" s="12"/>
      <c r="AA1617" s="12"/>
      <c r="AB1617" s="12"/>
      <c r="AC1617" s="12"/>
      <c r="AD1617" s="12"/>
    </row>
    <row r="1618" spans="1:30" x14ac:dyDescent="0.35">
      <c r="A1618" s="20"/>
      <c r="B1618" s="22"/>
      <c r="C1618" s="25"/>
      <c r="D1618" s="26"/>
      <c r="E1618" s="24"/>
      <c r="F1618" s="24"/>
      <c r="G1618" s="24"/>
      <c r="H1618" s="24"/>
      <c r="I1618" s="24"/>
      <c r="J1618" s="24"/>
      <c r="K1618" s="24"/>
      <c r="L1618" s="24"/>
      <c r="M1618" s="24"/>
      <c r="N1618" s="24"/>
      <c r="O1618" s="24"/>
      <c r="P1618" s="24"/>
      <c r="Q1618" s="24"/>
      <c r="R1618" s="14"/>
      <c r="S1618" s="12"/>
      <c r="T1618" s="12"/>
      <c r="U1618" s="12"/>
      <c r="V1618" s="12"/>
      <c r="W1618" s="12"/>
      <c r="X1618" s="12"/>
      <c r="Y1618" s="12"/>
      <c r="Z1618" s="12"/>
      <c r="AA1618" s="12"/>
      <c r="AB1618" s="12"/>
      <c r="AC1618" s="12"/>
      <c r="AD1618" s="12"/>
    </row>
    <row r="1619" spans="1:30" x14ac:dyDescent="0.35">
      <c r="A1619" s="20"/>
      <c r="B1619" s="22"/>
      <c r="C1619" s="25"/>
      <c r="D1619" s="26"/>
      <c r="E1619" s="24"/>
      <c r="F1619" s="24"/>
      <c r="G1619" s="24"/>
      <c r="H1619" s="24"/>
      <c r="I1619" s="24"/>
      <c r="J1619" s="24"/>
      <c r="K1619" s="24"/>
      <c r="L1619" s="24"/>
      <c r="M1619" s="24"/>
      <c r="N1619" s="24"/>
      <c r="O1619" s="24"/>
      <c r="P1619" s="24"/>
      <c r="Q1619" s="24"/>
      <c r="R1619" s="14"/>
      <c r="S1619" s="12"/>
      <c r="T1619" s="12"/>
      <c r="U1619" s="12"/>
      <c r="V1619" s="12"/>
      <c r="W1619" s="12"/>
      <c r="X1619" s="12"/>
      <c r="Y1619" s="12"/>
      <c r="Z1619" s="12"/>
      <c r="AA1619" s="12"/>
      <c r="AB1619" s="12"/>
      <c r="AC1619" s="12"/>
      <c r="AD1619" s="12"/>
    </row>
    <row r="1620" spans="1:30" x14ac:dyDescent="0.35">
      <c r="A1620" s="20"/>
      <c r="B1620" s="22"/>
      <c r="C1620" s="25"/>
      <c r="D1620" s="26"/>
      <c r="E1620" s="24"/>
      <c r="F1620" s="24"/>
      <c r="G1620" s="24"/>
      <c r="H1620" s="24"/>
      <c r="I1620" s="24"/>
      <c r="J1620" s="24"/>
      <c r="K1620" s="24"/>
      <c r="L1620" s="24"/>
      <c r="M1620" s="24"/>
      <c r="N1620" s="24"/>
      <c r="O1620" s="24"/>
      <c r="P1620" s="24"/>
      <c r="Q1620" s="24"/>
      <c r="R1620" s="14"/>
      <c r="S1620" s="12"/>
      <c r="T1620" s="12"/>
      <c r="U1620" s="12"/>
      <c r="V1620" s="12"/>
      <c r="W1620" s="12"/>
      <c r="X1620" s="12"/>
      <c r="Y1620" s="12"/>
      <c r="Z1620" s="12"/>
      <c r="AA1620" s="12"/>
      <c r="AB1620" s="12"/>
      <c r="AC1620" s="12"/>
      <c r="AD1620" s="12"/>
    </row>
    <row r="1621" spans="1:30" x14ac:dyDescent="0.35">
      <c r="A1621" s="20"/>
      <c r="B1621" s="22"/>
      <c r="C1621" s="25"/>
      <c r="D1621" s="26"/>
      <c r="E1621" s="24"/>
      <c r="F1621" s="24"/>
      <c r="G1621" s="24"/>
      <c r="H1621" s="24"/>
      <c r="I1621" s="24"/>
      <c r="J1621" s="24"/>
      <c r="K1621" s="24"/>
      <c r="L1621" s="24"/>
      <c r="M1621" s="24"/>
      <c r="N1621" s="24"/>
      <c r="O1621" s="24"/>
      <c r="P1621" s="24"/>
      <c r="Q1621" s="24"/>
      <c r="R1621" s="14"/>
      <c r="S1621" s="12"/>
      <c r="T1621" s="12"/>
      <c r="U1621" s="12"/>
      <c r="V1621" s="12"/>
      <c r="W1621" s="12"/>
      <c r="X1621" s="12"/>
      <c r="Y1621" s="12"/>
      <c r="Z1621" s="12"/>
      <c r="AA1621" s="12"/>
      <c r="AB1621" s="12"/>
      <c r="AC1621" s="12"/>
      <c r="AD1621" s="12"/>
    </row>
    <row r="1622" spans="1:30" x14ac:dyDescent="0.35">
      <c r="A1622" s="20"/>
      <c r="B1622" s="22"/>
      <c r="C1622" s="25"/>
      <c r="D1622" s="26"/>
      <c r="E1622" s="24"/>
      <c r="F1622" s="24"/>
      <c r="G1622" s="24"/>
      <c r="H1622" s="24"/>
      <c r="I1622" s="24"/>
      <c r="J1622" s="24"/>
      <c r="K1622" s="24"/>
      <c r="L1622" s="24"/>
      <c r="M1622" s="24"/>
      <c r="N1622" s="24"/>
      <c r="O1622" s="24"/>
      <c r="P1622" s="24"/>
      <c r="Q1622" s="24"/>
      <c r="R1622" s="14"/>
      <c r="S1622" s="12"/>
      <c r="T1622" s="12"/>
      <c r="U1622" s="12"/>
      <c r="V1622" s="12"/>
      <c r="W1622" s="12"/>
      <c r="X1622" s="12"/>
      <c r="Y1622" s="12"/>
      <c r="Z1622" s="12"/>
      <c r="AA1622" s="12"/>
      <c r="AB1622" s="12"/>
      <c r="AC1622" s="12"/>
      <c r="AD1622" s="12"/>
    </row>
    <row r="1623" spans="1:30" x14ac:dyDescent="0.35">
      <c r="A1623" s="20"/>
      <c r="B1623" s="22"/>
      <c r="C1623" s="25"/>
      <c r="D1623" s="26"/>
      <c r="E1623" s="24"/>
      <c r="F1623" s="24"/>
      <c r="G1623" s="24"/>
      <c r="H1623" s="24"/>
      <c r="I1623" s="24"/>
      <c r="J1623" s="24"/>
      <c r="K1623" s="24"/>
      <c r="L1623" s="24"/>
      <c r="M1623" s="24"/>
      <c r="N1623" s="24"/>
      <c r="O1623" s="24"/>
      <c r="P1623" s="24"/>
      <c r="Q1623" s="24"/>
      <c r="R1623" s="14"/>
      <c r="S1623" s="12"/>
      <c r="T1623" s="12"/>
      <c r="U1623" s="12"/>
      <c r="V1623" s="12"/>
      <c r="W1623" s="12"/>
      <c r="X1623" s="12"/>
      <c r="Y1623" s="12"/>
      <c r="Z1623" s="12"/>
      <c r="AA1623" s="12"/>
      <c r="AB1623" s="12"/>
      <c r="AC1623" s="12"/>
      <c r="AD1623" s="12"/>
    </row>
    <row r="1624" spans="1:30" x14ac:dyDescent="0.35">
      <c r="A1624" s="20"/>
      <c r="B1624" s="22"/>
      <c r="C1624" s="25"/>
      <c r="D1624" s="26"/>
      <c r="E1624" s="24"/>
      <c r="F1624" s="24"/>
      <c r="G1624" s="24"/>
      <c r="H1624" s="24"/>
      <c r="I1624" s="24"/>
      <c r="J1624" s="24"/>
      <c r="K1624" s="24"/>
      <c r="L1624" s="24"/>
      <c r="M1624" s="24"/>
      <c r="N1624" s="24"/>
      <c r="O1624" s="24"/>
      <c r="P1624" s="24"/>
      <c r="Q1624" s="24"/>
      <c r="R1624" s="14"/>
      <c r="S1624" s="12"/>
      <c r="T1624" s="12"/>
      <c r="U1624" s="12"/>
      <c r="V1624" s="12"/>
      <c r="W1624" s="12"/>
      <c r="X1624" s="12"/>
      <c r="Y1624" s="12"/>
      <c r="Z1624" s="12"/>
      <c r="AA1624" s="12"/>
      <c r="AB1624" s="12"/>
      <c r="AC1624" s="12"/>
      <c r="AD1624" s="12"/>
    </row>
    <row r="1625" spans="1:30" x14ac:dyDescent="0.35">
      <c r="A1625" s="20"/>
      <c r="B1625" s="22"/>
      <c r="C1625" s="25"/>
      <c r="D1625" s="26"/>
      <c r="E1625" s="24"/>
      <c r="F1625" s="24"/>
      <c r="G1625" s="24"/>
      <c r="H1625" s="24"/>
      <c r="I1625" s="24"/>
      <c r="J1625" s="24"/>
      <c r="K1625" s="24"/>
      <c r="L1625" s="24"/>
      <c r="M1625" s="24"/>
      <c r="N1625" s="24"/>
      <c r="O1625" s="24"/>
      <c r="P1625" s="24"/>
      <c r="Q1625" s="24"/>
      <c r="R1625" s="14"/>
      <c r="S1625" s="12"/>
      <c r="T1625" s="12"/>
      <c r="U1625" s="12"/>
      <c r="V1625" s="12"/>
      <c r="W1625" s="12"/>
      <c r="X1625" s="12"/>
      <c r="Y1625" s="12"/>
      <c r="Z1625" s="12"/>
      <c r="AA1625" s="12"/>
      <c r="AB1625" s="12"/>
      <c r="AC1625" s="12"/>
      <c r="AD1625" s="12"/>
    </row>
    <row r="1626" spans="1:30" x14ac:dyDescent="0.35">
      <c r="A1626" s="15"/>
      <c r="B1626" s="22"/>
      <c r="C1626" s="25"/>
      <c r="D1626" s="26"/>
      <c r="E1626" s="24"/>
      <c r="F1626" s="24"/>
      <c r="G1626" s="24"/>
      <c r="H1626" s="24"/>
      <c r="I1626" s="24"/>
      <c r="J1626" s="24"/>
      <c r="K1626" s="24"/>
      <c r="L1626" s="24"/>
      <c r="M1626" s="24"/>
      <c r="N1626" s="24"/>
      <c r="O1626" s="24"/>
      <c r="P1626" s="24"/>
      <c r="Q1626" s="24"/>
      <c r="R1626" s="14"/>
      <c r="S1626" s="12"/>
      <c r="T1626" s="12"/>
      <c r="U1626" s="12"/>
      <c r="V1626" s="12"/>
      <c r="W1626" s="12"/>
      <c r="X1626" s="12"/>
      <c r="Y1626" s="12"/>
      <c r="Z1626" s="12"/>
      <c r="AA1626" s="12"/>
      <c r="AB1626" s="12"/>
      <c r="AC1626" s="12"/>
      <c r="AD1626" s="12"/>
    </row>
    <row r="1627" spans="1:30" x14ac:dyDescent="0.35">
      <c r="A1627" s="15"/>
      <c r="B1627" s="22"/>
      <c r="C1627" s="25"/>
      <c r="D1627" s="26"/>
      <c r="E1627" s="24"/>
      <c r="F1627" s="24"/>
      <c r="G1627" s="24"/>
      <c r="H1627" s="24"/>
      <c r="I1627" s="24"/>
      <c r="J1627" s="24"/>
      <c r="K1627" s="24"/>
      <c r="L1627" s="24"/>
      <c r="M1627" s="24"/>
      <c r="N1627" s="24"/>
      <c r="O1627" s="24"/>
      <c r="P1627" s="24"/>
      <c r="Q1627" s="24"/>
      <c r="R1627" s="14"/>
      <c r="S1627" s="12"/>
      <c r="T1627" s="12"/>
      <c r="U1627" s="12"/>
      <c r="V1627" s="12"/>
      <c r="W1627" s="12"/>
      <c r="X1627" s="12"/>
      <c r="Y1627" s="12"/>
      <c r="Z1627" s="12"/>
      <c r="AA1627" s="12"/>
      <c r="AB1627" s="12"/>
      <c r="AC1627" s="12"/>
      <c r="AD1627" s="12"/>
    </row>
    <row r="1628" spans="1:30" x14ac:dyDescent="0.35">
      <c r="A1628" s="15"/>
      <c r="B1628" s="22"/>
      <c r="C1628" s="25"/>
      <c r="D1628" s="26"/>
      <c r="E1628" s="24"/>
      <c r="F1628" s="24"/>
      <c r="G1628" s="24"/>
      <c r="H1628" s="24"/>
      <c r="I1628" s="24"/>
      <c r="J1628" s="24"/>
      <c r="K1628" s="24"/>
      <c r="L1628" s="24"/>
      <c r="M1628" s="24"/>
      <c r="N1628" s="24"/>
      <c r="O1628" s="24"/>
      <c r="P1628" s="24"/>
      <c r="Q1628" s="24"/>
      <c r="R1628" s="21"/>
      <c r="S1628" s="12"/>
      <c r="T1628" s="12"/>
      <c r="U1628" s="12"/>
      <c r="V1628" s="12"/>
      <c r="W1628" s="12"/>
      <c r="X1628" s="12"/>
      <c r="Y1628" s="12"/>
      <c r="Z1628" s="12"/>
      <c r="AA1628" s="12"/>
      <c r="AB1628" s="12"/>
      <c r="AC1628" s="12"/>
      <c r="AD1628" s="12"/>
    </row>
    <row r="1629" spans="1:30" x14ac:dyDescent="0.35">
      <c r="A1629" s="15"/>
      <c r="B1629" s="22"/>
      <c r="C1629" s="25"/>
      <c r="D1629" s="26"/>
      <c r="E1629" s="24"/>
      <c r="F1629" s="24"/>
      <c r="G1629" s="24"/>
      <c r="H1629" s="24"/>
      <c r="I1629" s="24"/>
      <c r="J1629" s="24"/>
      <c r="K1629" s="24"/>
      <c r="L1629" s="24"/>
      <c r="M1629" s="24"/>
      <c r="N1629" s="24"/>
      <c r="O1629" s="24"/>
      <c r="P1629" s="24"/>
      <c r="Q1629" s="24"/>
      <c r="R1629" s="21"/>
      <c r="S1629" s="12"/>
      <c r="T1629" s="12"/>
      <c r="U1629" s="12"/>
      <c r="V1629" s="12"/>
      <c r="W1629" s="12"/>
      <c r="X1629" s="12"/>
      <c r="Y1629" s="12"/>
      <c r="Z1629" s="12"/>
      <c r="AA1629" s="12"/>
      <c r="AB1629" s="12"/>
      <c r="AC1629" s="12"/>
      <c r="AD1629" s="12"/>
    </row>
    <row r="1630" spans="1:30" x14ac:dyDescent="0.35">
      <c r="A1630" s="15"/>
      <c r="B1630" s="22"/>
      <c r="C1630" s="25"/>
      <c r="D1630" s="26"/>
      <c r="E1630" s="24"/>
      <c r="F1630" s="24"/>
      <c r="G1630" s="24"/>
      <c r="H1630" s="24"/>
      <c r="I1630" s="24"/>
      <c r="J1630" s="24"/>
      <c r="K1630" s="24"/>
      <c r="L1630" s="24"/>
      <c r="M1630" s="24"/>
      <c r="N1630" s="24"/>
      <c r="O1630" s="24"/>
      <c r="P1630" s="24"/>
      <c r="Q1630" s="24"/>
      <c r="R1630" s="21"/>
      <c r="S1630" s="12"/>
      <c r="T1630" s="12"/>
      <c r="U1630" s="12"/>
      <c r="V1630" s="12"/>
      <c r="W1630" s="12"/>
      <c r="X1630" s="12"/>
      <c r="Y1630" s="12"/>
      <c r="Z1630" s="12"/>
      <c r="AA1630" s="12"/>
      <c r="AB1630" s="12"/>
      <c r="AC1630" s="12"/>
      <c r="AD1630" s="12"/>
    </row>
    <row r="1631" spans="1:30" x14ac:dyDescent="0.35">
      <c r="A1631" s="15"/>
      <c r="B1631" s="22"/>
      <c r="C1631" s="25"/>
      <c r="D1631" s="26"/>
      <c r="E1631" s="24"/>
      <c r="F1631" s="24"/>
      <c r="G1631" s="24"/>
      <c r="H1631" s="24"/>
      <c r="I1631" s="24"/>
      <c r="J1631" s="24"/>
      <c r="K1631" s="24"/>
      <c r="L1631" s="24"/>
      <c r="M1631" s="24"/>
      <c r="N1631" s="24"/>
      <c r="O1631" s="24"/>
      <c r="P1631" s="24"/>
      <c r="Q1631" s="24"/>
      <c r="R1631" s="21"/>
      <c r="S1631" s="12"/>
      <c r="T1631" s="12"/>
      <c r="U1631" s="12"/>
      <c r="V1631" s="12"/>
      <c r="W1631" s="12"/>
      <c r="X1631" s="12"/>
      <c r="Y1631" s="12"/>
      <c r="Z1631" s="12"/>
      <c r="AA1631" s="12"/>
      <c r="AB1631" s="12"/>
      <c r="AC1631" s="12"/>
      <c r="AD1631" s="12"/>
    </row>
    <row r="1632" spans="1:30" x14ac:dyDescent="0.35">
      <c r="A1632" s="15"/>
      <c r="B1632" s="22"/>
      <c r="C1632" s="25"/>
      <c r="D1632" s="26"/>
      <c r="E1632" s="24"/>
      <c r="F1632" s="24"/>
      <c r="G1632" s="24"/>
      <c r="H1632" s="24"/>
      <c r="I1632" s="24"/>
      <c r="J1632" s="24"/>
      <c r="K1632" s="24"/>
      <c r="L1632" s="24"/>
      <c r="M1632" s="24"/>
      <c r="N1632" s="24"/>
      <c r="O1632" s="24"/>
      <c r="P1632" s="24"/>
      <c r="Q1632" s="24"/>
      <c r="R1632" s="21"/>
      <c r="S1632" s="12"/>
      <c r="T1632" s="12"/>
      <c r="U1632" s="12"/>
      <c r="V1632" s="12"/>
      <c r="W1632" s="12"/>
      <c r="X1632" s="12"/>
      <c r="Y1632" s="12"/>
      <c r="Z1632" s="12"/>
      <c r="AA1632" s="12"/>
      <c r="AB1632" s="12"/>
      <c r="AC1632" s="12"/>
      <c r="AD1632" s="12"/>
    </row>
    <row r="1633" spans="1:30" x14ac:dyDescent="0.35">
      <c r="A1633" s="15"/>
      <c r="B1633" s="22"/>
      <c r="C1633" s="25"/>
      <c r="D1633" s="26"/>
      <c r="E1633" s="24"/>
      <c r="F1633" s="24"/>
      <c r="G1633" s="24"/>
      <c r="H1633" s="24"/>
      <c r="I1633" s="24"/>
      <c r="J1633" s="24"/>
      <c r="K1633" s="24"/>
      <c r="L1633" s="24"/>
      <c r="M1633" s="24"/>
      <c r="N1633" s="24"/>
      <c r="O1633" s="24"/>
      <c r="P1633" s="24"/>
      <c r="Q1633" s="24"/>
      <c r="R1633" s="21"/>
      <c r="S1633" s="12"/>
      <c r="T1633" s="12"/>
      <c r="U1633" s="12"/>
      <c r="V1633" s="12"/>
      <c r="W1633" s="12"/>
      <c r="X1633" s="12"/>
      <c r="Y1633" s="12"/>
      <c r="Z1633" s="12"/>
      <c r="AA1633" s="12"/>
      <c r="AB1633" s="12"/>
      <c r="AC1633" s="12"/>
      <c r="AD1633" s="12"/>
    </row>
    <row r="1634" spans="1:30" x14ac:dyDescent="0.35">
      <c r="A1634" s="15"/>
      <c r="B1634" s="22"/>
      <c r="C1634" s="25"/>
      <c r="D1634" s="26"/>
      <c r="E1634" s="24"/>
      <c r="F1634" s="24"/>
      <c r="G1634" s="24"/>
      <c r="H1634" s="24"/>
      <c r="I1634" s="24"/>
      <c r="J1634" s="24"/>
      <c r="K1634" s="24"/>
      <c r="L1634" s="24"/>
      <c r="M1634" s="24"/>
      <c r="N1634" s="24"/>
      <c r="O1634" s="24"/>
      <c r="P1634" s="24"/>
      <c r="Q1634" s="24"/>
      <c r="R1634" s="21"/>
      <c r="S1634" s="12"/>
      <c r="T1634" s="12"/>
      <c r="U1634" s="12"/>
      <c r="V1634" s="12"/>
      <c r="W1634" s="12"/>
      <c r="X1634" s="12"/>
      <c r="Y1634" s="12"/>
      <c r="Z1634" s="12"/>
      <c r="AA1634" s="12"/>
      <c r="AB1634" s="12"/>
      <c r="AC1634" s="12"/>
      <c r="AD1634" s="12"/>
    </row>
    <row r="1635" spans="1:30" x14ac:dyDescent="0.35">
      <c r="A1635" s="15"/>
      <c r="B1635" s="22"/>
      <c r="C1635" s="25"/>
      <c r="D1635" s="26"/>
      <c r="E1635" s="24"/>
      <c r="F1635" s="24"/>
      <c r="G1635" s="24"/>
      <c r="H1635" s="24"/>
      <c r="I1635" s="24"/>
      <c r="J1635" s="24"/>
      <c r="K1635" s="24"/>
      <c r="L1635" s="24"/>
      <c r="M1635" s="24"/>
      <c r="N1635" s="24"/>
      <c r="O1635" s="24"/>
      <c r="P1635" s="24"/>
      <c r="Q1635" s="24"/>
      <c r="R1635" s="21"/>
      <c r="S1635" s="12"/>
      <c r="T1635" s="12"/>
      <c r="U1635" s="12"/>
      <c r="V1635" s="12"/>
      <c r="W1635" s="12"/>
      <c r="X1635" s="12"/>
      <c r="Y1635" s="12"/>
      <c r="Z1635" s="12"/>
      <c r="AA1635" s="12"/>
      <c r="AB1635" s="12"/>
      <c r="AC1635" s="12"/>
      <c r="AD1635" s="12"/>
    </row>
    <row r="1636" spans="1:30" x14ac:dyDescent="0.35">
      <c r="A1636" s="15"/>
      <c r="B1636" s="22"/>
      <c r="C1636" s="25"/>
      <c r="D1636" s="26"/>
      <c r="E1636" s="24"/>
      <c r="F1636" s="24"/>
      <c r="G1636" s="24"/>
      <c r="H1636" s="24"/>
      <c r="I1636" s="24"/>
      <c r="J1636" s="24"/>
      <c r="K1636" s="24"/>
      <c r="L1636" s="24"/>
      <c r="M1636" s="24"/>
      <c r="N1636" s="24"/>
      <c r="O1636" s="24"/>
      <c r="P1636" s="24"/>
      <c r="Q1636" s="24"/>
      <c r="R1636" s="21"/>
      <c r="S1636" s="12"/>
      <c r="T1636" s="12"/>
      <c r="U1636" s="12"/>
      <c r="V1636" s="12"/>
      <c r="W1636" s="12"/>
      <c r="X1636" s="12"/>
      <c r="Y1636" s="12"/>
      <c r="Z1636" s="12"/>
      <c r="AA1636" s="12"/>
      <c r="AB1636" s="12"/>
      <c r="AC1636" s="12"/>
      <c r="AD1636" s="12"/>
    </row>
    <row r="1637" spans="1:30" x14ac:dyDescent="0.35">
      <c r="A1637" s="15"/>
      <c r="B1637" s="22"/>
      <c r="C1637" s="25"/>
      <c r="D1637" s="26"/>
      <c r="E1637" s="24"/>
      <c r="F1637" s="24"/>
      <c r="G1637" s="24"/>
      <c r="H1637" s="24"/>
      <c r="I1637" s="24"/>
      <c r="J1637" s="24"/>
      <c r="K1637" s="24"/>
      <c r="L1637" s="24"/>
      <c r="M1637" s="24"/>
      <c r="N1637" s="24"/>
      <c r="O1637" s="24"/>
      <c r="P1637" s="24"/>
      <c r="Q1637" s="24"/>
      <c r="R1637" s="21"/>
      <c r="S1637" s="12"/>
      <c r="T1637" s="12"/>
      <c r="U1637" s="12"/>
      <c r="V1637" s="12"/>
      <c r="W1637" s="12"/>
      <c r="X1637" s="12"/>
      <c r="Y1637" s="12"/>
      <c r="Z1637" s="12"/>
      <c r="AA1637" s="12"/>
      <c r="AB1637" s="12"/>
      <c r="AC1637" s="12"/>
      <c r="AD1637" s="12"/>
    </row>
    <row r="1638" spans="1:30" x14ac:dyDescent="0.35">
      <c r="A1638" s="15"/>
      <c r="B1638" s="22"/>
      <c r="C1638" s="25"/>
      <c r="D1638" s="26"/>
      <c r="E1638" s="24"/>
      <c r="F1638" s="24"/>
      <c r="G1638" s="24"/>
      <c r="H1638" s="24"/>
      <c r="I1638" s="24"/>
      <c r="J1638" s="24"/>
      <c r="K1638" s="24"/>
      <c r="L1638" s="24"/>
      <c r="M1638" s="24"/>
      <c r="N1638" s="24"/>
      <c r="O1638" s="24"/>
      <c r="P1638" s="24"/>
      <c r="Q1638" s="24"/>
      <c r="R1638" s="21"/>
      <c r="S1638" s="12"/>
      <c r="T1638" s="12"/>
      <c r="U1638" s="12"/>
      <c r="V1638" s="12"/>
      <c r="W1638" s="12"/>
      <c r="X1638" s="12"/>
      <c r="Y1638" s="12"/>
      <c r="Z1638" s="12"/>
      <c r="AA1638" s="12"/>
      <c r="AB1638" s="12"/>
      <c r="AC1638" s="12"/>
      <c r="AD1638" s="12"/>
    </row>
    <row r="1639" spans="1:30" x14ac:dyDescent="0.35">
      <c r="A1639" s="15"/>
      <c r="B1639" s="22"/>
      <c r="C1639" s="25"/>
      <c r="D1639" s="26"/>
      <c r="E1639" s="24"/>
      <c r="F1639" s="24"/>
      <c r="G1639" s="24"/>
      <c r="H1639" s="24"/>
      <c r="I1639" s="24"/>
      <c r="J1639" s="24"/>
      <c r="K1639" s="24"/>
      <c r="L1639" s="24"/>
      <c r="M1639" s="24"/>
      <c r="N1639" s="24"/>
      <c r="O1639" s="24"/>
      <c r="P1639" s="24"/>
      <c r="Q1639" s="24"/>
      <c r="R1639" s="21"/>
      <c r="S1639" s="12"/>
      <c r="T1639" s="12"/>
      <c r="U1639" s="12"/>
      <c r="V1639" s="12"/>
      <c r="W1639" s="12"/>
      <c r="X1639" s="12"/>
      <c r="Y1639" s="12"/>
      <c r="Z1639" s="12"/>
      <c r="AA1639" s="12"/>
      <c r="AB1639" s="12"/>
      <c r="AC1639" s="12"/>
      <c r="AD1639" s="12"/>
    </row>
    <row r="1640" spans="1:30" x14ac:dyDescent="0.35">
      <c r="A1640" s="15"/>
      <c r="B1640" s="22"/>
      <c r="C1640" s="25"/>
      <c r="D1640" s="26"/>
      <c r="E1640" s="24"/>
      <c r="F1640" s="24"/>
      <c r="G1640" s="24"/>
      <c r="H1640" s="24"/>
      <c r="I1640" s="24"/>
      <c r="J1640" s="24"/>
      <c r="K1640" s="24"/>
      <c r="L1640" s="24"/>
      <c r="M1640" s="24"/>
      <c r="N1640" s="24"/>
      <c r="O1640" s="24"/>
      <c r="P1640" s="24"/>
      <c r="Q1640" s="24"/>
      <c r="R1640" s="21"/>
      <c r="S1640" s="12"/>
      <c r="T1640" s="12"/>
      <c r="U1640" s="12"/>
      <c r="V1640" s="12"/>
      <c r="W1640" s="12"/>
      <c r="X1640" s="12"/>
      <c r="Y1640" s="12"/>
      <c r="Z1640" s="12"/>
      <c r="AA1640" s="12"/>
      <c r="AB1640" s="12"/>
      <c r="AC1640" s="12"/>
      <c r="AD1640" s="12"/>
    </row>
    <row r="1641" spans="1:30" x14ac:dyDescent="0.35">
      <c r="A1641" s="15"/>
      <c r="B1641" s="22"/>
      <c r="C1641" s="25"/>
      <c r="D1641" s="26"/>
      <c r="E1641" s="24"/>
      <c r="F1641" s="24"/>
      <c r="G1641" s="24"/>
      <c r="H1641" s="24"/>
      <c r="I1641" s="24"/>
      <c r="J1641" s="24"/>
      <c r="K1641" s="24"/>
      <c r="L1641" s="24"/>
      <c r="M1641" s="24"/>
      <c r="N1641" s="24"/>
      <c r="O1641" s="24"/>
      <c r="P1641" s="24"/>
      <c r="Q1641" s="24"/>
      <c r="R1641" s="21"/>
      <c r="S1641" s="12"/>
      <c r="T1641" s="12"/>
      <c r="U1641" s="12"/>
      <c r="V1641" s="12"/>
      <c r="W1641" s="12"/>
      <c r="X1641" s="12"/>
      <c r="Y1641" s="12"/>
      <c r="Z1641" s="12"/>
      <c r="AA1641" s="12"/>
      <c r="AB1641" s="12"/>
      <c r="AC1641" s="12"/>
      <c r="AD1641" s="12"/>
    </row>
    <row r="1642" spans="1:30" x14ac:dyDescent="0.35">
      <c r="A1642" s="15"/>
      <c r="B1642" s="22"/>
      <c r="C1642" s="25"/>
      <c r="D1642" s="26"/>
      <c r="E1642" s="24"/>
      <c r="F1642" s="24"/>
      <c r="G1642" s="24"/>
      <c r="H1642" s="24"/>
      <c r="I1642" s="24"/>
      <c r="J1642" s="24"/>
      <c r="K1642" s="24"/>
      <c r="L1642" s="24"/>
      <c r="M1642" s="24"/>
      <c r="N1642" s="24"/>
      <c r="O1642" s="24"/>
      <c r="P1642" s="24"/>
      <c r="Q1642" s="24"/>
      <c r="R1642" s="21"/>
      <c r="S1642" s="12"/>
      <c r="T1642" s="12"/>
      <c r="U1642" s="12"/>
      <c r="V1642" s="12"/>
      <c r="W1642" s="12"/>
      <c r="X1642" s="12"/>
      <c r="Y1642" s="12"/>
      <c r="Z1642" s="12"/>
      <c r="AA1642" s="12"/>
      <c r="AB1642" s="12"/>
      <c r="AC1642" s="12"/>
      <c r="AD1642" s="12"/>
    </row>
    <row r="1643" spans="1:30" x14ac:dyDescent="0.35">
      <c r="A1643" s="15"/>
      <c r="B1643" s="22"/>
      <c r="C1643" s="25"/>
      <c r="D1643" s="26"/>
      <c r="E1643" s="24"/>
      <c r="F1643" s="24"/>
      <c r="G1643" s="24"/>
      <c r="H1643" s="24"/>
      <c r="I1643" s="24"/>
      <c r="J1643" s="24"/>
      <c r="K1643" s="24"/>
      <c r="L1643" s="24"/>
      <c r="M1643" s="24"/>
      <c r="N1643" s="24"/>
      <c r="O1643" s="24"/>
      <c r="P1643" s="24"/>
      <c r="Q1643" s="24"/>
      <c r="R1643" s="21"/>
      <c r="S1643" s="12"/>
      <c r="T1643" s="12"/>
      <c r="U1643" s="12"/>
      <c r="V1643" s="12"/>
      <c r="W1643" s="12"/>
      <c r="X1643" s="12"/>
      <c r="Y1643" s="12"/>
      <c r="Z1643" s="12"/>
      <c r="AA1643" s="12"/>
      <c r="AB1643" s="12"/>
      <c r="AC1643" s="12"/>
      <c r="AD1643" s="12"/>
    </row>
    <row r="1644" spans="1:30" x14ac:dyDescent="0.35">
      <c r="A1644" s="15"/>
      <c r="B1644" s="22"/>
      <c r="C1644" s="25"/>
      <c r="D1644" s="26"/>
      <c r="E1644" s="24"/>
      <c r="F1644" s="24"/>
      <c r="G1644" s="24"/>
      <c r="H1644" s="24"/>
      <c r="I1644" s="24"/>
      <c r="J1644" s="24"/>
      <c r="K1644" s="24"/>
      <c r="L1644" s="24"/>
      <c r="M1644" s="24"/>
      <c r="N1644" s="24"/>
      <c r="O1644" s="24"/>
      <c r="P1644" s="24"/>
      <c r="Q1644" s="24"/>
      <c r="R1644" s="14"/>
      <c r="S1644" s="12"/>
      <c r="T1644" s="12"/>
      <c r="U1644" s="12"/>
      <c r="V1644" s="12"/>
      <c r="W1644" s="12"/>
      <c r="X1644" s="12"/>
      <c r="Y1644" s="12"/>
      <c r="Z1644" s="12"/>
      <c r="AA1644" s="12"/>
      <c r="AB1644" s="12"/>
      <c r="AC1644" s="12"/>
      <c r="AD1644" s="12"/>
    </row>
    <row r="1645" spans="1:30" x14ac:dyDescent="0.35">
      <c r="A1645" s="15"/>
      <c r="B1645" s="22"/>
      <c r="C1645" s="25"/>
      <c r="D1645" s="26"/>
      <c r="E1645" s="24"/>
      <c r="F1645" s="24"/>
      <c r="G1645" s="24"/>
      <c r="H1645" s="24"/>
      <c r="I1645" s="24"/>
      <c r="J1645" s="24"/>
      <c r="K1645" s="24"/>
      <c r="L1645" s="24"/>
      <c r="M1645" s="24"/>
      <c r="N1645" s="24"/>
      <c r="O1645" s="24"/>
      <c r="P1645" s="24"/>
      <c r="Q1645" s="24"/>
      <c r="R1645" s="14"/>
      <c r="S1645" s="12"/>
      <c r="T1645" s="12"/>
      <c r="U1645" s="12"/>
      <c r="V1645" s="12"/>
      <c r="W1645" s="12"/>
      <c r="X1645" s="12"/>
      <c r="Y1645" s="12"/>
      <c r="Z1645" s="12"/>
      <c r="AA1645" s="12"/>
      <c r="AB1645" s="12"/>
      <c r="AC1645" s="12"/>
      <c r="AD1645" s="12"/>
    </row>
    <row r="1646" spans="1:30" x14ac:dyDescent="0.35">
      <c r="A1646" s="15"/>
      <c r="B1646" s="22"/>
      <c r="C1646" s="25"/>
      <c r="D1646" s="26"/>
      <c r="E1646" s="24"/>
      <c r="F1646" s="24"/>
      <c r="G1646" s="24"/>
      <c r="H1646" s="24"/>
      <c r="I1646" s="24"/>
      <c r="J1646" s="24"/>
      <c r="K1646" s="24"/>
      <c r="L1646" s="24"/>
      <c r="M1646" s="24"/>
      <c r="N1646" s="24"/>
      <c r="O1646" s="24"/>
      <c r="P1646" s="24"/>
      <c r="Q1646" s="24"/>
      <c r="R1646" s="14"/>
      <c r="S1646" s="12"/>
      <c r="T1646" s="12"/>
      <c r="U1646" s="12"/>
      <c r="V1646" s="12"/>
      <c r="W1646" s="12"/>
      <c r="X1646" s="12"/>
      <c r="Y1646" s="12"/>
      <c r="Z1646" s="12"/>
      <c r="AA1646" s="12"/>
      <c r="AB1646" s="12"/>
      <c r="AC1646" s="12"/>
      <c r="AD1646" s="12"/>
    </row>
    <row r="1647" spans="1:30" x14ac:dyDescent="0.35">
      <c r="A1647" s="15"/>
      <c r="B1647" s="22"/>
      <c r="C1647" s="25"/>
      <c r="D1647" s="26"/>
      <c r="E1647" s="24"/>
      <c r="F1647" s="24"/>
      <c r="G1647" s="24"/>
      <c r="H1647" s="24"/>
      <c r="I1647" s="24"/>
      <c r="J1647" s="24"/>
      <c r="K1647" s="24"/>
      <c r="L1647" s="24"/>
      <c r="M1647" s="24"/>
      <c r="N1647" s="24"/>
      <c r="O1647" s="24"/>
      <c r="P1647" s="24"/>
      <c r="Q1647" s="24"/>
      <c r="R1647" s="14"/>
      <c r="S1647" s="12"/>
      <c r="T1647" s="12"/>
      <c r="U1647" s="12"/>
      <c r="V1647" s="12"/>
      <c r="W1647" s="12"/>
      <c r="X1647" s="12"/>
      <c r="Y1647" s="12"/>
      <c r="Z1647" s="12"/>
      <c r="AA1647" s="12"/>
      <c r="AB1647" s="12"/>
      <c r="AC1647" s="12"/>
      <c r="AD1647" s="12"/>
    </row>
    <row r="1648" spans="1:30" x14ac:dyDescent="0.35">
      <c r="A1648" s="15"/>
      <c r="B1648" s="22"/>
      <c r="C1648" s="25"/>
      <c r="D1648" s="26"/>
      <c r="E1648" s="24"/>
      <c r="F1648" s="24"/>
      <c r="G1648" s="24"/>
      <c r="H1648" s="24"/>
      <c r="I1648" s="24"/>
      <c r="J1648" s="24"/>
      <c r="K1648" s="24"/>
      <c r="L1648" s="24"/>
      <c r="M1648" s="24"/>
      <c r="N1648" s="24"/>
      <c r="O1648" s="24"/>
      <c r="P1648" s="24"/>
      <c r="Q1648" s="24"/>
      <c r="R1648" s="14"/>
      <c r="S1648" s="12"/>
      <c r="T1648" s="12"/>
      <c r="U1648" s="12"/>
      <c r="V1648" s="12"/>
      <c r="W1648" s="12"/>
      <c r="X1648" s="12"/>
      <c r="Y1648" s="12"/>
      <c r="Z1648" s="12"/>
      <c r="AA1648" s="12"/>
      <c r="AB1648" s="12"/>
      <c r="AC1648" s="12"/>
      <c r="AD1648" s="12"/>
    </row>
    <row r="1649" spans="1:30" x14ac:dyDescent="0.35">
      <c r="A1649" s="15"/>
      <c r="B1649" s="22"/>
      <c r="C1649" s="25"/>
      <c r="D1649" s="26"/>
      <c r="E1649" s="24"/>
      <c r="F1649" s="24"/>
      <c r="G1649" s="24"/>
      <c r="H1649" s="24"/>
      <c r="I1649" s="24"/>
      <c r="J1649" s="24"/>
      <c r="K1649" s="24"/>
      <c r="L1649" s="24"/>
      <c r="M1649" s="24"/>
      <c r="N1649" s="24"/>
      <c r="O1649" s="24"/>
      <c r="P1649" s="24"/>
      <c r="Q1649" s="24"/>
      <c r="R1649" s="14"/>
      <c r="S1649" s="12"/>
      <c r="T1649" s="12"/>
      <c r="U1649" s="12"/>
      <c r="V1649" s="12"/>
      <c r="W1649" s="12"/>
      <c r="X1649" s="12"/>
      <c r="Y1649" s="12"/>
      <c r="Z1649" s="12"/>
      <c r="AA1649" s="12"/>
      <c r="AB1649" s="12"/>
      <c r="AC1649" s="12"/>
      <c r="AD1649" s="12"/>
    </row>
    <row r="1650" spans="1:30" x14ac:dyDescent="0.35">
      <c r="A1650" s="15"/>
      <c r="B1650" s="22"/>
      <c r="C1650" s="25"/>
      <c r="D1650" s="26"/>
      <c r="E1650" s="24"/>
      <c r="F1650" s="24"/>
      <c r="G1650" s="24"/>
      <c r="H1650" s="24"/>
      <c r="I1650" s="24"/>
      <c r="J1650" s="24"/>
      <c r="K1650" s="24"/>
      <c r="L1650" s="24"/>
      <c r="M1650" s="24"/>
      <c r="N1650" s="24"/>
      <c r="O1650" s="24"/>
      <c r="P1650" s="24"/>
      <c r="Q1650" s="24"/>
      <c r="R1650" s="14"/>
      <c r="S1650" s="12"/>
      <c r="T1650" s="12"/>
      <c r="U1650" s="12"/>
      <c r="V1650" s="12"/>
      <c r="W1650" s="12"/>
      <c r="X1650" s="12"/>
      <c r="Y1650" s="12"/>
      <c r="Z1650" s="12"/>
      <c r="AA1650" s="12"/>
      <c r="AB1650" s="12"/>
      <c r="AC1650" s="12"/>
      <c r="AD1650" s="12"/>
    </row>
    <row r="1651" spans="1:30" x14ac:dyDescent="0.35">
      <c r="A1651" s="15"/>
      <c r="B1651" s="22"/>
      <c r="C1651" s="25"/>
      <c r="D1651" s="26"/>
      <c r="E1651" s="24"/>
      <c r="F1651" s="24"/>
      <c r="G1651" s="24"/>
      <c r="H1651" s="24"/>
      <c r="I1651" s="24"/>
      <c r="J1651" s="24"/>
      <c r="K1651" s="24"/>
      <c r="L1651" s="24"/>
      <c r="M1651" s="24"/>
      <c r="N1651" s="24"/>
      <c r="O1651" s="24"/>
      <c r="P1651" s="24"/>
      <c r="Q1651" s="24"/>
      <c r="R1651" s="14"/>
      <c r="S1651" s="12"/>
      <c r="T1651" s="12"/>
      <c r="U1651" s="12"/>
      <c r="V1651" s="12"/>
      <c r="W1651" s="12"/>
      <c r="X1651" s="12"/>
      <c r="Y1651" s="12"/>
      <c r="Z1651" s="12"/>
      <c r="AA1651" s="12"/>
      <c r="AB1651" s="12"/>
      <c r="AC1651" s="12"/>
      <c r="AD1651" s="12"/>
    </row>
    <row r="1652" spans="1:30" x14ac:dyDescent="0.35">
      <c r="A1652" s="15"/>
      <c r="B1652" s="22"/>
      <c r="C1652" s="25"/>
      <c r="D1652" s="26"/>
      <c r="E1652" s="24"/>
      <c r="F1652" s="24"/>
      <c r="G1652" s="24"/>
      <c r="H1652" s="24"/>
      <c r="I1652" s="24"/>
      <c r="J1652" s="24"/>
      <c r="K1652" s="24"/>
      <c r="L1652" s="24"/>
      <c r="M1652" s="24"/>
      <c r="N1652" s="24"/>
      <c r="O1652" s="24"/>
      <c r="P1652" s="24"/>
      <c r="Q1652" s="24"/>
      <c r="R1652" s="14"/>
      <c r="S1652" s="12"/>
      <c r="T1652" s="12"/>
      <c r="U1652" s="12"/>
      <c r="V1652" s="12"/>
      <c r="W1652" s="12"/>
      <c r="X1652" s="12"/>
      <c r="Y1652" s="12"/>
      <c r="Z1652" s="12"/>
      <c r="AA1652" s="12"/>
      <c r="AB1652" s="12"/>
      <c r="AC1652" s="12"/>
      <c r="AD1652" s="12"/>
    </row>
    <row r="1653" spans="1:30" x14ac:dyDescent="0.35">
      <c r="A1653" s="15"/>
      <c r="B1653" s="22"/>
      <c r="C1653" s="25"/>
      <c r="D1653" s="26"/>
      <c r="E1653" s="24"/>
      <c r="F1653" s="24"/>
      <c r="G1653" s="24"/>
      <c r="H1653" s="24"/>
      <c r="I1653" s="24"/>
      <c r="J1653" s="24"/>
      <c r="K1653" s="24"/>
      <c r="L1653" s="24"/>
      <c r="M1653" s="24"/>
      <c r="N1653" s="24"/>
      <c r="O1653" s="24"/>
      <c r="P1653" s="24"/>
      <c r="Q1653" s="24"/>
      <c r="R1653" s="14"/>
      <c r="S1653" s="12"/>
      <c r="T1653" s="12"/>
      <c r="U1653" s="12"/>
      <c r="V1653" s="12"/>
      <c r="W1653" s="12"/>
      <c r="X1653" s="12"/>
      <c r="Y1653" s="12"/>
      <c r="Z1653" s="12"/>
      <c r="AA1653" s="12"/>
      <c r="AB1653" s="12"/>
      <c r="AC1653" s="12"/>
      <c r="AD1653" s="12"/>
    </row>
    <row r="1654" spans="1:30" x14ac:dyDescent="0.35">
      <c r="A1654" s="15"/>
      <c r="B1654" s="22"/>
      <c r="C1654" s="25"/>
      <c r="D1654" s="26"/>
      <c r="E1654" s="24"/>
      <c r="F1654" s="24"/>
      <c r="G1654" s="24"/>
      <c r="H1654" s="24"/>
      <c r="I1654" s="24"/>
      <c r="J1654" s="24"/>
      <c r="K1654" s="24"/>
      <c r="L1654" s="24"/>
      <c r="M1654" s="24"/>
      <c r="N1654" s="24"/>
      <c r="O1654" s="24"/>
      <c r="P1654" s="24"/>
      <c r="Q1654" s="24"/>
      <c r="R1654" s="14"/>
      <c r="S1654" s="12"/>
      <c r="T1654" s="12"/>
      <c r="U1654" s="12"/>
      <c r="V1654" s="12"/>
      <c r="W1654" s="12"/>
      <c r="X1654" s="12"/>
      <c r="Y1654" s="12"/>
      <c r="Z1654" s="12"/>
      <c r="AA1654" s="12"/>
      <c r="AB1654" s="12"/>
      <c r="AC1654" s="12"/>
      <c r="AD1654" s="12"/>
    </row>
    <row r="1655" spans="1:30" x14ac:dyDescent="0.35">
      <c r="A1655" s="15"/>
      <c r="B1655" s="22"/>
      <c r="C1655" s="25"/>
      <c r="D1655" s="26"/>
      <c r="E1655" s="24"/>
      <c r="F1655" s="24"/>
      <c r="G1655" s="24"/>
      <c r="H1655" s="24"/>
      <c r="I1655" s="24"/>
      <c r="J1655" s="24"/>
      <c r="K1655" s="24"/>
      <c r="L1655" s="24"/>
      <c r="M1655" s="24"/>
      <c r="N1655" s="24"/>
      <c r="O1655" s="24"/>
      <c r="P1655" s="24"/>
      <c r="Q1655" s="24"/>
      <c r="R1655" s="14"/>
      <c r="S1655" s="12"/>
      <c r="T1655" s="12"/>
      <c r="U1655" s="12"/>
      <c r="V1655" s="12"/>
      <c r="W1655" s="12"/>
      <c r="X1655" s="12"/>
      <c r="Y1655" s="12"/>
      <c r="Z1655" s="12"/>
      <c r="AA1655" s="12"/>
      <c r="AB1655" s="12"/>
      <c r="AC1655" s="12"/>
      <c r="AD1655" s="12"/>
    </row>
    <row r="1656" spans="1:30" x14ac:dyDescent="0.35">
      <c r="A1656" s="15"/>
      <c r="B1656" s="22"/>
      <c r="C1656" s="25"/>
      <c r="D1656" s="26"/>
      <c r="E1656" s="24"/>
      <c r="F1656" s="24"/>
      <c r="G1656" s="24"/>
      <c r="H1656" s="24"/>
      <c r="I1656" s="24"/>
      <c r="J1656" s="24"/>
      <c r="K1656" s="24"/>
      <c r="L1656" s="24"/>
      <c r="M1656" s="24"/>
      <c r="N1656" s="24"/>
      <c r="O1656" s="24"/>
      <c r="P1656" s="24"/>
      <c r="Q1656" s="24"/>
      <c r="R1656" s="14"/>
    </row>
    <row r="1657" spans="1:30" x14ac:dyDescent="0.35">
      <c r="A1657" s="15"/>
      <c r="B1657" s="22"/>
      <c r="C1657" s="25"/>
      <c r="D1657" s="26"/>
      <c r="E1657" s="24"/>
      <c r="F1657" s="24"/>
      <c r="G1657" s="24"/>
      <c r="H1657" s="24"/>
      <c r="I1657" s="24"/>
      <c r="J1657" s="24"/>
      <c r="K1657" s="24"/>
      <c r="L1657" s="24"/>
      <c r="M1657" s="24"/>
      <c r="N1657" s="24"/>
      <c r="O1657" s="24"/>
      <c r="P1657" s="24"/>
      <c r="Q1657" s="24"/>
      <c r="R1657" s="21"/>
    </row>
    <row r="1658" spans="1:30" x14ac:dyDescent="0.35">
      <c r="A1658" s="15"/>
      <c r="B1658" s="22"/>
      <c r="C1658" s="25"/>
      <c r="D1658" s="26"/>
      <c r="E1658" s="24"/>
      <c r="F1658" s="24"/>
      <c r="G1658" s="24"/>
      <c r="H1658" s="24"/>
      <c r="I1658" s="24"/>
      <c r="J1658" s="24"/>
      <c r="K1658" s="24"/>
      <c r="L1658" s="24"/>
      <c r="M1658" s="24"/>
      <c r="N1658" s="24"/>
      <c r="O1658" s="24"/>
      <c r="P1658" s="24"/>
      <c r="Q1658" s="24"/>
      <c r="R1658" s="21"/>
    </row>
    <row r="1659" spans="1:30" x14ac:dyDescent="0.35">
      <c r="A1659" s="15"/>
      <c r="B1659" s="22"/>
      <c r="C1659" s="25"/>
      <c r="D1659" s="26"/>
      <c r="E1659" s="24"/>
      <c r="F1659" s="24"/>
      <c r="G1659" s="24"/>
      <c r="H1659" s="24"/>
      <c r="I1659" s="24"/>
      <c r="J1659" s="24"/>
      <c r="K1659" s="24"/>
      <c r="L1659" s="24"/>
      <c r="M1659" s="24"/>
      <c r="N1659" s="24"/>
      <c r="O1659" s="24"/>
      <c r="P1659" s="24"/>
      <c r="Q1659" s="24"/>
      <c r="R1659" s="21"/>
    </row>
    <row r="1660" spans="1:30" x14ac:dyDescent="0.35">
      <c r="A1660" s="15"/>
      <c r="B1660" s="22"/>
      <c r="C1660" s="25"/>
      <c r="D1660" s="26"/>
      <c r="E1660" s="24"/>
      <c r="F1660" s="24"/>
      <c r="G1660" s="24"/>
      <c r="H1660" s="24"/>
      <c r="I1660" s="24"/>
      <c r="J1660" s="24"/>
      <c r="K1660" s="24"/>
      <c r="L1660" s="24"/>
      <c r="M1660" s="24"/>
      <c r="N1660" s="24"/>
      <c r="O1660" s="24"/>
      <c r="P1660" s="24"/>
      <c r="Q1660" s="24"/>
      <c r="R1660" s="21"/>
    </row>
    <row r="1661" spans="1:30" x14ac:dyDescent="0.35">
      <c r="A1661" s="15"/>
      <c r="B1661" s="22"/>
      <c r="C1661" s="25"/>
      <c r="D1661" s="26"/>
      <c r="E1661" s="24"/>
      <c r="F1661" s="24"/>
      <c r="G1661" s="24"/>
      <c r="H1661" s="24"/>
      <c r="I1661" s="24"/>
      <c r="J1661" s="24"/>
      <c r="K1661" s="24"/>
      <c r="L1661" s="24"/>
      <c r="M1661" s="24"/>
      <c r="N1661" s="24"/>
      <c r="O1661" s="24"/>
      <c r="P1661" s="24"/>
      <c r="Q1661" s="24"/>
      <c r="R1661" s="21"/>
    </row>
    <row r="1662" spans="1:30" x14ac:dyDescent="0.35">
      <c r="A1662" s="15"/>
      <c r="B1662" s="22"/>
      <c r="C1662" s="25"/>
      <c r="D1662" s="26"/>
      <c r="E1662" s="24"/>
      <c r="F1662" s="24"/>
      <c r="G1662" s="24"/>
      <c r="H1662" s="24"/>
      <c r="I1662" s="24"/>
      <c r="J1662" s="24"/>
      <c r="K1662" s="24"/>
      <c r="L1662" s="24"/>
      <c r="M1662" s="24"/>
      <c r="N1662" s="24"/>
      <c r="O1662" s="24"/>
      <c r="P1662" s="24"/>
      <c r="Q1662" s="24"/>
      <c r="R1662" s="21"/>
    </row>
    <row r="1663" spans="1:30" x14ac:dyDescent="0.35">
      <c r="A1663" s="15"/>
      <c r="B1663" s="22"/>
      <c r="C1663" s="25"/>
      <c r="D1663" s="26"/>
      <c r="E1663" s="24"/>
      <c r="F1663" s="24"/>
      <c r="G1663" s="24"/>
      <c r="H1663" s="24"/>
      <c r="I1663" s="24"/>
      <c r="J1663" s="24"/>
      <c r="K1663" s="24"/>
      <c r="L1663" s="24"/>
      <c r="M1663" s="24"/>
      <c r="N1663" s="24"/>
      <c r="O1663" s="24"/>
      <c r="P1663" s="24"/>
      <c r="Q1663" s="24"/>
      <c r="R1663" s="21"/>
    </row>
    <row r="1664" spans="1:30" x14ac:dyDescent="0.35">
      <c r="A1664" s="15"/>
      <c r="B1664" s="22"/>
      <c r="C1664" s="25"/>
      <c r="D1664" s="26"/>
      <c r="E1664" s="24"/>
      <c r="F1664" s="24"/>
      <c r="G1664" s="24"/>
      <c r="H1664" s="24"/>
      <c r="I1664" s="24"/>
      <c r="J1664" s="24"/>
      <c r="K1664" s="24"/>
      <c r="L1664" s="24"/>
      <c r="M1664" s="24"/>
      <c r="N1664" s="24"/>
      <c r="O1664" s="24"/>
      <c r="P1664" s="24"/>
      <c r="Q1664" s="24"/>
      <c r="R1664" s="21"/>
    </row>
    <row r="1665" spans="1:18" x14ac:dyDescent="0.35">
      <c r="A1665" s="15"/>
      <c r="B1665" s="22"/>
      <c r="C1665" s="25"/>
      <c r="D1665" s="26"/>
      <c r="E1665" s="24"/>
      <c r="F1665" s="24"/>
      <c r="G1665" s="24"/>
      <c r="H1665" s="24"/>
      <c r="I1665" s="24"/>
      <c r="J1665" s="24"/>
      <c r="K1665" s="24"/>
      <c r="L1665" s="24"/>
      <c r="M1665" s="24"/>
      <c r="N1665" s="24"/>
      <c r="O1665" s="24"/>
      <c r="P1665" s="24"/>
      <c r="Q1665" s="24"/>
      <c r="R1665" s="21"/>
    </row>
    <row r="1666" spans="1:18" x14ac:dyDescent="0.35">
      <c r="A1666" s="15"/>
      <c r="B1666" s="22"/>
      <c r="C1666" s="25"/>
      <c r="D1666" s="26"/>
      <c r="E1666" s="24"/>
      <c r="F1666" s="24"/>
      <c r="G1666" s="24"/>
      <c r="H1666" s="24"/>
      <c r="I1666" s="24"/>
      <c r="J1666" s="24"/>
      <c r="K1666" s="24"/>
      <c r="L1666" s="24"/>
      <c r="M1666" s="24"/>
      <c r="N1666" s="24"/>
      <c r="O1666" s="24"/>
      <c r="P1666" s="24"/>
      <c r="Q1666" s="24"/>
      <c r="R1666" s="14"/>
    </row>
    <row r="1667" spans="1:18" x14ac:dyDescent="0.35">
      <c r="A1667" s="15"/>
      <c r="B1667" s="22"/>
      <c r="C1667" s="25"/>
      <c r="D1667" s="26"/>
      <c r="E1667" s="24"/>
      <c r="F1667" s="24"/>
      <c r="G1667" s="24"/>
      <c r="H1667" s="24"/>
      <c r="I1667" s="24"/>
      <c r="J1667" s="24"/>
      <c r="K1667" s="24"/>
      <c r="L1667" s="24"/>
      <c r="M1667" s="24"/>
      <c r="N1667" s="24"/>
      <c r="O1667" s="24"/>
      <c r="P1667" s="24"/>
      <c r="Q1667" s="24"/>
      <c r="R1667" s="14"/>
    </row>
    <row r="1668" spans="1:18" x14ac:dyDescent="0.35">
      <c r="A1668" s="15"/>
      <c r="B1668" s="22"/>
      <c r="C1668" s="25"/>
      <c r="D1668" s="26"/>
      <c r="E1668" s="24"/>
      <c r="F1668" s="24"/>
      <c r="G1668" s="24"/>
      <c r="H1668" s="24"/>
      <c r="I1668" s="24"/>
      <c r="J1668" s="24"/>
      <c r="K1668" s="24"/>
      <c r="L1668" s="24"/>
      <c r="M1668" s="24"/>
      <c r="N1668" s="24"/>
      <c r="O1668" s="24"/>
      <c r="P1668" s="24"/>
      <c r="Q1668" s="24"/>
      <c r="R1668" s="14"/>
    </row>
    <row r="1669" spans="1:18" x14ac:dyDescent="0.35">
      <c r="A1669" s="15"/>
      <c r="B1669" s="22"/>
      <c r="C1669" s="25"/>
      <c r="D1669" s="26"/>
      <c r="E1669" s="24"/>
      <c r="F1669" s="24"/>
      <c r="G1669" s="24"/>
      <c r="H1669" s="24"/>
      <c r="I1669" s="24"/>
      <c r="J1669" s="24"/>
      <c r="K1669" s="24"/>
      <c r="L1669" s="24"/>
      <c r="M1669" s="24"/>
      <c r="N1669" s="24"/>
      <c r="O1669" s="24"/>
      <c r="P1669" s="24"/>
      <c r="Q1669" s="24"/>
      <c r="R1669" s="14"/>
    </row>
    <row r="1670" spans="1:18" x14ac:dyDescent="0.35">
      <c r="A1670" s="15"/>
      <c r="B1670" s="22"/>
      <c r="C1670" s="25"/>
      <c r="D1670" s="26"/>
      <c r="E1670" s="24"/>
      <c r="F1670" s="24"/>
      <c r="G1670" s="24"/>
      <c r="H1670" s="24"/>
      <c r="I1670" s="24"/>
      <c r="J1670" s="24"/>
      <c r="K1670" s="24"/>
      <c r="L1670" s="24"/>
      <c r="M1670" s="24"/>
      <c r="N1670" s="24"/>
      <c r="O1670" s="24"/>
      <c r="P1670" s="24"/>
      <c r="Q1670" s="24"/>
      <c r="R1670" s="14"/>
    </row>
    <row r="1671" spans="1:18" x14ac:dyDescent="0.35">
      <c r="A1671" s="15"/>
      <c r="B1671" s="22"/>
      <c r="C1671" s="25"/>
      <c r="D1671" s="26"/>
      <c r="E1671" s="24"/>
      <c r="F1671" s="24"/>
      <c r="G1671" s="24"/>
      <c r="H1671" s="24"/>
      <c r="I1671" s="24"/>
      <c r="J1671" s="24"/>
      <c r="K1671" s="24"/>
      <c r="L1671" s="24"/>
      <c r="M1671" s="24"/>
      <c r="N1671" s="24"/>
      <c r="O1671" s="24"/>
      <c r="P1671" s="24"/>
      <c r="Q1671" s="24"/>
      <c r="R1671" s="14"/>
    </row>
    <row r="1672" spans="1:18" x14ac:dyDescent="0.35">
      <c r="A1672" s="15"/>
      <c r="B1672" s="22"/>
      <c r="C1672" s="25"/>
      <c r="D1672" s="26"/>
      <c r="E1672" s="24"/>
      <c r="F1672" s="24"/>
      <c r="G1672" s="24"/>
      <c r="H1672" s="24"/>
      <c r="I1672" s="24"/>
      <c r="J1672" s="24"/>
      <c r="K1672" s="24"/>
      <c r="L1672" s="24"/>
      <c r="M1672" s="24"/>
      <c r="N1672" s="24"/>
      <c r="O1672" s="24"/>
      <c r="P1672" s="24"/>
      <c r="Q1672" s="24"/>
      <c r="R1672" s="14"/>
    </row>
    <row r="1673" spans="1:18" x14ac:dyDescent="0.35">
      <c r="A1673" s="15"/>
      <c r="B1673" s="22"/>
      <c r="C1673" s="25"/>
      <c r="D1673" s="26"/>
      <c r="E1673" s="24"/>
      <c r="F1673" s="24"/>
      <c r="G1673" s="24"/>
      <c r="H1673" s="24"/>
      <c r="I1673" s="24"/>
      <c r="J1673" s="24"/>
      <c r="K1673" s="24"/>
      <c r="L1673" s="24"/>
      <c r="M1673" s="24"/>
      <c r="N1673" s="24"/>
      <c r="O1673" s="24"/>
      <c r="P1673" s="24"/>
      <c r="Q1673" s="24"/>
      <c r="R1673" s="14"/>
    </row>
    <row r="1674" spans="1:18" x14ac:dyDescent="0.35">
      <c r="A1674" s="20"/>
      <c r="B1674" s="22"/>
      <c r="C1674" s="25"/>
      <c r="D1674" s="26"/>
      <c r="E1674" s="24"/>
      <c r="F1674" s="24"/>
      <c r="G1674" s="24"/>
      <c r="H1674" s="24"/>
      <c r="I1674" s="24"/>
      <c r="J1674" s="24"/>
      <c r="K1674" s="24"/>
      <c r="L1674" s="24"/>
      <c r="M1674" s="24"/>
      <c r="N1674" s="24"/>
      <c r="O1674" s="24"/>
      <c r="P1674" s="24"/>
      <c r="Q1674" s="24"/>
      <c r="R1674" s="14"/>
    </row>
    <row r="1675" spans="1:18" x14ac:dyDescent="0.35">
      <c r="A1675" s="20"/>
      <c r="B1675" s="22"/>
      <c r="C1675" s="25"/>
      <c r="D1675" s="26"/>
      <c r="E1675" s="24"/>
      <c r="F1675" s="24"/>
      <c r="G1675" s="24"/>
      <c r="H1675" s="24"/>
      <c r="I1675" s="24"/>
      <c r="J1675" s="24"/>
      <c r="K1675" s="24"/>
      <c r="L1675" s="24"/>
      <c r="M1675" s="24"/>
      <c r="N1675" s="24"/>
      <c r="O1675" s="24"/>
      <c r="P1675" s="24"/>
      <c r="Q1675" s="24"/>
      <c r="R1675" s="14"/>
    </row>
    <row r="1676" spans="1:18" x14ac:dyDescent="0.35">
      <c r="A1676" s="20"/>
      <c r="B1676" s="22"/>
      <c r="C1676" s="25"/>
      <c r="D1676" s="26"/>
      <c r="E1676" s="24"/>
      <c r="F1676" s="24"/>
      <c r="G1676" s="24"/>
      <c r="H1676" s="24"/>
      <c r="I1676" s="24"/>
      <c r="J1676" s="24"/>
      <c r="K1676" s="24"/>
      <c r="L1676" s="24"/>
      <c r="M1676" s="24"/>
      <c r="N1676" s="24"/>
      <c r="O1676" s="24"/>
      <c r="P1676" s="24"/>
      <c r="Q1676" s="24"/>
      <c r="R1676" s="14"/>
    </row>
    <row r="1677" spans="1:18" x14ac:dyDescent="0.35">
      <c r="A1677" s="20"/>
      <c r="B1677" s="22"/>
      <c r="C1677" s="25"/>
      <c r="D1677" s="26"/>
      <c r="E1677" s="24"/>
      <c r="F1677" s="24"/>
      <c r="G1677" s="24"/>
      <c r="H1677" s="24"/>
      <c r="I1677" s="24"/>
      <c r="J1677" s="24"/>
      <c r="K1677" s="24"/>
      <c r="L1677" s="24"/>
      <c r="M1677" s="24"/>
      <c r="N1677" s="24"/>
      <c r="O1677" s="24"/>
      <c r="P1677" s="24"/>
      <c r="Q1677" s="24"/>
      <c r="R1677" s="14"/>
    </row>
    <row r="1678" spans="1:18" x14ac:dyDescent="0.35">
      <c r="A1678" s="20"/>
      <c r="B1678" s="22"/>
      <c r="C1678" s="25"/>
      <c r="D1678" s="26"/>
      <c r="E1678" s="24"/>
      <c r="F1678" s="24"/>
      <c r="G1678" s="24"/>
      <c r="H1678" s="24"/>
      <c r="I1678" s="24"/>
      <c r="J1678" s="24"/>
      <c r="K1678" s="24"/>
      <c r="L1678" s="24"/>
      <c r="M1678" s="24"/>
      <c r="N1678" s="24"/>
      <c r="O1678" s="24"/>
      <c r="P1678" s="24"/>
      <c r="Q1678" s="24"/>
      <c r="R1678" s="14"/>
    </row>
    <row r="1679" spans="1:18" x14ac:dyDescent="0.35">
      <c r="A1679" s="20"/>
      <c r="B1679" s="22"/>
      <c r="C1679" s="25"/>
      <c r="D1679" s="26"/>
      <c r="E1679" s="24"/>
      <c r="F1679" s="24"/>
      <c r="G1679" s="24"/>
      <c r="H1679" s="24"/>
      <c r="I1679" s="24"/>
      <c r="J1679" s="24"/>
      <c r="K1679" s="24"/>
      <c r="L1679" s="24"/>
      <c r="M1679" s="24"/>
      <c r="N1679" s="24"/>
      <c r="O1679" s="24"/>
      <c r="P1679" s="24"/>
      <c r="Q1679" s="24"/>
      <c r="R1679" s="14"/>
    </row>
    <row r="1680" spans="1:18" x14ac:dyDescent="0.35">
      <c r="A1680" s="20"/>
      <c r="B1680" s="22"/>
      <c r="C1680" s="25"/>
      <c r="D1680" s="26"/>
      <c r="E1680" s="24"/>
      <c r="F1680" s="24"/>
      <c r="G1680" s="24"/>
      <c r="H1680" s="24"/>
      <c r="I1680" s="24"/>
      <c r="J1680" s="24"/>
      <c r="K1680" s="24"/>
      <c r="L1680" s="24"/>
      <c r="M1680" s="24"/>
      <c r="N1680" s="24"/>
      <c r="O1680" s="24"/>
      <c r="P1680" s="24"/>
      <c r="Q1680" s="24"/>
      <c r="R1680" s="14"/>
    </row>
    <row r="1681" spans="1:18" x14ac:dyDescent="0.35">
      <c r="A1681" s="20"/>
      <c r="B1681" s="22"/>
      <c r="C1681" s="25"/>
      <c r="D1681" s="26"/>
      <c r="E1681" s="24"/>
      <c r="F1681" s="24"/>
      <c r="G1681" s="24"/>
      <c r="H1681" s="24"/>
      <c r="I1681" s="24"/>
      <c r="J1681" s="24"/>
      <c r="K1681" s="24"/>
      <c r="L1681" s="24"/>
      <c r="M1681" s="24"/>
      <c r="N1681" s="24"/>
      <c r="O1681" s="24"/>
      <c r="P1681" s="24"/>
      <c r="Q1681" s="24"/>
      <c r="R1681" s="21"/>
    </row>
    <row r="1682" spans="1:18" x14ac:dyDescent="0.35">
      <c r="A1682" s="20"/>
      <c r="B1682" s="22"/>
      <c r="C1682" s="25"/>
      <c r="D1682" s="26"/>
      <c r="E1682" s="24"/>
      <c r="F1682" s="24"/>
      <c r="G1682" s="24"/>
      <c r="H1682" s="24"/>
      <c r="I1682" s="24"/>
      <c r="J1682" s="24"/>
      <c r="K1682" s="24"/>
      <c r="L1682" s="24"/>
      <c r="M1682" s="24"/>
      <c r="N1682" s="24"/>
      <c r="O1682" s="24"/>
      <c r="P1682" s="24"/>
      <c r="Q1682" s="24"/>
      <c r="R1682" s="21"/>
    </row>
    <row r="1683" spans="1:18" x14ac:dyDescent="0.35">
      <c r="A1683" s="20"/>
      <c r="B1683" s="22"/>
      <c r="C1683" s="25"/>
      <c r="D1683" s="26"/>
      <c r="E1683" s="24"/>
      <c r="F1683" s="24"/>
      <c r="G1683" s="24"/>
      <c r="H1683" s="24"/>
      <c r="I1683" s="24"/>
      <c r="J1683" s="24"/>
      <c r="K1683" s="24"/>
      <c r="L1683" s="24"/>
      <c r="M1683" s="24"/>
      <c r="N1683" s="24"/>
      <c r="O1683" s="24"/>
      <c r="P1683" s="24"/>
      <c r="Q1683" s="24"/>
      <c r="R1683" s="21"/>
    </row>
    <row r="1684" spans="1:18" x14ac:dyDescent="0.35">
      <c r="A1684" s="20"/>
      <c r="B1684" s="22"/>
      <c r="C1684" s="25"/>
      <c r="D1684" s="26"/>
      <c r="E1684" s="24"/>
      <c r="F1684" s="24"/>
      <c r="G1684" s="24"/>
      <c r="H1684" s="24"/>
      <c r="I1684" s="24"/>
      <c r="J1684" s="24"/>
      <c r="K1684" s="24"/>
      <c r="L1684" s="24"/>
      <c r="M1684" s="24"/>
      <c r="N1684" s="24"/>
      <c r="O1684" s="24"/>
      <c r="P1684" s="24"/>
      <c r="Q1684" s="24"/>
      <c r="R1684" s="21"/>
    </row>
    <row r="1685" spans="1:18" x14ac:dyDescent="0.35">
      <c r="A1685" s="20"/>
      <c r="B1685" s="22"/>
      <c r="C1685" s="25"/>
      <c r="D1685" s="26"/>
      <c r="E1685" s="24"/>
      <c r="F1685" s="24"/>
      <c r="G1685" s="24"/>
      <c r="H1685" s="24"/>
      <c r="I1685" s="24"/>
      <c r="J1685" s="24"/>
      <c r="K1685" s="24"/>
      <c r="L1685" s="24"/>
      <c r="M1685" s="24"/>
      <c r="N1685" s="24"/>
      <c r="O1685" s="24"/>
      <c r="P1685" s="24"/>
      <c r="Q1685" s="24"/>
      <c r="R1685" s="21"/>
    </row>
    <row r="1686" spans="1:18" x14ac:dyDescent="0.35">
      <c r="A1686" s="20"/>
      <c r="B1686" s="22"/>
      <c r="C1686" s="25"/>
      <c r="D1686" s="26"/>
      <c r="E1686" s="24"/>
      <c r="F1686" s="24"/>
      <c r="G1686" s="24"/>
      <c r="H1686" s="24"/>
      <c r="I1686" s="24"/>
      <c r="J1686" s="24"/>
      <c r="K1686" s="24"/>
      <c r="L1686" s="24"/>
      <c r="M1686" s="24"/>
      <c r="N1686" s="24"/>
      <c r="O1686" s="24"/>
      <c r="P1686" s="24"/>
      <c r="Q1686" s="24"/>
      <c r="R1686" s="21"/>
    </row>
    <row r="1687" spans="1:18" x14ac:dyDescent="0.35">
      <c r="A1687" s="20"/>
      <c r="B1687" s="22"/>
      <c r="C1687" s="25"/>
      <c r="D1687" s="26"/>
      <c r="E1687" s="24"/>
      <c r="F1687" s="24"/>
      <c r="G1687" s="24"/>
      <c r="H1687" s="24"/>
      <c r="I1687" s="24"/>
      <c r="J1687" s="24"/>
      <c r="K1687" s="24"/>
      <c r="L1687" s="24"/>
      <c r="M1687" s="24"/>
      <c r="N1687" s="24"/>
      <c r="O1687" s="24"/>
      <c r="P1687" s="24"/>
      <c r="Q1687" s="24"/>
      <c r="R1687" s="21"/>
    </row>
    <row r="1688" spans="1:18" x14ac:dyDescent="0.35">
      <c r="A1688" s="20"/>
      <c r="B1688" s="22"/>
      <c r="C1688" s="25"/>
      <c r="D1688" s="26"/>
      <c r="E1688" s="24"/>
      <c r="F1688" s="24"/>
      <c r="G1688" s="24"/>
      <c r="H1688" s="24"/>
      <c r="I1688" s="24"/>
      <c r="J1688" s="24"/>
      <c r="K1688" s="24"/>
      <c r="L1688" s="24"/>
      <c r="M1688" s="24"/>
      <c r="N1688" s="24"/>
      <c r="O1688" s="24"/>
      <c r="P1688" s="24"/>
      <c r="Q1688" s="24"/>
      <c r="R1688" s="21"/>
    </row>
    <row r="1689" spans="1:18" x14ac:dyDescent="0.35">
      <c r="A1689" s="20"/>
      <c r="B1689" s="22"/>
      <c r="C1689" s="25"/>
      <c r="D1689" s="26"/>
      <c r="E1689" s="24"/>
      <c r="F1689" s="24"/>
      <c r="G1689" s="24"/>
      <c r="H1689" s="24"/>
      <c r="I1689" s="24"/>
      <c r="J1689" s="24"/>
      <c r="K1689" s="24"/>
      <c r="L1689" s="24"/>
      <c r="M1689" s="24"/>
      <c r="N1689" s="24"/>
      <c r="O1689" s="24"/>
      <c r="P1689" s="24"/>
      <c r="Q1689" s="24"/>
      <c r="R1689" s="21"/>
    </row>
    <row r="1690" spans="1:18" x14ac:dyDescent="0.35">
      <c r="A1690" s="20"/>
      <c r="B1690" s="22"/>
      <c r="C1690" s="25"/>
      <c r="D1690" s="26"/>
      <c r="E1690" s="24"/>
      <c r="F1690" s="24"/>
      <c r="G1690" s="24"/>
      <c r="H1690" s="24"/>
      <c r="I1690" s="24"/>
      <c r="J1690" s="24"/>
      <c r="K1690" s="24"/>
      <c r="L1690" s="24"/>
      <c r="M1690" s="24"/>
      <c r="N1690" s="24"/>
      <c r="O1690" s="24"/>
      <c r="P1690" s="24"/>
      <c r="Q1690" s="24"/>
      <c r="R1690" s="21"/>
    </row>
    <row r="1691" spans="1:18" x14ac:dyDescent="0.35">
      <c r="A1691" s="20"/>
      <c r="B1691" s="22"/>
      <c r="C1691" s="25"/>
      <c r="D1691" s="26"/>
      <c r="E1691" s="24"/>
      <c r="F1691" s="24"/>
      <c r="G1691" s="24"/>
      <c r="H1691" s="24"/>
      <c r="I1691" s="24"/>
      <c r="J1691" s="24"/>
      <c r="K1691" s="24"/>
      <c r="L1691" s="24"/>
      <c r="M1691" s="24"/>
      <c r="N1691" s="24"/>
      <c r="O1691" s="24"/>
      <c r="P1691" s="24"/>
      <c r="Q1691" s="24"/>
      <c r="R1691" s="21"/>
    </row>
    <row r="1692" spans="1:18" x14ac:dyDescent="0.35">
      <c r="A1692" s="20"/>
      <c r="B1692" s="22"/>
      <c r="C1692" s="25"/>
      <c r="D1692" s="26"/>
      <c r="E1692" s="24"/>
      <c r="F1692" s="24"/>
      <c r="G1692" s="24"/>
      <c r="H1692" s="24"/>
      <c r="I1692" s="24"/>
      <c r="J1692" s="24"/>
      <c r="K1692" s="24"/>
      <c r="L1692" s="24"/>
      <c r="M1692" s="24"/>
      <c r="N1692" s="24"/>
      <c r="O1692" s="24"/>
      <c r="P1692" s="24"/>
      <c r="Q1692" s="24"/>
      <c r="R1692" s="21"/>
    </row>
    <row r="1693" spans="1:18" x14ac:dyDescent="0.35">
      <c r="A1693" s="20"/>
      <c r="B1693" s="22"/>
      <c r="C1693" s="25"/>
      <c r="D1693" s="26"/>
      <c r="E1693" s="24"/>
      <c r="F1693" s="24"/>
      <c r="G1693" s="24"/>
      <c r="H1693" s="24"/>
      <c r="I1693" s="24"/>
      <c r="J1693" s="24"/>
      <c r="K1693" s="24"/>
      <c r="L1693" s="24"/>
      <c r="M1693" s="24"/>
      <c r="N1693" s="24"/>
      <c r="O1693" s="24"/>
      <c r="P1693" s="24"/>
      <c r="Q1693" s="24"/>
      <c r="R1693" s="21"/>
    </row>
    <row r="1694" spans="1:18" x14ac:dyDescent="0.35">
      <c r="A1694" s="20"/>
      <c r="B1694" s="22"/>
      <c r="C1694" s="25"/>
      <c r="D1694" s="26"/>
      <c r="E1694" s="24"/>
      <c r="F1694" s="24"/>
      <c r="G1694" s="24"/>
      <c r="H1694" s="24"/>
      <c r="I1694" s="24"/>
      <c r="J1694" s="24"/>
      <c r="K1694" s="24"/>
      <c r="L1694" s="24"/>
      <c r="M1694" s="24"/>
      <c r="N1694" s="24"/>
      <c r="O1694" s="24"/>
      <c r="P1694" s="24"/>
      <c r="Q1694" s="24"/>
      <c r="R1694" s="21"/>
    </row>
    <row r="1695" spans="1:18" x14ac:dyDescent="0.35">
      <c r="A1695" s="20"/>
      <c r="B1695" s="22"/>
      <c r="C1695" s="25"/>
      <c r="D1695" s="26"/>
      <c r="E1695" s="24"/>
      <c r="F1695" s="24"/>
      <c r="G1695" s="24"/>
      <c r="H1695" s="24"/>
      <c r="I1695" s="24"/>
      <c r="J1695" s="24"/>
      <c r="K1695" s="24"/>
      <c r="L1695" s="24"/>
      <c r="M1695" s="24"/>
      <c r="N1695" s="24"/>
      <c r="O1695" s="24"/>
      <c r="P1695" s="24"/>
      <c r="Q1695" s="24"/>
      <c r="R1695" s="21"/>
    </row>
    <row r="1696" spans="1:18" x14ac:dyDescent="0.35">
      <c r="A1696" s="20"/>
      <c r="B1696" s="22"/>
      <c r="C1696" s="25"/>
      <c r="D1696" s="26"/>
      <c r="E1696" s="24"/>
      <c r="F1696" s="24"/>
      <c r="G1696" s="24"/>
      <c r="H1696" s="24"/>
      <c r="I1696" s="24"/>
      <c r="J1696" s="24"/>
      <c r="K1696" s="24"/>
      <c r="L1696" s="24"/>
      <c r="M1696" s="24"/>
      <c r="N1696" s="24"/>
      <c r="O1696" s="24"/>
      <c r="P1696" s="24"/>
      <c r="Q1696" s="24"/>
      <c r="R1696" s="21"/>
    </row>
    <row r="1697" spans="1:18" x14ac:dyDescent="0.35">
      <c r="A1697" s="20"/>
      <c r="B1697" s="22"/>
      <c r="C1697" s="25"/>
      <c r="D1697" s="26"/>
      <c r="E1697" s="24"/>
      <c r="F1697" s="24"/>
      <c r="G1697" s="24"/>
      <c r="H1697" s="24"/>
      <c r="I1697" s="24"/>
      <c r="J1697" s="24"/>
      <c r="K1697" s="24"/>
      <c r="L1697" s="24"/>
      <c r="M1697" s="24"/>
      <c r="N1697" s="24"/>
      <c r="O1697" s="24"/>
      <c r="P1697" s="24"/>
      <c r="Q1697" s="24"/>
      <c r="R1697" s="14"/>
    </row>
    <row r="1698" spans="1:18" x14ac:dyDescent="0.35">
      <c r="A1698" s="20"/>
      <c r="B1698" s="22"/>
      <c r="C1698" s="25"/>
      <c r="D1698" s="26"/>
      <c r="E1698" s="24"/>
      <c r="F1698" s="24"/>
      <c r="G1698" s="24"/>
      <c r="H1698" s="24"/>
      <c r="I1698" s="24"/>
      <c r="J1698" s="24"/>
      <c r="K1698" s="24"/>
      <c r="L1698" s="24"/>
      <c r="M1698" s="24"/>
      <c r="N1698" s="24"/>
      <c r="O1698" s="24"/>
      <c r="P1698" s="24"/>
      <c r="Q1698" s="24"/>
      <c r="R1698" s="14"/>
    </row>
    <row r="1699" spans="1:18" x14ac:dyDescent="0.35">
      <c r="A1699" s="20"/>
      <c r="B1699" s="22"/>
      <c r="C1699" s="25"/>
      <c r="D1699" s="26"/>
      <c r="E1699" s="24"/>
      <c r="F1699" s="24"/>
      <c r="G1699" s="24"/>
      <c r="H1699" s="24"/>
      <c r="I1699" s="24"/>
      <c r="J1699" s="24"/>
      <c r="K1699" s="24"/>
      <c r="L1699" s="24"/>
      <c r="M1699" s="24"/>
      <c r="N1699" s="24"/>
      <c r="O1699" s="24"/>
      <c r="P1699" s="24"/>
      <c r="Q1699" s="24"/>
      <c r="R1699" s="14"/>
    </row>
    <row r="1700" spans="1:18" x14ac:dyDescent="0.35">
      <c r="A1700" s="20"/>
      <c r="B1700" s="22"/>
      <c r="C1700" s="25"/>
      <c r="D1700" s="26"/>
      <c r="E1700" s="24"/>
      <c r="F1700" s="24"/>
      <c r="G1700" s="24"/>
      <c r="H1700" s="24"/>
      <c r="I1700" s="24"/>
      <c r="J1700" s="24"/>
      <c r="K1700" s="24"/>
      <c r="L1700" s="24"/>
      <c r="M1700" s="24"/>
      <c r="N1700" s="24"/>
      <c r="O1700" s="24"/>
      <c r="P1700" s="24"/>
      <c r="Q1700" s="24"/>
      <c r="R1700" s="14"/>
    </row>
    <row r="1701" spans="1:18" x14ac:dyDescent="0.35">
      <c r="A1701" s="20"/>
      <c r="B1701" s="22"/>
      <c r="C1701" s="25"/>
      <c r="D1701" s="26"/>
      <c r="E1701" s="24"/>
      <c r="F1701" s="24"/>
      <c r="G1701" s="24"/>
      <c r="H1701" s="24"/>
      <c r="I1701" s="24"/>
      <c r="J1701" s="24"/>
      <c r="K1701" s="24"/>
      <c r="L1701" s="24"/>
      <c r="M1701" s="24"/>
      <c r="N1701" s="24"/>
      <c r="O1701" s="24"/>
      <c r="P1701" s="24"/>
      <c r="Q1701" s="24"/>
      <c r="R1701" s="14"/>
    </row>
    <row r="1702" spans="1:18" x14ac:dyDescent="0.35">
      <c r="A1702" s="20"/>
      <c r="B1702" s="22"/>
      <c r="C1702" s="25"/>
      <c r="D1702" s="26"/>
      <c r="E1702" s="24"/>
      <c r="F1702" s="24"/>
      <c r="G1702" s="24"/>
      <c r="H1702" s="24"/>
      <c r="I1702" s="24"/>
      <c r="J1702" s="24"/>
      <c r="K1702" s="24"/>
      <c r="L1702" s="24"/>
      <c r="M1702" s="24"/>
      <c r="N1702" s="24"/>
      <c r="O1702" s="24"/>
      <c r="P1702" s="24"/>
      <c r="Q1702" s="24"/>
      <c r="R1702" s="14"/>
    </row>
    <row r="1703" spans="1:18" x14ac:dyDescent="0.35">
      <c r="A1703" s="20"/>
      <c r="B1703" s="22"/>
      <c r="C1703" s="25"/>
      <c r="D1703" s="26"/>
      <c r="E1703" s="24"/>
      <c r="F1703" s="24"/>
      <c r="G1703" s="24"/>
      <c r="H1703" s="24"/>
      <c r="I1703" s="24"/>
      <c r="J1703" s="24"/>
      <c r="K1703" s="24"/>
      <c r="L1703" s="24"/>
      <c r="M1703" s="24"/>
      <c r="N1703" s="24"/>
      <c r="O1703" s="24"/>
      <c r="P1703" s="24"/>
      <c r="Q1703" s="24"/>
      <c r="R1703" s="14"/>
    </row>
    <row r="1704" spans="1:18" x14ac:dyDescent="0.35">
      <c r="A1704" s="20"/>
      <c r="B1704" s="22"/>
      <c r="C1704" s="25"/>
      <c r="D1704" s="26"/>
      <c r="E1704" s="24"/>
      <c r="F1704" s="24"/>
      <c r="G1704" s="24"/>
      <c r="H1704" s="24"/>
      <c r="I1704" s="24"/>
      <c r="J1704" s="24"/>
      <c r="K1704" s="24"/>
      <c r="L1704" s="24"/>
      <c r="M1704" s="24"/>
      <c r="N1704" s="24"/>
      <c r="O1704" s="24"/>
      <c r="P1704" s="24"/>
      <c r="Q1704" s="24"/>
      <c r="R1704" s="14"/>
    </row>
    <row r="1705" spans="1:18" x14ac:dyDescent="0.35">
      <c r="A1705" s="20"/>
      <c r="B1705" s="22"/>
      <c r="C1705" s="25"/>
      <c r="D1705" s="26"/>
      <c r="E1705" s="24"/>
      <c r="F1705" s="24"/>
      <c r="G1705" s="24"/>
      <c r="H1705" s="24"/>
      <c r="I1705" s="24"/>
      <c r="J1705" s="24"/>
      <c r="K1705" s="24"/>
      <c r="L1705" s="24"/>
      <c r="M1705" s="24"/>
      <c r="N1705" s="24"/>
      <c r="O1705" s="24"/>
      <c r="P1705" s="24"/>
      <c r="Q1705" s="24"/>
      <c r="R1705" s="14"/>
    </row>
    <row r="1706" spans="1:18" x14ac:dyDescent="0.35">
      <c r="A1706" s="20"/>
      <c r="B1706" s="22"/>
      <c r="C1706" s="25"/>
      <c r="D1706" s="26"/>
      <c r="E1706" s="24"/>
      <c r="F1706" s="24"/>
      <c r="G1706" s="24"/>
      <c r="H1706" s="24"/>
      <c r="I1706" s="24"/>
      <c r="J1706" s="24"/>
      <c r="K1706" s="24"/>
      <c r="L1706" s="24"/>
      <c r="M1706" s="24"/>
      <c r="N1706" s="24"/>
      <c r="O1706" s="24"/>
      <c r="P1706" s="24"/>
      <c r="Q1706" s="24"/>
      <c r="R1706" s="21"/>
    </row>
    <row r="1707" spans="1:18" x14ac:dyDescent="0.35">
      <c r="A1707" s="20"/>
      <c r="B1707" s="22"/>
      <c r="C1707" s="25"/>
      <c r="D1707" s="26"/>
      <c r="E1707" s="24"/>
      <c r="F1707" s="24"/>
      <c r="G1707" s="24"/>
      <c r="H1707" s="24"/>
      <c r="I1707" s="24"/>
      <c r="J1707" s="24"/>
      <c r="K1707" s="24"/>
      <c r="L1707" s="24"/>
      <c r="M1707" s="24"/>
      <c r="N1707" s="24"/>
      <c r="O1707" s="24"/>
      <c r="P1707" s="24"/>
      <c r="Q1707" s="24"/>
      <c r="R1707" s="21"/>
    </row>
    <row r="1708" spans="1:18" x14ac:dyDescent="0.35">
      <c r="A1708" s="20"/>
      <c r="B1708" s="22"/>
      <c r="C1708" s="25"/>
      <c r="D1708" s="26"/>
      <c r="E1708" s="24"/>
      <c r="F1708" s="24"/>
      <c r="G1708" s="24"/>
      <c r="H1708" s="24"/>
      <c r="I1708" s="24"/>
      <c r="J1708" s="24"/>
      <c r="K1708" s="24"/>
      <c r="L1708" s="24"/>
      <c r="M1708" s="24"/>
      <c r="N1708" s="24"/>
      <c r="O1708" s="24"/>
      <c r="P1708" s="24"/>
      <c r="Q1708" s="24"/>
      <c r="R1708" s="21"/>
    </row>
    <row r="1709" spans="1:18" x14ac:dyDescent="0.35">
      <c r="A1709" s="20"/>
      <c r="B1709" s="22"/>
      <c r="C1709" s="25"/>
      <c r="D1709" s="26"/>
      <c r="E1709" s="24"/>
      <c r="F1709" s="24"/>
      <c r="G1709" s="24"/>
      <c r="H1709" s="24"/>
      <c r="I1709" s="24"/>
      <c r="J1709" s="24"/>
      <c r="K1709" s="24"/>
      <c r="L1709" s="24"/>
      <c r="M1709" s="24"/>
      <c r="N1709" s="24"/>
      <c r="O1709" s="24"/>
      <c r="P1709" s="24"/>
      <c r="Q1709" s="24"/>
      <c r="R1709" s="21"/>
    </row>
    <row r="1710" spans="1:18" x14ac:dyDescent="0.35">
      <c r="A1710" s="20"/>
      <c r="B1710" s="22"/>
      <c r="C1710" s="25"/>
      <c r="D1710" s="26"/>
      <c r="E1710" s="24"/>
      <c r="F1710" s="24"/>
      <c r="G1710" s="24"/>
      <c r="H1710" s="24"/>
      <c r="I1710" s="24"/>
      <c r="J1710" s="24"/>
      <c r="K1710" s="24"/>
      <c r="L1710" s="24"/>
      <c r="M1710" s="24"/>
      <c r="N1710" s="24"/>
      <c r="O1710" s="24"/>
      <c r="P1710" s="24"/>
      <c r="Q1710" s="24"/>
      <c r="R1710" s="21"/>
    </row>
    <row r="1711" spans="1:18" x14ac:dyDescent="0.35">
      <c r="A1711" s="20"/>
      <c r="B1711" s="22"/>
      <c r="C1711" s="25"/>
      <c r="D1711" s="26"/>
      <c r="E1711" s="24"/>
      <c r="F1711" s="24"/>
      <c r="G1711" s="24"/>
      <c r="H1711" s="24"/>
      <c r="I1711" s="24"/>
      <c r="J1711" s="24"/>
      <c r="K1711" s="24"/>
      <c r="L1711" s="24"/>
      <c r="M1711" s="24"/>
      <c r="N1711" s="24"/>
      <c r="O1711" s="24"/>
      <c r="P1711" s="24"/>
      <c r="Q1711" s="24"/>
      <c r="R1711" s="21"/>
    </row>
    <row r="1712" spans="1:18" x14ac:dyDescent="0.35">
      <c r="A1712" s="20"/>
      <c r="B1712" s="22"/>
      <c r="C1712" s="25"/>
      <c r="D1712" s="26"/>
      <c r="E1712" s="24"/>
      <c r="F1712" s="24"/>
      <c r="G1712" s="24"/>
      <c r="H1712" s="24"/>
      <c r="I1712" s="24"/>
      <c r="J1712" s="24"/>
      <c r="K1712" s="24"/>
      <c r="L1712" s="24"/>
      <c r="M1712" s="24"/>
      <c r="N1712" s="24"/>
      <c r="O1712" s="24"/>
      <c r="P1712" s="24"/>
      <c r="Q1712" s="24"/>
      <c r="R1712" s="21"/>
    </row>
    <row r="1713" spans="1:18" x14ac:dyDescent="0.35">
      <c r="A1713" s="20"/>
      <c r="B1713" s="22"/>
      <c r="C1713" s="25"/>
      <c r="D1713" s="26"/>
      <c r="E1713" s="24"/>
      <c r="F1713" s="24"/>
      <c r="G1713" s="24"/>
      <c r="H1713" s="24"/>
      <c r="I1713" s="24"/>
      <c r="J1713" s="24"/>
      <c r="K1713" s="24"/>
      <c r="L1713" s="24"/>
      <c r="M1713" s="24"/>
      <c r="N1713" s="24"/>
      <c r="O1713" s="24"/>
      <c r="P1713" s="24"/>
      <c r="Q1713" s="24"/>
      <c r="R1713" s="21"/>
    </row>
    <row r="1714" spans="1:18" x14ac:dyDescent="0.35">
      <c r="A1714" s="20"/>
      <c r="B1714" s="22"/>
      <c r="C1714" s="25"/>
      <c r="D1714" s="26"/>
      <c r="E1714" s="24"/>
      <c r="F1714" s="24"/>
      <c r="G1714" s="24"/>
      <c r="H1714" s="24"/>
      <c r="I1714" s="24"/>
      <c r="J1714" s="24"/>
      <c r="K1714" s="24"/>
      <c r="L1714" s="24"/>
      <c r="M1714" s="24"/>
      <c r="N1714" s="24"/>
      <c r="O1714" s="24"/>
      <c r="P1714" s="24"/>
      <c r="Q1714" s="24"/>
      <c r="R1714" s="21"/>
    </row>
    <row r="1715" spans="1:18" x14ac:dyDescent="0.35">
      <c r="A1715" s="20"/>
      <c r="B1715" s="22"/>
      <c r="C1715" s="25"/>
      <c r="D1715" s="26"/>
      <c r="E1715" s="24"/>
      <c r="F1715" s="24"/>
      <c r="G1715" s="24"/>
      <c r="H1715" s="24"/>
      <c r="I1715" s="24"/>
      <c r="J1715" s="24"/>
      <c r="K1715" s="24"/>
      <c r="L1715" s="24"/>
      <c r="M1715" s="24"/>
      <c r="N1715" s="24"/>
      <c r="O1715" s="24"/>
      <c r="P1715" s="24"/>
      <c r="Q1715" s="24"/>
      <c r="R1715" s="14"/>
    </row>
    <row r="1716" spans="1:18" x14ac:dyDescent="0.35">
      <c r="A1716" s="20"/>
      <c r="B1716" s="22"/>
      <c r="C1716" s="25"/>
      <c r="D1716" s="26"/>
      <c r="E1716" s="24"/>
      <c r="F1716" s="24"/>
      <c r="G1716" s="24"/>
      <c r="H1716" s="24"/>
      <c r="I1716" s="24"/>
      <c r="J1716" s="24"/>
      <c r="K1716" s="24"/>
      <c r="L1716" s="24"/>
      <c r="M1716" s="24"/>
      <c r="N1716" s="24"/>
      <c r="O1716" s="24"/>
      <c r="P1716" s="24"/>
      <c r="Q1716" s="24"/>
      <c r="R1716" s="14"/>
    </row>
    <row r="1717" spans="1:18" x14ac:dyDescent="0.35">
      <c r="A1717" s="20"/>
      <c r="B1717" s="22"/>
      <c r="C1717" s="25"/>
      <c r="D1717" s="26"/>
      <c r="E1717" s="24"/>
      <c r="F1717" s="24"/>
      <c r="G1717" s="24"/>
      <c r="H1717" s="24"/>
      <c r="I1717" s="24"/>
      <c r="J1717" s="24"/>
      <c r="K1717" s="24"/>
      <c r="L1717" s="24"/>
      <c r="M1717" s="24"/>
      <c r="N1717" s="24"/>
      <c r="O1717" s="24"/>
      <c r="P1717" s="24"/>
      <c r="Q1717" s="24"/>
      <c r="R1717" s="14"/>
    </row>
    <row r="1718" spans="1:18" x14ac:dyDescent="0.35">
      <c r="A1718" s="20"/>
      <c r="B1718" s="22"/>
      <c r="C1718" s="25"/>
      <c r="D1718" s="26"/>
      <c r="E1718" s="24"/>
      <c r="F1718" s="24"/>
      <c r="G1718" s="24"/>
      <c r="H1718" s="24"/>
      <c r="I1718" s="24"/>
      <c r="J1718" s="24"/>
      <c r="K1718" s="24"/>
      <c r="L1718" s="24"/>
      <c r="M1718" s="24"/>
      <c r="N1718" s="24"/>
      <c r="O1718" s="24"/>
      <c r="P1718" s="24"/>
      <c r="Q1718" s="24"/>
      <c r="R1718" s="14"/>
    </row>
    <row r="1719" spans="1:18" x14ac:dyDescent="0.35">
      <c r="A1719" s="20"/>
      <c r="B1719" s="22"/>
      <c r="C1719" s="25"/>
      <c r="D1719" s="26"/>
      <c r="E1719" s="24"/>
      <c r="F1719" s="24"/>
      <c r="G1719" s="24"/>
      <c r="H1719" s="24"/>
      <c r="I1719" s="24"/>
      <c r="J1719" s="24"/>
      <c r="K1719" s="24"/>
      <c r="L1719" s="24"/>
      <c r="M1719" s="24"/>
      <c r="N1719" s="24"/>
      <c r="O1719" s="24"/>
      <c r="P1719" s="24"/>
      <c r="Q1719" s="24"/>
      <c r="R1719" s="14"/>
    </row>
    <row r="1720" spans="1:18" x14ac:dyDescent="0.35">
      <c r="A1720" s="20"/>
      <c r="B1720" s="22"/>
      <c r="C1720" s="25"/>
      <c r="D1720" s="26"/>
      <c r="E1720" s="24"/>
      <c r="F1720" s="24"/>
      <c r="G1720" s="24"/>
      <c r="H1720" s="24"/>
      <c r="I1720" s="24"/>
      <c r="J1720" s="24"/>
      <c r="K1720" s="24"/>
      <c r="L1720" s="24"/>
      <c r="M1720" s="24"/>
      <c r="N1720" s="24"/>
      <c r="O1720" s="24"/>
      <c r="P1720" s="24"/>
      <c r="Q1720" s="24"/>
      <c r="R1720" s="14"/>
    </row>
    <row r="1721" spans="1:18" x14ac:dyDescent="0.35">
      <c r="A1721" s="20"/>
      <c r="B1721" s="22"/>
      <c r="C1721" s="25"/>
      <c r="D1721" s="26"/>
      <c r="E1721" s="24"/>
      <c r="F1721" s="24"/>
      <c r="G1721" s="24"/>
      <c r="H1721" s="24"/>
      <c r="I1721" s="24"/>
      <c r="J1721" s="24"/>
      <c r="K1721" s="24"/>
      <c r="L1721" s="24"/>
      <c r="M1721" s="24"/>
      <c r="N1721" s="24"/>
      <c r="O1721" s="24"/>
      <c r="P1721" s="24"/>
      <c r="Q1721" s="24"/>
      <c r="R1721" s="14"/>
    </row>
    <row r="1722" spans="1:18" x14ac:dyDescent="0.35">
      <c r="B1722" s="17"/>
      <c r="C1722" s="13"/>
      <c r="D1722" s="14"/>
      <c r="E1722" s="14"/>
      <c r="F1722" s="14"/>
      <c r="G1722" s="14"/>
      <c r="H1722" s="14"/>
      <c r="I1722" s="14"/>
      <c r="J1722" s="14"/>
      <c r="K1722" s="14"/>
      <c r="L1722" s="14"/>
      <c r="M1722" s="14"/>
      <c r="N1722" s="14"/>
      <c r="O1722" s="14"/>
      <c r="P1722" s="14"/>
      <c r="Q1722" s="14"/>
      <c r="R1722" s="14"/>
    </row>
    <row r="1723" spans="1:18" x14ac:dyDescent="0.35">
      <c r="B1723" s="17"/>
      <c r="C1723" s="13"/>
      <c r="D1723" s="14"/>
      <c r="E1723" s="14"/>
      <c r="F1723" s="14"/>
      <c r="G1723" s="14"/>
      <c r="H1723" s="14"/>
      <c r="I1723" s="14"/>
      <c r="J1723" s="14"/>
      <c r="K1723" s="14"/>
      <c r="L1723" s="14"/>
      <c r="M1723" s="14"/>
      <c r="N1723" s="14"/>
      <c r="O1723" s="14"/>
      <c r="P1723" s="14"/>
      <c r="Q1723" s="14"/>
      <c r="R1723" s="14"/>
    </row>
    <row r="1724" spans="1:18" x14ac:dyDescent="0.35">
      <c r="B1724" s="17"/>
      <c r="C1724" s="13"/>
      <c r="D1724" s="14"/>
      <c r="E1724" s="14"/>
      <c r="F1724" s="14"/>
      <c r="G1724" s="14"/>
      <c r="H1724" s="14"/>
      <c r="I1724" s="14"/>
      <c r="J1724" s="14"/>
      <c r="K1724" s="14"/>
      <c r="L1724" s="14"/>
      <c r="M1724" s="14"/>
      <c r="N1724" s="14"/>
      <c r="O1724" s="14"/>
      <c r="P1724" s="14"/>
      <c r="Q1724" s="14"/>
      <c r="R1724" s="14"/>
    </row>
    <row r="1725" spans="1:18" x14ac:dyDescent="0.35">
      <c r="B1725" s="17"/>
      <c r="C1725" s="13"/>
      <c r="D1725" s="14"/>
      <c r="E1725" s="14"/>
      <c r="F1725" s="14"/>
      <c r="G1725" s="14"/>
      <c r="H1725" s="14"/>
      <c r="I1725" s="14"/>
      <c r="J1725" s="14"/>
      <c r="K1725" s="14"/>
      <c r="L1725" s="14"/>
      <c r="M1725" s="14"/>
      <c r="N1725" s="14"/>
      <c r="O1725" s="14"/>
      <c r="P1725" s="14"/>
      <c r="Q1725" s="14"/>
      <c r="R1725" s="14"/>
    </row>
    <row r="1726" spans="1:18" x14ac:dyDescent="0.35">
      <c r="B1726" s="17"/>
      <c r="C1726" s="13"/>
      <c r="D1726" s="14"/>
      <c r="E1726" s="14"/>
      <c r="F1726" s="14"/>
      <c r="G1726" s="14"/>
      <c r="H1726" s="14"/>
      <c r="I1726" s="14"/>
      <c r="J1726" s="14"/>
      <c r="K1726" s="14"/>
      <c r="L1726" s="14"/>
      <c r="M1726" s="14"/>
      <c r="N1726" s="14"/>
      <c r="O1726" s="14"/>
      <c r="P1726" s="14"/>
      <c r="Q1726" s="14"/>
      <c r="R1726" s="14"/>
    </row>
    <row r="1727" spans="1:18" x14ac:dyDescent="0.35">
      <c r="B1727" s="17"/>
      <c r="C1727" s="13"/>
      <c r="D1727" s="14"/>
      <c r="E1727" s="14"/>
      <c r="F1727" s="14"/>
      <c r="G1727" s="14"/>
      <c r="H1727" s="14"/>
      <c r="I1727" s="14"/>
      <c r="J1727" s="14"/>
      <c r="K1727" s="14"/>
      <c r="L1727" s="14"/>
      <c r="M1727" s="14"/>
      <c r="N1727" s="14"/>
      <c r="O1727" s="14"/>
      <c r="P1727" s="14"/>
      <c r="Q1727" s="14"/>
      <c r="R1727" s="14"/>
    </row>
    <row r="1728" spans="1:18" x14ac:dyDescent="0.35">
      <c r="B1728" s="17"/>
      <c r="C1728" s="13"/>
      <c r="D1728" s="14"/>
      <c r="E1728" s="14"/>
      <c r="F1728" s="14"/>
      <c r="G1728" s="14"/>
      <c r="H1728" s="14"/>
      <c r="I1728" s="14"/>
      <c r="J1728" s="14"/>
      <c r="K1728" s="14"/>
      <c r="L1728" s="14"/>
      <c r="M1728" s="14"/>
      <c r="N1728" s="14"/>
      <c r="O1728" s="14"/>
      <c r="P1728" s="14"/>
      <c r="Q1728" s="14"/>
      <c r="R1728" s="14"/>
    </row>
    <row r="1729" spans="1:18" x14ac:dyDescent="0.35">
      <c r="B1729" s="17"/>
      <c r="C1729" s="13"/>
      <c r="D1729" s="14"/>
      <c r="E1729" s="14"/>
      <c r="F1729" s="14"/>
      <c r="G1729" s="14"/>
      <c r="H1729" s="14"/>
      <c r="I1729" s="14"/>
      <c r="J1729" s="14"/>
      <c r="K1729" s="14"/>
      <c r="L1729" s="14"/>
      <c r="M1729" s="14"/>
      <c r="N1729" s="14"/>
      <c r="O1729" s="14"/>
      <c r="P1729" s="14"/>
      <c r="Q1729" s="14"/>
      <c r="R1729" s="14"/>
    </row>
    <row r="1730" spans="1:18" x14ac:dyDescent="0.35">
      <c r="B1730" s="17"/>
      <c r="C1730" s="18"/>
      <c r="D1730" s="21"/>
      <c r="E1730" s="21"/>
      <c r="F1730" s="21"/>
      <c r="G1730" s="21"/>
      <c r="H1730" s="21"/>
      <c r="I1730" s="21"/>
      <c r="J1730" s="21"/>
      <c r="K1730" s="21"/>
      <c r="L1730" s="21"/>
      <c r="M1730" s="21"/>
      <c r="N1730" s="21"/>
      <c r="O1730" s="21"/>
      <c r="P1730" s="21"/>
      <c r="Q1730" s="21"/>
      <c r="R1730" s="21"/>
    </row>
    <row r="1731" spans="1:18" x14ac:dyDescent="0.35">
      <c r="B1731" s="17"/>
      <c r="C1731" s="18"/>
      <c r="D1731" s="21"/>
      <c r="E1731" s="21"/>
      <c r="F1731" s="21"/>
      <c r="G1731" s="21"/>
      <c r="H1731" s="21"/>
      <c r="I1731" s="21"/>
      <c r="J1731" s="21"/>
      <c r="K1731" s="21"/>
      <c r="L1731" s="21"/>
      <c r="M1731" s="21"/>
      <c r="N1731" s="21"/>
      <c r="O1731" s="21"/>
      <c r="P1731" s="21"/>
      <c r="Q1731" s="21"/>
      <c r="R1731" s="21"/>
    </row>
    <row r="1732" spans="1:18" x14ac:dyDescent="0.35">
      <c r="B1732" s="17"/>
      <c r="C1732" s="18"/>
      <c r="D1732" s="21"/>
      <c r="E1732" s="21"/>
      <c r="F1732" s="21"/>
      <c r="G1732" s="21"/>
      <c r="H1732" s="21"/>
      <c r="I1732" s="21"/>
      <c r="J1732" s="21"/>
      <c r="K1732" s="21"/>
      <c r="L1732" s="21"/>
      <c r="M1732" s="21"/>
      <c r="N1732" s="21"/>
      <c r="O1732" s="21"/>
      <c r="P1732" s="21"/>
      <c r="Q1732" s="21"/>
      <c r="R1732" s="21"/>
    </row>
    <row r="1733" spans="1:18" x14ac:dyDescent="0.35">
      <c r="B1733" s="17"/>
      <c r="C1733" s="18"/>
      <c r="D1733" s="21"/>
      <c r="E1733" s="21"/>
      <c r="F1733" s="21"/>
      <c r="G1733" s="21"/>
      <c r="H1733" s="21"/>
      <c r="I1733" s="21"/>
      <c r="J1733" s="21"/>
      <c r="K1733" s="21"/>
      <c r="L1733" s="21"/>
      <c r="M1733" s="21"/>
      <c r="N1733" s="21"/>
      <c r="O1733" s="21"/>
      <c r="P1733" s="21"/>
      <c r="Q1733" s="21"/>
      <c r="R1733" s="21"/>
    </row>
    <row r="1734" spans="1:18" x14ac:dyDescent="0.35">
      <c r="A1734" s="16"/>
      <c r="B1734" s="5"/>
      <c r="C1734" s="5"/>
      <c r="D1734" s="5"/>
      <c r="E1734" s="5"/>
      <c r="F1734" s="5"/>
      <c r="G1734" s="5"/>
      <c r="H1734" s="5"/>
      <c r="I1734" s="5"/>
      <c r="J1734" s="5"/>
      <c r="K1734" s="5"/>
      <c r="L1734" s="5"/>
      <c r="M1734" s="5"/>
      <c r="N1734" s="5"/>
      <c r="O1734" s="5"/>
      <c r="P1734" s="5"/>
      <c r="Q1734" s="5"/>
      <c r="R1734" s="21"/>
    </row>
    <row r="1735" spans="1:18" x14ac:dyDescent="0.35">
      <c r="A1735" s="20"/>
      <c r="B1735" s="22"/>
      <c r="C1735" s="25"/>
      <c r="D1735" s="26"/>
      <c r="E1735" s="24"/>
      <c r="F1735" s="24"/>
      <c r="G1735" s="24"/>
      <c r="H1735" s="24"/>
      <c r="I1735" s="24"/>
      <c r="J1735" s="24"/>
      <c r="K1735" s="24"/>
      <c r="L1735" s="24"/>
      <c r="M1735" s="24"/>
      <c r="N1735" s="24"/>
      <c r="O1735" s="24"/>
      <c r="P1735" s="24"/>
      <c r="Q1735" s="24"/>
      <c r="R1735" s="21"/>
    </row>
    <row r="1736" spans="1:18" x14ac:dyDescent="0.35">
      <c r="A1736" s="20"/>
      <c r="B1736" s="22"/>
      <c r="C1736" s="25"/>
      <c r="D1736" s="26"/>
      <c r="E1736" s="24"/>
      <c r="F1736" s="24"/>
      <c r="G1736" s="24"/>
      <c r="H1736" s="24"/>
      <c r="I1736" s="24"/>
      <c r="J1736" s="24"/>
      <c r="K1736" s="24"/>
      <c r="L1736" s="24"/>
      <c r="M1736" s="24"/>
      <c r="N1736" s="24"/>
      <c r="O1736" s="24"/>
      <c r="P1736" s="24"/>
      <c r="Q1736" s="24"/>
      <c r="R1736" s="21"/>
    </row>
    <row r="1737" spans="1:18" x14ac:dyDescent="0.35">
      <c r="A1737" s="20"/>
      <c r="B1737" s="22"/>
      <c r="C1737" s="25"/>
      <c r="D1737" s="26"/>
      <c r="E1737" s="24"/>
      <c r="F1737" s="24"/>
      <c r="G1737" s="24"/>
      <c r="H1737" s="24"/>
      <c r="I1737" s="24"/>
      <c r="J1737" s="24"/>
      <c r="K1737" s="24"/>
      <c r="L1737" s="24"/>
      <c r="M1737" s="24"/>
      <c r="N1737" s="24"/>
      <c r="O1737" s="24"/>
      <c r="P1737" s="24"/>
      <c r="Q1737" s="24"/>
      <c r="R1737" s="21"/>
    </row>
    <row r="1738" spans="1:18" x14ac:dyDescent="0.35">
      <c r="A1738" s="20"/>
      <c r="B1738" s="22"/>
      <c r="C1738" s="25"/>
      <c r="D1738" s="26"/>
      <c r="E1738" s="24"/>
      <c r="F1738" s="24"/>
      <c r="G1738" s="24"/>
      <c r="H1738" s="24"/>
      <c r="I1738" s="24"/>
      <c r="J1738" s="24"/>
      <c r="K1738" s="24"/>
      <c r="L1738" s="24"/>
      <c r="M1738" s="24"/>
      <c r="N1738" s="24"/>
      <c r="O1738" s="24"/>
      <c r="P1738" s="24"/>
      <c r="Q1738" s="24"/>
      <c r="R1738" s="21"/>
    </row>
    <row r="1739" spans="1:18" x14ac:dyDescent="0.35">
      <c r="A1739" s="20"/>
      <c r="B1739" s="22"/>
      <c r="C1739" s="25"/>
      <c r="D1739" s="26"/>
      <c r="E1739" s="24"/>
      <c r="F1739" s="24"/>
      <c r="G1739" s="24"/>
      <c r="H1739" s="24"/>
      <c r="I1739" s="24"/>
      <c r="J1739" s="24"/>
      <c r="K1739" s="24"/>
      <c r="L1739" s="24"/>
      <c r="M1739" s="24"/>
      <c r="N1739" s="24"/>
      <c r="O1739" s="24"/>
      <c r="P1739" s="24"/>
      <c r="Q1739" s="24"/>
      <c r="R1739" s="21"/>
    </row>
    <row r="1740" spans="1:18" x14ac:dyDescent="0.35">
      <c r="A1740" s="20"/>
      <c r="B1740" s="22"/>
      <c r="C1740" s="25"/>
      <c r="D1740" s="26"/>
      <c r="E1740" s="24"/>
      <c r="F1740" s="24"/>
      <c r="G1740" s="24"/>
      <c r="H1740" s="24"/>
      <c r="I1740" s="24"/>
      <c r="J1740" s="24"/>
      <c r="K1740" s="24"/>
      <c r="L1740" s="24"/>
      <c r="M1740" s="24"/>
      <c r="N1740" s="24"/>
      <c r="O1740" s="24"/>
      <c r="P1740" s="24"/>
      <c r="Q1740" s="24"/>
      <c r="R1740" s="21"/>
    </row>
    <row r="1741" spans="1:18" x14ac:dyDescent="0.35">
      <c r="A1741" s="20"/>
      <c r="B1741" s="22"/>
      <c r="C1741" s="25"/>
      <c r="D1741" s="26"/>
      <c r="E1741" s="24"/>
      <c r="F1741" s="24"/>
      <c r="G1741" s="24"/>
      <c r="H1741" s="24"/>
      <c r="I1741" s="24"/>
      <c r="J1741" s="24"/>
      <c r="K1741" s="24"/>
      <c r="L1741" s="24"/>
      <c r="M1741" s="24"/>
      <c r="N1741" s="24"/>
      <c r="O1741" s="24"/>
      <c r="P1741" s="24"/>
      <c r="Q1741" s="24"/>
      <c r="R1741" s="21"/>
    </row>
    <row r="1742" spans="1:18" x14ac:dyDescent="0.35">
      <c r="A1742" s="20"/>
      <c r="B1742" s="22"/>
      <c r="C1742" s="25"/>
      <c r="D1742" s="26"/>
      <c r="E1742" s="24"/>
      <c r="F1742" s="24"/>
      <c r="G1742" s="24"/>
      <c r="H1742" s="24"/>
      <c r="I1742" s="24"/>
      <c r="J1742" s="24"/>
      <c r="K1742" s="24"/>
      <c r="L1742" s="24"/>
      <c r="M1742" s="24"/>
      <c r="N1742" s="24"/>
      <c r="O1742" s="24"/>
      <c r="P1742" s="24"/>
      <c r="Q1742" s="24"/>
      <c r="R1742" s="21"/>
    </row>
    <row r="1743" spans="1:18" x14ac:dyDescent="0.35">
      <c r="A1743" s="20"/>
      <c r="B1743" s="22"/>
      <c r="C1743" s="25"/>
      <c r="D1743" s="26"/>
      <c r="E1743" s="24"/>
      <c r="F1743" s="24"/>
      <c r="G1743" s="24"/>
      <c r="H1743" s="24"/>
      <c r="I1743" s="24"/>
      <c r="J1743" s="24"/>
      <c r="K1743" s="24"/>
      <c r="L1743" s="24"/>
      <c r="M1743" s="24"/>
      <c r="N1743" s="24"/>
      <c r="O1743" s="24"/>
      <c r="P1743" s="24"/>
      <c r="Q1743" s="24"/>
      <c r="R1743" s="21"/>
    </row>
    <row r="1744" spans="1:18" x14ac:dyDescent="0.35">
      <c r="A1744" s="20"/>
      <c r="B1744" s="22"/>
      <c r="C1744" s="25"/>
      <c r="D1744" s="26"/>
      <c r="E1744" s="24"/>
      <c r="F1744" s="24"/>
      <c r="G1744" s="24"/>
      <c r="H1744" s="24"/>
      <c r="I1744" s="24"/>
      <c r="J1744" s="24"/>
      <c r="K1744" s="24"/>
      <c r="L1744" s="24"/>
      <c r="M1744" s="24"/>
      <c r="N1744" s="24"/>
      <c r="O1744" s="24"/>
      <c r="P1744" s="24"/>
      <c r="Q1744" s="24"/>
      <c r="R1744" s="21"/>
    </row>
    <row r="1745" spans="1:18" x14ac:dyDescent="0.35">
      <c r="A1745" s="20"/>
      <c r="B1745" s="22"/>
      <c r="C1745" s="25"/>
      <c r="D1745" s="26"/>
      <c r="E1745" s="24"/>
      <c r="F1745" s="24"/>
      <c r="G1745" s="24"/>
      <c r="H1745" s="24"/>
      <c r="I1745" s="24"/>
      <c r="J1745" s="24"/>
      <c r="K1745" s="24"/>
      <c r="L1745" s="24"/>
      <c r="M1745" s="24"/>
      <c r="N1745" s="24"/>
      <c r="O1745" s="24"/>
      <c r="P1745" s="24"/>
      <c r="Q1745" s="24"/>
      <c r="R1745" s="21"/>
    </row>
    <row r="1746" spans="1:18" x14ac:dyDescent="0.35">
      <c r="A1746" s="20"/>
      <c r="B1746" s="22"/>
      <c r="C1746" s="25"/>
      <c r="D1746" s="26"/>
      <c r="E1746" s="24"/>
      <c r="F1746" s="24"/>
      <c r="G1746" s="24"/>
      <c r="H1746" s="24"/>
      <c r="I1746" s="24"/>
      <c r="J1746" s="24"/>
      <c r="K1746" s="24"/>
      <c r="L1746" s="24"/>
      <c r="M1746" s="24"/>
      <c r="N1746" s="24"/>
      <c r="O1746" s="24"/>
      <c r="P1746" s="24"/>
      <c r="Q1746" s="24"/>
      <c r="R1746" s="14"/>
    </row>
    <row r="1747" spans="1:18" x14ac:dyDescent="0.35">
      <c r="A1747" s="20"/>
      <c r="B1747" s="22"/>
      <c r="C1747" s="25"/>
      <c r="D1747" s="26"/>
      <c r="E1747" s="24"/>
      <c r="F1747" s="24"/>
      <c r="G1747" s="24"/>
      <c r="H1747" s="24"/>
      <c r="I1747" s="24"/>
      <c r="J1747" s="24"/>
      <c r="K1747" s="24"/>
      <c r="L1747" s="24"/>
      <c r="M1747" s="24"/>
      <c r="N1747" s="24"/>
      <c r="O1747" s="24"/>
      <c r="P1747" s="24"/>
      <c r="Q1747" s="24"/>
      <c r="R1747" s="14"/>
    </row>
    <row r="1748" spans="1:18" x14ac:dyDescent="0.35">
      <c r="A1748" s="20"/>
      <c r="B1748" s="22"/>
      <c r="C1748" s="25"/>
      <c r="D1748" s="26"/>
      <c r="E1748" s="24"/>
      <c r="F1748" s="24"/>
      <c r="G1748" s="24"/>
      <c r="H1748" s="24"/>
      <c r="I1748" s="24"/>
      <c r="J1748" s="24"/>
      <c r="K1748" s="24"/>
      <c r="L1748" s="24"/>
      <c r="M1748" s="24"/>
      <c r="N1748" s="24"/>
      <c r="O1748" s="24"/>
      <c r="P1748" s="24"/>
      <c r="Q1748" s="24"/>
      <c r="R1748" s="14"/>
    </row>
    <row r="1749" spans="1:18" x14ac:dyDescent="0.35">
      <c r="A1749" s="20"/>
      <c r="B1749" s="22"/>
      <c r="C1749" s="25"/>
      <c r="D1749" s="26"/>
      <c r="E1749" s="24"/>
      <c r="F1749" s="24"/>
      <c r="G1749" s="24"/>
      <c r="H1749" s="24"/>
      <c r="I1749" s="24"/>
      <c r="J1749" s="24"/>
      <c r="K1749" s="24"/>
      <c r="L1749" s="24"/>
      <c r="M1749" s="24"/>
      <c r="N1749" s="24"/>
      <c r="O1749" s="24"/>
      <c r="P1749" s="24"/>
      <c r="Q1749" s="24"/>
      <c r="R1749" s="14"/>
    </row>
    <row r="1750" spans="1:18" x14ac:dyDescent="0.35">
      <c r="A1750" s="20"/>
      <c r="B1750" s="22"/>
      <c r="C1750" s="25"/>
      <c r="D1750" s="26"/>
      <c r="E1750" s="24"/>
      <c r="F1750" s="24"/>
      <c r="G1750" s="24"/>
      <c r="H1750" s="24"/>
      <c r="I1750" s="24"/>
      <c r="J1750" s="24"/>
      <c r="K1750" s="24"/>
      <c r="L1750" s="24"/>
      <c r="M1750" s="24"/>
      <c r="N1750" s="24"/>
      <c r="O1750" s="24"/>
      <c r="P1750" s="24"/>
      <c r="Q1750" s="24"/>
      <c r="R1750" s="14"/>
    </row>
    <row r="1751" spans="1:18" x14ac:dyDescent="0.35">
      <c r="A1751" s="20"/>
      <c r="B1751" s="22"/>
      <c r="C1751" s="25"/>
      <c r="D1751" s="26"/>
      <c r="E1751" s="24"/>
      <c r="F1751" s="24"/>
      <c r="G1751" s="24"/>
      <c r="H1751" s="24"/>
      <c r="I1751" s="24"/>
      <c r="J1751" s="24"/>
      <c r="K1751" s="24"/>
      <c r="L1751" s="24"/>
      <c r="M1751" s="24"/>
      <c r="N1751" s="24"/>
      <c r="O1751" s="24"/>
      <c r="P1751" s="24"/>
      <c r="Q1751" s="24"/>
      <c r="R1751" s="14"/>
    </row>
    <row r="1752" spans="1:18" x14ac:dyDescent="0.35">
      <c r="A1752" s="20"/>
      <c r="B1752" s="22"/>
      <c r="C1752" s="25"/>
      <c r="D1752" s="26"/>
      <c r="E1752" s="24"/>
      <c r="F1752" s="24"/>
      <c r="G1752" s="24"/>
      <c r="H1752" s="24"/>
      <c r="I1752" s="24"/>
      <c r="J1752" s="24"/>
      <c r="K1752" s="24"/>
      <c r="L1752" s="24"/>
      <c r="M1752" s="24"/>
      <c r="N1752" s="24"/>
      <c r="O1752" s="24"/>
      <c r="P1752" s="24"/>
      <c r="Q1752" s="24"/>
      <c r="R1752" s="14"/>
    </row>
    <row r="1753" spans="1:18" x14ac:dyDescent="0.35">
      <c r="A1753" s="20"/>
      <c r="B1753" s="22"/>
      <c r="C1753" s="25"/>
      <c r="D1753" s="26"/>
      <c r="E1753" s="24"/>
      <c r="F1753" s="24"/>
      <c r="G1753" s="24"/>
      <c r="H1753" s="24"/>
      <c r="I1753" s="24"/>
      <c r="J1753" s="24"/>
      <c r="K1753" s="24"/>
      <c r="L1753" s="24"/>
      <c r="M1753" s="24"/>
      <c r="N1753" s="24"/>
      <c r="O1753" s="24"/>
      <c r="P1753" s="24"/>
      <c r="Q1753" s="24"/>
      <c r="R1753" s="21"/>
    </row>
    <row r="1754" spans="1:18" x14ac:dyDescent="0.35">
      <c r="A1754" s="20"/>
      <c r="B1754" s="22"/>
      <c r="C1754" s="25"/>
      <c r="D1754" s="26"/>
      <c r="E1754" s="24"/>
      <c r="F1754" s="24"/>
      <c r="G1754" s="24"/>
      <c r="H1754" s="24"/>
      <c r="I1754" s="24"/>
      <c r="J1754" s="24"/>
      <c r="K1754" s="24"/>
      <c r="L1754" s="24"/>
      <c r="M1754" s="24"/>
      <c r="N1754" s="24"/>
      <c r="O1754" s="24"/>
      <c r="P1754" s="24"/>
      <c r="Q1754" s="24"/>
      <c r="R1754" s="21"/>
    </row>
    <row r="1755" spans="1:18" x14ac:dyDescent="0.35">
      <c r="A1755" s="20"/>
      <c r="B1755" s="22"/>
      <c r="C1755" s="25"/>
      <c r="D1755" s="26"/>
      <c r="E1755" s="24"/>
      <c r="F1755" s="24"/>
      <c r="G1755" s="24"/>
      <c r="H1755" s="24"/>
      <c r="I1755" s="24"/>
      <c r="J1755" s="24"/>
      <c r="K1755" s="24"/>
      <c r="L1755" s="24"/>
      <c r="M1755" s="24"/>
      <c r="N1755" s="24"/>
      <c r="O1755" s="24"/>
      <c r="P1755" s="24"/>
      <c r="Q1755" s="24"/>
      <c r="R1755" s="21"/>
    </row>
    <row r="1756" spans="1:18" x14ac:dyDescent="0.35">
      <c r="A1756" s="20"/>
      <c r="B1756" s="22"/>
      <c r="C1756" s="25"/>
      <c r="D1756" s="26"/>
      <c r="E1756" s="24"/>
      <c r="F1756" s="24"/>
      <c r="G1756" s="24"/>
      <c r="H1756" s="24"/>
      <c r="I1756" s="24"/>
      <c r="J1756" s="24"/>
      <c r="K1756" s="24"/>
      <c r="L1756" s="24"/>
      <c r="M1756" s="24"/>
      <c r="N1756" s="24"/>
      <c r="O1756" s="24"/>
      <c r="P1756" s="24"/>
      <c r="Q1756" s="24"/>
      <c r="R1756" s="21"/>
    </row>
    <row r="1757" spans="1:18" x14ac:dyDescent="0.35">
      <c r="A1757" s="20"/>
      <c r="B1757" s="22"/>
      <c r="C1757" s="25"/>
      <c r="D1757" s="26"/>
      <c r="E1757" s="24"/>
      <c r="F1757" s="24"/>
      <c r="G1757" s="24"/>
      <c r="H1757" s="24"/>
      <c r="I1757" s="24"/>
      <c r="J1757" s="24"/>
      <c r="K1757" s="24"/>
      <c r="L1757" s="24"/>
      <c r="M1757" s="24"/>
      <c r="N1757" s="24"/>
      <c r="O1757" s="24"/>
      <c r="P1757" s="24"/>
      <c r="Q1757" s="24"/>
      <c r="R1757" s="21"/>
    </row>
    <row r="1758" spans="1:18" x14ac:dyDescent="0.35">
      <c r="A1758" s="20"/>
      <c r="B1758" s="22"/>
      <c r="C1758" s="25"/>
      <c r="D1758" s="26"/>
      <c r="E1758" s="24"/>
      <c r="F1758" s="24"/>
      <c r="G1758" s="24"/>
      <c r="H1758" s="24"/>
      <c r="I1758" s="24"/>
      <c r="J1758" s="24"/>
      <c r="K1758" s="24"/>
      <c r="L1758" s="24"/>
      <c r="M1758" s="24"/>
      <c r="N1758" s="24"/>
      <c r="O1758" s="24"/>
      <c r="P1758" s="24"/>
      <c r="Q1758" s="24"/>
      <c r="R1758" s="21"/>
    </row>
    <row r="1759" spans="1:18" x14ac:dyDescent="0.35">
      <c r="A1759" s="20"/>
      <c r="B1759" s="22"/>
      <c r="C1759" s="25"/>
      <c r="D1759" s="26"/>
      <c r="E1759" s="24"/>
      <c r="F1759" s="24"/>
      <c r="G1759" s="24"/>
      <c r="H1759" s="24"/>
      <c r="I1759" s="24"/>
      <c r="J1759" s="24"/>
      <c r="K1759" s="24"/>
      <c r="L1759" s="24"/>
      <c r="M1759" s="24"/>
      <c r="N1759" s="24"/>
      <c r="O1759" s="24"/>
      <c r="P1759" s="24"/>
      <c r="Q1759" s="24"/>
      <c r="R1759" s="21"/>
    </row>
    <row r="1760" spans="1:18" x14ac:dyDescent="0.35">
      <c r="A1760" s="20"/>
      <c r="B1760" s="22"/>
      <c r="C1760" s="25"/>
      <c r="D1760" s="26"/>
      <c r="E1760" s="24"/>
      <c r="F1760" s="24"/>
      <c r="G1760" s="24"/>
      <c r="H1760" s="24"/>
      <c r="I1760" s="24"/>
      <c r="J1760" s="24"/>
      <c r="K1760" s="24"/>
      <c r="L1760" s="24"/>
      <c r="M1760" s="24"/>
      <c r="N1760" s="24"/>
      <c r="O1760" s="24"/>
      <c r="P1760" s="24"/>
      <c r="Q1760" s="24"/>
      <c r="R1760" s="21"/>
    </row>
    <row r="1761" spans="1:18" x14ac:dyDescent="0.35">
      <c r="A1761" s="20"/>
      <c r="B1761" s="22"/>
      <c r="C1761" s="25"/>
      <c r="D1761" s="26"/>
      <c r="E1761" s="24"/>
      <c r="F1761" s="24"/>
      <c r="G1761" s="24"/>
      <c r="H1761" s="24"/>
      <c r="I1761" s="24"/>
      <c r="J1761" s="24"/>
      <c r="K1761" s="24"/>
      <c r="L1761" s="24"/>
      <c r="M1761" s="24"/>
      <c r="N1761" s="24"/>
      <c r="O1761" s="24"/>
      <c r="P1761" s="24"/>
      <c r="Q1761" s="24"/>
      <c r="R1761" s="21"/>
    </row>
    <row r="1762" spans="1:18" x14ac:dyDescent="0.35">
      <c r="A1762" s="20"/>
      <c r="B1762" s="22"/>
      <c r="C1762" s="25"/>
      <c r="D1762" s="26"/>
      <c r="E1762" s="24"/>
      <c r="F1762" s="24"/>
      <c r="G1762" s="24"/>
      <c r="H1762" s="24"/>
      <c r="I1762" s="24"/>
      <c r="J1762" s="24"/>
      <c r="K1762" s="24"/>
      <c r="L1762" s="24"/>
      <c r="M1762" s="24"/>
      <c r="N1762" s="24"/>
      <c r="O1762" s="24"/>
      <c r="P1762" s="24"/>
      <c r="Q1762" s="24"/>
      <c r="R1762" s="14"/>
    </row>
    <row r="1763" spans="1:18" x14ac:dyDescent="0.35">
      <c r="A1763" s="20"/>
      <c r="B1763" s="22"/>
      <c r="C1763" s="25"/>
      <c r="D1763" s="26"/>
      <c r="E1763" s="24"/>
      <c r="F1763" s="24"/>
      <c r="G1763" s="24"/>
      <c r="H1763" s="24"/>
      <c r="I1763" s="24"/>
      <c r="J1763" s="24"/>
      <c r="K1763" s="24"/>
      <c r="L1763" s="24"/>
      <c r="M1763" s="24"/>
      <c r="N1763" s="24"/>
      <c r="O1763" s="24"/>
      <c r="P1763" s="24"/>
      <c r="Q1763" s="24"/>
      <c r="R1763" s="14"/>
    </row>
    <row r="1764" spans="1:18" x14ac:dyDescent="0.35">
      <c r="A1764" s="20"/>
      <c r="B1764" s="22"/>
      <c r="C1764" s="25"/>
      <c r="D1764" s="26"/>
      <c r="E1764" s="24"/>
      <c r="F1764" s="24"/>
      <c r="G1764" s="24"/>
      <c r="H1764" s="24"/>
      <c r="I1764" s="24"/>
      <c r="J1764" s="24"/>
      <c r="K1764" s="24"/>
      <c r="L1764" s="24"/>
      <c r="M1764" s="24"/>
      <c r="N1764" s="24"/>
      <c r="O1764" s="24"/>
      <c r="P1764" s="24"/>
      <c r="Q1764" s="24"/>
      <c r="R1764" s="14"/>
    </row>
    <row r="1765" spans="1:18" x14ac:dyDescent="0.35">
      <c r="A1765" s="20"/>
      <c r="B1765" s="22"/>
      <c r="C1765" s="25"/>
      <c r="D1765" s="26"/>
      <c r="E1765" s="24"/>
      <c r="F1765" s="24"/>
      <c r="G1765" s="24"/>
      <c r="H1765" s="24"/>
      <c r="I1765" s="24"/>
      <c r="J1765" s="24"/>
      <c r="K1765" s="24"/>
      <c r="L1765" s="24"/>
      <c r="M1765" s="24"/>
      <c r="N1765" s="24"/>
      <c r="O1765" s="24"/>
      <c r="P1765" s="24"/>
      <c r="Q1765" s="24"/>
      <c r="R1765" s="14"/>
    </row>
    <row r="1766" spans="1:18" x14ac:dyDescent="0.35">
      <c r="A1766" s="20"/>
      <c r="B1766" s="22"/>
      <c r="C1766" s="25"/>
      <c r="D1766" s="26"/>
      <c r="E1766" s="24"/>
      <c r="F1766" s="24"/>
      <c r="G1766" s="24"/>
      <c r="H1766" s="24"/>
      <c r="I1766" s="24"/>
      <c r="J1766" s="24"/>
      <c r="K1766" s="24"/>
      <c r="L1766" s="24"/>
      <c r="M1766" s="24"/>
      <c r="N1766" s="24"/>
      <c r="O1766" s="24"/>
      <c r="P1766" s="24"/>
      <c r="Q1766" s="24"/>
      <c r="R1766" s="14"/>
    </row>
    <row r="1767" spans="1:18" x14ac:dyDescent="0.35">
      <c r="A1767" s="20"/>
      <c r="B1767" s="22"/>
      <c r="C1767" s="25"/>
      <c r="D1767" s="26"/>
      <c r="E1767" s="24"/>
      <c r="F1767" s="24"/>
      <c r="G1767" s="24"/>
      <c r="H1767" s="24"/>
      <c r="I1767" s="24"/>
      <c r="J1767" s="24"/>
      <c r="K1767" s="24"/>
      <c r="L1767" s="24"/>
      <c r="M1767" s="24"/>
      <c r="N1767" s="24"/>
      <c r="O1767" s="24"/>
      <c r="P1767" s="24"/>
      <c r="Q1767" s="24"/>
      <c r="R1767" s="14"/>
    </row>
    <row r="1768" spans="1:18" x14ac:dyDescent="0.35">
      <c r="A1768" s="20"/>
      <c r="B1768" s="22"/>
      <c r="C1768" s="25"/>
      <c r="D1768" s="26"/>
      <c r="E1768" s="24"/>
      <c r="F1768" s="24"/>
      <c r="G1768" s="24"/>
      <c r="H1768" s="24"/>
      <c r="I1768" s="24"/>
      <c r="J1768" s="24"/>
      <c r="K1768" s="24"/>
      <c r="L1768" s="24"/>
      <c r="M1768" s="24"/>
      <c r="N1768" s="24"/>
      <c r="O1768" s="24"/>
      <c r="P1768" s="24"/>
      <c r="Q1768" s="24"/>
      <c r="R1768" s="14"/>
    </row>
    <row r="1769" spans="1:18" x14ac:dyDescent="0.35">
      <c r="A1769" s="20"/>
      <c r="B1769" s="22"/>
      <c r="C1769" s="25"/>
      <c r="D1769" s="26"/>
      <c r="E1769" s="24"/>
      <c r="F1769" s="24"/>
      <c r="G1769" s="24"/>
      <c r="H1769" s="24"/>
      <c r="I1769" s="24"/>
      <c r="J1769" s="24"/>
      <c r="K1769" s="24"/>
      <c r="L1769" s="24"/>
      <c r="M1769" s="24"/>
      <c r="N1769" s="24"/>
      <c r="O1769" s="24"/>
      <c r="P1769" s="24"/>
      <c r="Q1769" s="24"/>
      <c r="R1769" s="14"/>
    </row>
    <row r="1770" spans="1:18" x14ac:dyDescent="0.35">
      <c r="A1770" s="20"/>
      <c r="B1770" s="22"/>
      <c r="C1770" s="25"/>
      <c r="D1770" s="26"/>
      <c r="E1770" s="24"/>
      <c r="F1770" s="24"/>
      <c r="G1770" s="24"/>
      <c r="H1770" s="24"/>
      <c r="I1770" s="24"/>
      <c r="J1770" s="24"/>
      <c r="K1770" s="24"/>
      <c r="L1770" s="24"/>
      <c r="M1770" s="24"/>
      <c r="N1770" s="24"/>
      <c r="O1770" s="24"/>
      <c r="P1770" s="24"/>
      <c r="Q1770" s="24"/>
      <c r="R1770" s="14"/>
    </row>
    <row r="1771" spans="1:18" x14ac:dyDescent="0.35">
      <c r="A1771" s="20"/>
      <c r="B1771" s="22"/>
      <c r="C1771" s="25"/>
      <c r="D1771" s="26"/>
      <c r="E1771" s="24"/>
      <c r="F1771" s="24"/>
      <c r="G1771" s="24"/>
      <c r="H1771" s="24"/>
      <c r="I1771" s="24"/>
      <c r="J1771" s="24"/>
      <c r="K1771" s="24"/>
      <c r="L1771" s="24"/>
      <c r="M1771" s="24"/>
      <c r="N1771" s="24"/>
      <c r="O1771" s="24"/>
      <c r="P1771" s="24"/>
      <c r="Q1771" s="24"/>
      <c r="R1771" s="14"/>
    </row>
    <row r="1772" spans="1:18" x14ac:dyDescent="0.35">
      <c r="A1772" s="20"/>
      <c r="B1772" s="22"/>
      <c r="C1772" s="25"/>
      <c r="D1772" s="26"/>
      <c r="E1772" s="24"/>
      <c r="F1772" s="24"/>
      <c r="G1772" s="24"/>
      <c r="H1772" s="24"/>
      <c r="I1772" s="24"/>
      <c r="J1772" s="24"/>
      <c r="K1772" s="24"/>
      <c r="L1772" s="24"/>
      <c r="M1772" s="24"/>
      <c r="N1772" s="24"/>
      <c r="O1772" s="24"/>
      <c r="P1772" s="24"/>
      <c r="Q1772" s="24"/>
      <c r="R1772" s="14"/>
    </row>
    <row r="1773" spans="1:18" x14ac:dyDescent="0.35">
      <c r="A1773" s="20"/>
      <c r="B1773" s="22"/>
      <c r="C1773" s="25"/>
      <c r="D1773" s="26"/>
      <c r="E1773" s="24"/>
      <c r="F1773" s="24"/>
      <c r="G1773" s="24"/>
      <c r="H1773" s="24"/>
      <c r="I1773" s="24"/>
      <c r="J1773" s="24"/>
      <c r="K1773" s="24"/>
      <c r="L1773" s="24"/>
      <c r="M1773" s="24"/>
      <c r="N1773" s="24"/>
      <c r="O1773" s="24"/>
      <c r="P1773" s="24"/>
      <c r="Q1773" s="24"/>
      <c r="R1773" s="14"/>
    </row>
    <row r="1774" spans="1:18" x14ac:dyDescent="0.35">
      <c r="A1774" s="20"/>
      <c r="B1774" s="22"/>
      <c r="C1774" s="25"/>
      <c r="D1774" s="26"/>
      <c r="E1774" s="24"/>
      <c r="F1774" s="24"/>
      <c r="G1774" s="24"/>
      <c r="H1774" s="24"/>
      <c r="I1774" s="24"/>
      <c r="J1774" s="24"/>
      <c r="K1774" s="24"/>
      <c r="L1774" s="24"/>
      <c r="M1774" s="24"/>
      <c r="N1774" s="24"/>
      <c r="O1774" s="24"/>
      <c r="P1774" s="24"/>
      <c r="Q1774" s="24"/>
      <c r="R1774" s="14"/>
    </row>
    <row r="1775" spans="1:18" x14ac:dyDescent="0.35">
      <c r="A1775" s="20"/>
      <c r="B1775" s="22"/>
      <c r="C1775" s="25"/>
      <c r="D1775" s="26"/>
      <c r="E1775" s="24"/>
      <c r="F1775" s="24"/>
      <c r="G1775" s="24"/>
      <c r="H1775" s="24"/>
      <c r="I1775" s="24"/>
      <c r="J1775" s="24"/>
      <c r="K1775" s="24"/>
      <c r="L1775" s="24"/>
      <c r="M1775" s="24"/>
      <c r="N1775" s="24"/>
      <c r="O1775" s="24"/>
      <c r="P1775" s="24"/>
      <c r="Q1775" s="24"/>
      <c r="R1775" s="14"/>
    </row>
    <row r="1776" spans="1:18" x14ac:dyDescent="0.35">
      <c r="A1776" s="20"/>
      <c r="B1776" s="22"/>
      <c r="C1776" s="25"/>
      <c r="D1776" s="26"/>
      <c r="E1776" s="24"/>
      <c r="F1776" s="24"/>
      <c r="G1776" s="24"/>
      <c r="H1776" s="24"/>
      <c r="I1776" s="24"/>
      <c r="J1776" s="24"/>
      <c r="K1776" s="24"/>
      <c r="L1776" s="24"/>
      <c r="M1776" s="24"/>
      <c r="N1776" s="24"/>
      <c r="O1776" s="24"/>
      <c r="P1776" s="24"/>
      <c r="Q1776" s="24"/>
      <c r="R1776" s="14"/>
    </row>
    <row r="1777" spans="1:18" x14ac:dyDescent="0.35">
      <c r="A1777" s="20"/>
      <c r="B1777" s="22"/>
      <c r="C1777" s="25"/>
      <c r="D1777" s="26"/>
      <c r="E1777" s="24"/>
      <c r="F1777" s="24"/>
      <c r="G1777" s="24"/>
      <c r="H1777" s="24"/>
      <c r="I1777" s="24"/>
      <c r="J1777" s="24"/>
      <c r="K1777" s="24"/>
      <c r="L1777" s="24"/>
      <c r="M1777" s="24"/>
      <c r="N1777" s="24"/>
      <c r="O1777" s="24"/>
      <c r="P1777" s="24"/>
      <c r="Q1777" s="24"/>
      <c r="R1777" s="21"/>
    </row>
    <row r="1778" spans="1:18" x14ac:dyDescent="0.35">
      <c r="A1778" s="20"/>
      <c r="B1778" s="22"/>
      <c r="C1778" s="25"/>
      <c r="D1778" s="26"/>
      <c r="E1778" s="24"/>
      <c r="F1778" s="24"/>
      <c r="G1778" s="24"/>
      <c r="H1778" s="24"/>
      <c r="I1778" s="24"/>
      <c r="J1778" s="24"/>
      <c r="K1778" s="24"/>
      <c r="L1778" s="24"/>
      <c r="M1778" s="24"/>
      <c r="N1778" s="24"/>
      <c r="O1778" s="24"/>
      <c r="P1778" s="24"/>
      <c r="Q1778" s="24"/>
      <c r="R1778" s="21"/>
    </row>
    <row r="1779" spans="1:18" x14ac:dyDescent="0.35">
      <c r="A1779" s="20"/>
      <c r="B1779" s="22"/>
      <c r="C1779" s="25"/>
      <c r="D1779" s="26"/>
      <c r="E1779" s="24"/>
      <c r="F1779" s="24"/>
      <c r="G1779" s="24"/>
      <c r="H1779" s="24"/>
      <c r="I1779" s="24"/>
      <c r="J1779" s="24"/>
      <c r="K1779" s="24"/>
      <c r="L1779" s="24"/>
      <c r="M1779" s="24"/>
      <c r="N1779" s="24"/>
      <c r="O1779" s="24"/>
      <c r="P1779" s="24"/>
      <c r="Q1779" s="24"/>
      <c r="R1779" s="21"/>
    </row>
    <row r="1780" spans="1:18" x14ac:dyDescent="0.35">
      <c r="A1780" s="20"/>
      <c r="B1780" s="22"/>
      <c r="C1780" s="25"/>
      <c r="D1780" s="26"/>
      <c r="E1780" s="24"/>
      <c r="F1780" s="24"/>
      <c r="G1780" s="24"/>
      <c r="H1780" s="24"/>
      <c r="I1780" s="24"/>
      <c r="J1780" s="24"/>
      <c r="K1780" s="24"/>
      <c r="L1780" s="24"/>
      <c r="M1780" s="24"/>
      <c r="N1780" s="24"/>
      <c r="O1780" s="24"/>
      <c r="P1780" s="24"/>
      <c r="Q1780" s="24"/>
      <c r="R1780" s="21"/>
    </row>
    <row r="1781" spans="1:18" x14ac:dyDescent="0.35">
      <c r="A1781" s="20"/>
      <c r="B1781" s="22"/>
      <c r="C1781" s="25"/>
      <c r="D1781" s="26"/>
      <c r="E1781" s="24"/>
      <c r="F1781" s="24"/>
      <c r="G1781" s="24"/>
      <c r="H1781" s="24"/>
      <c r="I1781" s="24"/>
      <c r="J1781" s="24"/>
      <c r="K1781" s="24"/>
      <c r="L1781" s="24"/>
      <c r="M1781" s="24"/>
      <c r="N1781" s="24"/>
      <c r="O1781" s="24"/>
      <c r="P1781" s="24"/>
      <c r="Q1781" s="24"/>
      <c r="R1781" s="21"/>
    </row>
    <row r="1782" spans="1:18" x14ac:dyDescent="0.35">
      <c r="A1782" s="20"/>
      <c r="B1782" s="22"/>
      <c r="C1782" s="25"/>
      <c r="D1782" s="26"/>
      <c r="E1782" s="24"/>
      <c r="F1782" s="24"/>
      <c r="G1782" s="24"/>
      <c r="H1782" s="24"/>
      <c r="I1782" s="24"/>
      <c r="J1782" s="24"/>
      <c r="K1782" s="24"/>
      <c r="L1782" s="24"/>
      <c r="M1782" s="24"/>
      <c r="N1782" s="24"/>
      <c r="O1782" s="24"/>
      <c r="P1782" s="24"/>
      <c r="Q1782" s="24"/>
      <c r="R1782" s="21"/>
    </row>
    <row r="1783" spans="1:18" x14ac:dyDescent="0.35">
      <c r="A1783" s="20"/>
      <c r="B1783" s="22"/>
      <c r="C1783" s="25"/>
      <c r="D1783" s="26"/>
      <c r="E1783" s="24"/>
      <c r="F1783" s="24"/>
      <c r="G1783" s="24"/>
      <c r="H1783" s="24"/>
      <c r="I1783" s="24"/>
      <c r="J1783" s="24"/>
      <c r="K1783" s="24"/>
      <c r="L1783" s="24"/>
      <c r="M1783" s="24"/>
      <c r="N1783" s="24"/>
      <c r="O1783" s="24"/>
      <c r="P1783" s="24"/>
      <c r="Q1783" s="24"/>
      <c r="R1783" s="21"/>
    </row>
    <row r="1784" spans="1:18" x14ac:dyDescent="0.35">
      <c r="A1784" s="20"/>
      <c r="B1784" s="22"/>
      <c r="C1784" s="25"/>
      <c r="D1784" s="26"/>
      <c r="E1784" s="24"/>
      <c r="F1784" s="24"/>
      <c r="G1784" s="24"/>
      <c r="H1784" s="24"/>
      <c r="I1784" s="24"/>
      <c r="J1784" s="24"/>
      <c r="K1784" s="24"/>
      <c r="L1784" s="24"/>
      <c r="M1784" s="24"/>
      <c r="N1784" s="24"/>
      <c r="O1784" s="24"/>
      <c r="P1784" s="24"/>
      <c r="Q1784" s="24"/>
      <c r="R1784" s="21"/>
    </row>
    <row r="1785" spans="1:18" x14ac:dyDescent="0.35">
      <c r="A1785" s="20"/>
      <c r="B1785" s="22"/>
      <c r="C1785" s="25"/>
      <c r="D1785" s="26"/>
      <c r="E1785" s="24"/>
      <c r="F1785" s="24"/>
      <c r="G1785" s="24"/>
      <c r="H1785" s="24"/>
      <c r="I1785" s="24"/>
      <c r="J1785" s="24"/>
      <c r="K1785" s="24"/>
      <c r="L1785" s="24"/>
      <c r="M1785" s="24"/>
      <c r="N1785" s="24"/>
      <c r="O1785" s="24"/>
      <c r="P1785" s="24"/>
      <c r="Q1785" s="24"/>
      <c r="R1785" s="21"/>
    </row>
    <row r="1786" spans="1:18" x14ac:dyDescent="0.35">
      <c r="A1786" s="20"/>
      <c r="B1786" s="22"/>
      <c r="C1786" s="25"/>
      <c r="D1786" s="26"/>
      <c r="E1786" s="24"/>
      <c r="F1786" s="24"/>
      <c r="G1786" s="24"/>
      <c r="H1786" s="24"/>
      <c r="I1786" s="24"/>
      <c r="J1786" s="24"/>
      <c r="K1786" s="24"/>
      <c r="L1786" s="24"/>
      <c r="M1786" s="24"/>
      <c r="N1786" s="24"/>
      <c r="O1786" s="24"/>
      <c r="P1786" s="24"/>
      <c r="Q1786" s="24"/>
      <c r="R1786" s="21"/>
    </row>
    <row r="1787" spans="1:18" x14ac:dyDescent="0.35">
      <c r="A1787" s="20"/>
      <c r="B1787" s="22"/>
      <c r="C1787" s="25"/>
      <c r="D1787" s="26"/>
      <c r="E1787" s="24"/>
      <c r="F1787" s="24"/>
      <c r="G1787" s="24"/>
      <c r="H1787" s="24"/>
      <c r="I1787" s="24"/>
      <c r="J1787" s="24"/>
      <c r="K1787" s="24"/>
      <c r="L1787" s="24"/>
      <c r="M1787" s="24"/>
      <c r="N1787" s="24"/>
      <c r="O1787" s="24"/>
      <c r="P1787" s="24"/>
      <c r="Q1787" s="24"/>
      <c r="R1787" s="21"/>
    </row>
    <row r="1788" spans="1:18" x14ac:dyDescent="0.35">
      <c r="A1788" s="20"/>
      <c r="B1788" s="22"/>
      <c r="C1788" s="25"/>
      <c r="D1788" s="26"/>
      <c r="E1788" s="24"/>
      <c r="F1788" s="24"/>
      <c r="G1788" s="24"/>
      <c r="H1788" s="24"/>
      <c r="I1788" s="24"/>
      <c r="J1788" s="24"/>
      <c r="K1788" s="24"/>
      <c r="L1788" s="24"/>
      <c r="M1788" s="24"/>
      <c r="N1788" s="24"/>
      <c r="O1788" s="24"/>
      <c r="P1788" s="24"/>
      <c r="Q1788" s="24"/>
      <c r="R1788" s="21"/>
    </row>
    <row r="1789" spans="1:18" x14ac:dyDescent="0.35">
      <c r="A1789" s="20"/>
      <c r="B1789" s="22"/>
      <c r="C1789" s="25"/>
      <c r="D1789" s="26"/>
      <c r="E1789" s="24"/>
      <c r="F1789" s="24"/>
      <c r="G1789" s="24"/>
      <c r="H1789" s="24"/>
      <c r="I1789" s="24"/>
      <c r="J1789" s="24"/>
      <c r="K1789" s="24"/>
      <c r="L1789" s="24"/>
      <c r="M1789" s="24"/>
      <c r="N1789" s="24"/>
      <c r="O1789" s="24"/>
      <c r="P1789" s="24"/>
      <c r="Q1789" s="24"/>
      <c r="R1789" s="21"/>
    </row>
    <row r="1790" spans="1:18" x14ac:dyDescent="0.35">
      <c r="A1790" s="20"/>
      <c r="B1790" s="22"/>
      <c r="C1790" s="25"/>
      <c r="D1790" s="26"/>
      <c r="E1790" s="24"/>
      <c r="F1790" s="24"/>
      <c r="G1790" s="24"/>
      <c r="H1790" s="24"/>
      <c r="I1790" s="24"/>
      <c r="J1790" s="24"/>
      <c r="K1790" s="24"/>
      <c r="L1790" s="24"/>
      <c r="M1790" s="24"/>
      <c r="N1790" s="24"/>
      <c r="O1790" s="24"/>
      <c r="P1790" s="24"/>
      <c r="Q1790" s="24"/>
      <c r="R1790" s="21"/>
    </row>
    <row r="1791" spans="1:18" x14ac:dyDescent="0.35">
      <c r="A1791" s="20"/>
      <c r="B1791" s="22"/>
      <c r="C1791" s="25"/>
      <c r="D1791" s="26"/>
      <c r="E1791" s="24"/>
      <c r="F1791" s="24"/>
      <c r="G1791" s="24"/>
      <c r="H1791" s="24"/>
      <c r="I1791" s="24"/>
      <c r="J1791" s="24"/>
      <c r="K1791" s="24"/>
      <c r="L1791" s="24"/>
      <c r="M1791" s="24"/>
      <c r="N1791" s="24"/>
      <c r="O1791" s="24"/>
      <c r="P1791" s="24"/>
      <c r="Q1791" s="24"/>
      <c r="R1791" s="21"/>
    </row>
    <row r="1792" spans="1:18" x14ac:dyDescent="0.35">
      <c r="A1792" s="20"/>
      <c r="B1792" s="22"/>
      <c r="C1792" s="25"/>
      <c r="D1792" s="26"/>
      <c r="E1792" s="24"/>
      <c r="F1792" s="24"/>
      <c r="G1792" s="24"/>
      <c r="H1792" s="24"/>
      <c r="I1792" s="24"/>
      <c r="J1792" s="24"/>
      <c r="K1792" s="24"/>
      <c r="L1792" s="24"/>
      <c r="M1792" s="24"/>
      <c r="N1792" s="24"/>
      <c r="O1792" s="24"/>
      <c r="P1792" s="24"/>
      <c r="Q1792" s="24"/>
      <c r="R1792" s="21"/>
    </row>
    <row r="1793" spans="1:18" x14ac:dyDescent="0.35">
      <c r="A1793" s="20"/>
      <c r="B1793" s="22"/>
      <c r="C1793" s="25"/>
      <c r="D1793" s="26"/>
      <c r="E1793" s="24"/>
      <c r="F1793" s="24"/>
      <c r="G1793" s="24"/>
      <c r="H1793" s="24"/>
      <c r="I1793" s="24"/>
      <c r="J1793" s="24"/>
      <c r="K1793" s="24"/>
      <c r="L1793" s="24"/>
      <c r="M1793" s="24"/>
      <c r="N1793" s="24"/>
      <c r="O1793" s="24"/>
      <c r="P1793" s="24"/>
      <c r="Q1793" s="24"/>
      <c r="R1793" s="14"/>
    </row>
    <row r="1794" spans="1:18" x14ac:dyDescent="0.35">
      <c r="A1794" s="20"/>
      <c r="B1794" s="22"/>
      <c r="C1794" s="25"/>
      <c r="D1794" s="26"/>
      <c r="E1794" s="24"/>
      <c r="F1794" s="24"/>
      <c r="G1794" s="24"/>
      <c r="H1794" s="24"/>
      <c r="I1794" s="24"/>
      <c r="J1794" s="24"/>
      <c r="K1794" s="24"/>
      <c r="L1794" s="24"/>
      <c r="M1794" s="24"/>
      <c r="N1794" s="24"/>
      <c r="O1794" s="24"/>
      <c r="P1794" s="24"/>
      <c r="Q1794" s="24"/>
      <c r="R1794" s="14"/>
    </row>
    <row r="1795" spans="1:18" x14ac:dyDescent="0.35">
      <c r="A1795" s="20"/>
      <c r="B1795" s="22"/>
      <c r="C1795" s="25"/>
      <c r="D1795" s="26"/>
      <c r="E1795" s="24"/>
      <c r="F1795" s="24"/>
      <c r="G1795" s="24"/>
      <c r="H1795" s="24"/>
      <c r="I1795" s="24"/>
      <c r="J1795" s="24"/>
      <c r="K1795" s="24"/>
      <c r="L1795" s="24"/>
      <c r="M1795" s="24"/>
      <c r="N1795" s="24"/>
      <c r="O1795" s="24"/>
      <c r="P1795" s="24"/>
      <c r="Q1795" s="24"/>
      <c r="R1795" s="14"/>
    </row>
    <row r="1796" spans="1:18" x14ac:dyDescent="0.35">
      <c r="A1796" s="20"/>
      <c r="B1796" s="22"/>
      <c r="C1796" s="25"/>
      <c r="D1796" s="26"/>
      <c r="E1796" s="24"/>
      <c r="F1796" s="24"/>
      <c r="G1796" s="24"/>
      <c r="H1796" s="24"/>
      <c r="I1796" s="24"/>
      <c r="J1796" s="24"/>
      <c r="K1796" s="24"/>
      <c r="L1796" s="24"/>
      <c r="M1796" s="24"/>
      <c r="N1796" s="24"/>
      <c r="O1796" s="24"/>
      <c r="P1796" s="24"/>
      <c r="Q1796" s="24"/>
      <c r="R1796" s="14"/>
    </row>
    <row r="1797" spans="1:18" x14ac:dyDescent="0.35">
      <c r="A1797" s="20"/>
      <c r="B1797" s="22"/>
      <c r="C1797" s="25"/>
      <c r="D1797" s="26"/>
      <c r="E1797" s="24"/>
      <c r="F1797" s="24"/>
      <c r="G1797" s="24"/>
      <c r="H1797" s="24"/>
      <c r="I1797" s="24"/>
      <c r="J1797" s="24"/>
      <c r="K1797" s="24"/>
      <c r="L1797" s="24"/>
      <c r="M1797" s="24"/>
      <c r="N1797" s="24"/>
      <c r="O1797" s="24"/>
      <c r="P1797" s="24"/>
      <c r="Q1797" s="24"/>
      <c r="R1797" s="14"/>
    </row>
    <row r="1798" spans="1:18" x14ac:dyDescent="0.35">
      <c r="A1798" s="20"/>
      <c r="B1798" s="22"/>
      <c r="C1798" s="25"/>
      <c r="D1798" s="26"/>
      <c r="E1798" s="24"/>
      <c r="F1798" s="24"/>
      <c r="G1798" s="24"/>
      <c r="H1798" s="24"/>
      <c r="I1798" s="24"/>
      <c r="J1798" s="24"/>
      <c r="K1798" s="24"/>
      <c r="L1798" s="24"/>
      <c r="M1798" s="24"/>
      <c r="N1798" s="24"/>
      <c r="O1798" s="24"/>
      <c r="P1798" s="24"/>
      <c r="Q1798" s="24"/>
      <c r="R1798" s="14"/>
    </row>
    <row r="1799" spans="1:18" x14ac:dyDescent="0.35">
      <c r="A1799" s="20"/>
      <c r="B1799" s="22"/>
      <c r="C1799" s="25"/>
      <c r="D1799" s="26"/>
      <c r="E1799" s="24"/>
      <c r="F1799" s="24"/>
      <c r="G1799" s="24"/>
      <c r="H1799" s="24"/>
      <c r="I1799" s="24"/>
      <c r="J1799" s="24"/>
      <c r="K1799" s="24"/>
      <c r="L1799" s="24"/>
      <c r="M1799" s="24"/>
      <c r="N1799" s="24"/>
      <c r="O1799" s="24"/>
      <c r="P1799" s="24"/>
      <c r="Q1799" s="24"/>
      <c r="R1799" s="14"/>
    </row>
    <row r="1800" spans="1:18" x14ac:dyDescent="0.35">
      <c r="A1800" s="20"/>
      <c r="B1800" s="22"/>
      <c r="C1800" s="25"/>
      <c r="D1800" s="26"/>
      <c r="E1800" s="24"/>
      <c r="F1800" s="24"/>
      <c r="G1800" s="24"/>
      <c r="H1800" s="24"/>
      <c r="I1800" s="24"/>
      <c r="J1800" s="24"/>
      <c r="K1800" s="24"/>
      <c r="L1800" s="24"/>
      <c r="M1800" s="24"/>
      <c r="N1800" s="24"/>
      <c r="O1800" s="24"/>
      <c r="P1800" s="24"/>
      <c r="Q1800" s="24"/>
      <c r="R1800" s="21"/>
    </row>
    <row r="1801" spans="1:18" x14ac:dyDescent="0.35">
      <c r="A1801" s="20"/>
      <c r="B1801" s="22"/>
      <c r="C1801" s="25"/>
      <c r="D1801" s="26"/>
      <c r="E1801" s="24"/>
      <c r="F1801" s="24"/>
      <c r="G1801" s="24"/>
      <c r="H1801" s="24"/>
      <c r="I1801" s="24"/>
      <c r="J1801" s="24"/>
      <c r="K1801" s="24"/>
      <c r="L1801" s="24"/>
      <c r="M1801" s="24"/>
      <c r="N1801" s="24"/>
      <c r="O1801" s="24"/>
      <c r="P1801" s="24"/>
      <c r="Q1801" s="24"/>
      <c r="R1801" s="21"/>
    </row>
    <row r="1802" spans="1:18" x14ac:dyDescent="0.35">
      <c r="A1802" s="20"/>
      <c r="B1802" s="22"/>
      <c r="C1802" s="25"/>
      <c r="D1802" s="26"/>
      <c r="E1802" s="24"/>
      <c r="F1802" s="24"/>
      <c r="G1802" s="24"/>
      <c r="H1802" s="24"/>
      <c r="I1802" s="24"/>
      <c r="J1802" s="24"/>
      <c r="K1802" s="24"/>
      <c r="L1802" s="24"/>
      <c r="M1802" s="24"/>
      <c r="N1802" s="24"/>
      <c r="O1802" s="24"/>
      <c r="P1802" s="24"/>
      <c r="Q1802" s="24"/>
      <c r="R1802" s="21"/>
    </row>
    <row r="1803" spans="1:18" x14ac:dyDescent="0.35">
      <c r="A1803" s="20"/>
      <c r="B1803" s="22"/>
      <c r="C1803" s="25"/>
      <c r="D1803" s="26"/>
      <c r="E1803" s="24"/>
      <c r="F1803" s="24"/>
      <c r="G1803" s="24"/>
      <c r="H1803" s="24"/>
      <c r="I1803" s="24"/>
      <c r="J1803" s="24"/>
      <c r="K1803" s="24"/>
      <c r="L1803" s="24"/>
      <c r="M1803" s="24"/>
      <c r="N1803" s="24"/>
      <c r="O1803" s="24"/>
      <c r="P1803" s="24"/>
      <c r="Q1803" s="24"/>
      <c r="R1803" s="21"/>
    </row>
    <row r="1804" spans="1:18" x14ac:dyDescent="0.35">
      <c r="A1804" s="20"/>
      <c r="B1804" s="22"/>
      <c r="C1804" s="25"/>
      <c r="D1804" s="26"/>
      <c r="E1804" s="24"/>
      <c r="F1804" s="24"/>
      <c r="G1804" s="24"/>
      <c r="H1804" s="24"/>
      <c r="I1804" s="24"/>
      <c r="J1804" s="24"/>
      <c r="K1804" s="24"/>
      <c r="L1804" s="24"/>
      <c r="M1804" s="24"/>
      <c r="N1804" s="24"/>
      <c r="O1804" s="24"/>
      <c r="P1804" s="24"/>
      <c r="Q1804" s="24"/>
      <c r="R1804" s="21"/>
    </row>
    <row r="1805" spans="1:18" x14ac:dyDescent="0.35">
      <c r="A1805" s="20"/>
      <c r="B1805" s="22"/>
      <c r="C1805" s="25"/>
      <c r="D1805" s="26"/>
      <c r="E1805" s="24"/>
      <c r="F1805" s="24"/>
      <c r="G1805" s="24"/>
      <c r="H1805" s="24"/>
      <c r="I1805" s="24"/>
      <c r="J1805" s="24"/>
      <c r="K1805" s="24"/>
      <c r="L1805" s="24"/>
      <c r="M1805" s="24"/>
      <c r="N1805" s="24"/>
      <c r="O1805" s="24"/>
      <c r="P1805" s="24"/>
      <c r="Q1805" s="24"/>
      <c r="R1805" s="21"/>
    </row>
    <row r="1806" spans="1:18" x14ac:dyDescent="0.35">
      <c r="A1806" s="20"/>
      <c r="B1806" s="22"/>
      <c r="C1806" s="25"/>
      <c r="D1806" s="26"/>
      <c r="E1806" s="24"/>
      <c r="F1806" s="24"/>
      <c r="G1806" s="24"/>
      <c r="H1806" s="24"/>
      <c r="I1806" s="24"/>
      <c r="J1806" s="24"/>
      <c r="K1806" s="24"/>
      <c r="L1806" s="24"/>
      <c r="M1806" s="24"/>
      <c r="N1806" s="24"/>
      <c r="O1806" s="24"/>
      <c r="P1806" s="24"/>
      <c r="Q1806" s="24"/>
      <c r="R1806" s="21"/>
    </row>
    <row r="1807" spans="1:18" x14ac:dyDescent="0.35">
      <c r="A1807" s="20"/>
      <c r="B1807" s="22"/>
      <c r="C1807" s="25"/>
      <c r="D1807" s="26"/>
      <c r="E1807" s="24"/>
      <c r="F1807" s="24"/>
      <c r="G1807" s="24"/>
      <c r="H1807" s="24"/>
      <c r="I1807" s="24"/>
      <c r="J1807" s="24"/>
      <c r="K1807" s="24"/>
      <c r="L1807" s="24"/>
      <c r="M1807" s="24"/>
      <c r="N1807" s="24"/>
      <c r="O1807" s="24"/>
      <c r="P1807" s="24"/>
      <c r="Q1807" s="24"/>
      <c r="R1807" s="21"/>
    </row>
    <row r="1808" spans="1:18" x14ac:dyDescent="0.35">
      <c r="A1808" s="20"/>
      <c r="B1808" s="22"/>
      <c r="C1808" s="25"/>
      <c r="D1808" s="26"/>
      <c r="E1808" s="24"/>
      <c r="F1808" s="24"/>
      <c r="G1808" s="24"/>
      <c r="H1808" s="24"/>
      <c r="I1808" s="24"/>
      <c r="J1808" s="24"/>
      <c r="K1808" s="24"/>
      <c r="L1808" s="24"/>
      <c r="M1808" s="24"/>
      <c r="N1808" s="24"/>
      <c r="O1808" s="24"/>
      <c r="P1808" s="24"/>
      <c r="Q1808" s="24"/>
      <c r="R1808" s="21"/>
    </row>
    <row r="1809" spans="1:18" x14ac:dyDescent="0.35">
      <c r="A1809" s="20"/>
      <c r="B1809" s="22"/>
      <c r="C1809" s="25"/>
      <c r="D1809" s="26"/>
      <c r="E1809" s="24"/>
      <c r="F1809" s="24"/>
      <c r="G1809" s="24"/>
      <c r="H1809" s="24"/>
      <c r="I1809" s="24"/>
      <c r="J1809" s="24"/>
      <c r="K1809" s="24"/>
      <c r="L1809" s="24"/>
      <c r="M1809" s="24"/>
      <c r="N1809" s="24"/>
      <c r="O1809" s="24"/>
      <c r="P1809" s="24"/>
      <c r="Q1809" s="24"/>
      <c r="R1809" s="14"/>
    </row>
    <row r="1810" spans="1:18" x14ac:dyDescent="0.35">
      <c r="A1810" s="20"/>
      <c r="B1810" s="22"/>
      <c r="C1810" s="25"/>
      <c r="D1810" s="26"/>
      <c r="E1810" s="24"/>
      <c r="F1810" s="24"/>
      <c r="G1810" s="24"/>
      <c r="H1810" s="24"/>
      <c r="I1810" s="24"/>
      <c r="J1810" s="24"/>
      <c r="K1810" s="24"/>
      <c r="L1810" s="24"/>
      <c r="M1810" s="24"/>
      <c r="N1810" s="24"/>
      <c r="O1810" s="24"/>
      <c r="P1810" s="24"/>
      <c r="Q1810" s="24"/>
      <c r="R1810" s="14"/>
    </row>
    <row r="1811" spans="1:18" x14ac:dyDescent="0.35">
      <c r="A1811" s="20"/>
      <c r="B1811" s="22"/>
      <c r="C1811" s="25"/>
      <c r="D1811" s="26"/>
      <c r="E1811" s="24"/>
      <c r="F1811" s="24"/>
      <c r="G1811" s="24"/>
      <c r="H1811" s="24"/>
      <c r="I1811" s="24"/>
      <c r="J1811" s="24"/>
      <c r="K1811" s="24"/>
      <c r="L1811" s="24"/>
      <c r="M1811" s="24"/>
      <c r="N1811" s="24"/>
      <c r="O1811" s="24"/>
      <c r="P1811" s="24"/>
      <c r="Q1811" s="24"/>
      <c r="R1811" s="14"/>
    </row>
    <row r="1812" spans="1:18" x14ac:dyDescent="0.35">
      <c r="A1812" s="20"/>
      <c r="B1812" s="22"/>
      <c r="C1812" s="25"/>
      <c r="D1812" s="26"/>
      <c r="E1812" s="24"/>
      <c r="F1812" s="24"/>
      <c r="G1812" s="24"/>
      <c r="H1812" s="24"/>
      <c r="I1812" s="24"/>
      <c r="J1812" s="24"/>
      <c r="K1812" s="24"/>
      <c r="L1812" s="24"/>
      <c r="M1812" s="24"/>
      <c r="N1812" s="24"/>
      <c r="O1812" s="24"/>
      <c r="P1812" s="24"/>
      <c r="Q1812" s="24"/>
      <c r="R1812" s="14"/>
    </row>
    <row r="1813" spans="1:18" x14ac:dyDescent="0.35">
      <c r="A1813" s="20"/>
      <c r="B1813" s="22"/>
      <c r="C1813" s="25"/>
      <c r="D1813" s="26"/>
      <c r="E1813" s="24"/>
      <c r="F1813" s="24"/>
      <c r="G1813" s="24"/>
      <c r="H1813" s="24"/>
      <c r="I1813" s="24"/>
      <c r="J1813" s="24"/>
      <c r="K1813" s="24"/>
      <c r="L1813" s="24"/>
      <c r="M1813" s="24"/>
      <c r="N1813" s="24"/>
      <c r="O1813" s="24"/>
      <c r="P1813" s="24"/>
      <c r="Q1813" s="24"/>
      <c r="R1813" s="14"/>
    </row>
    <row r="1814" spans="1:18" x14ac:dyDescent="0.35">
      <c r="A1814" s="20"/>
      <c r="B1814" s="22"/>
      <c r="C1814" s="25"/>
      <c r="D1814" s="26"/>
      <c r="E1814" s="24"/>
      <c r="F1814" s="24"/>
      <c r="G1814" s="24"/>
      <c r="H1814" s="24"/>
      <c r="I1814" s="24"/>
      <c r="J1814" s="24"/>
      <c r="K1814" s="24"/>
      <c r="L1814" s="24"/>
      <c r="M1814" s="24"/>
      <c r="N1814" s="24"/>
      <c r="O1814" s="24"/>
      <c r="P1814" s="24"/>
      <c r="Q1814" s="24"/>
      <c r="R1814" s="14"/>
    </row>
    <row r="1815" spans="1:18" x14ac:dyDescent="0.35">
      <c r="A1815" s="20"/>
      <c r="B1815" s="22"/>
      <c r="C1815" s="25"/>
      <c r="D1815" s="26"/>
      <c r="E1815" s="24"/>
      <c r="F1815" s="24"/>
      <c r="G1815" s="24"/>
      <c r="H1815" s="24"/>
      <c r="I1815" s="24"/>
      <c r="J1815" s="24"/>
      <c r="K1815" s="24"/>
      <c r="L1815" s="24"/>
      <c r="M1815" s="24"/>
      <c r="N1815" s="24"/>
      <c r="O1815" s="24"/>
      <c r="P1815" s="24"/>
      <c r="Q1815" s="24"/>
      <c r="R1815" s="14"/>
    </row>
    <row r="1816" spans="1:18" x14ac:dyDescent="0.35">
      <c r="A1816" s="20"/>
      <c r="B1816" s="22"/>
      <c r="C1816" s="25"/>
      <c r="D1816" s="26"/>
      <c r="E1816" s="24"/>
      <c r="F1816" s="24"/>
      <c r="G1816" s="24"/>
      <c r="H1816" s="24"/>
      <c r="I1816" s="24"/>
      <c r="J1816" s="24"/>
      <c r="K1816" s="24"/>
      <c r="L1816" s="24"/>
      <c r="M1816" s="24"/>
      <c r="N1816" s="24"/>
      <c r="O1816" s="24"/>
      <c r="P1816" s="24"/>
      <c r="Q1816" s="24"/>
      <c r="R1816" s="14"/>
    </row>
    <row r="1817" spans="1:18" x14ac:dyDescent="0.35">
      <c r="A1817" s="20"/>
      <c r="B1817" s="22"/>
      <c r="C1817" s="25"/>
      <c r="D1817" s="26"/>
      <c r="E1817" s="24"/>
      <c r="F1817" s="24"/>
      <c r="G1817" s="24"/>
      <c r="H1817" s="24"/>
      <c r="I1817" s="24"/>
      <c r="J1817" s="24"/>
      <c r="K1817" s="24"/>
      <c r="L1817" s="24"/>
      <c r="M1817" s="24"/>
      <c r="N1817" s="24"/>
      <c r="O1817" s="24"/>
      <c r="P1817" s="24"/>
      <c r="Q1817" s="24"/>
      <c r="R1817" s="14"/>
    </row>
    <row r="1818" spans="1:18" x14ac:dyDescent="0.35">
      <c r="A1818" s="20"/>
      <c r="B1818" s="22"/>
      <c r="C1818" s="25"/>
      <c r="D1818" s="26"/>
      <c r="E1818" s="24"/>
      <c r="F1818" s="24"/>
      <c r="G1818" s="24"/>
      <c r="H1818" s="24"/>
      <c r="I1818" s="24"/>
      <c r="J1818" s="24"/>
      <c r="K1818" s="24"/>
      <c r="L1818" s="24"/>
      <c r="M1818" s="24"/>
      <c r="N1818" s="24"/>
      <c r="O1818" s="24"/>
      <c r="P1818" s="24"/>
      <c r="Q1818" s="24"/>
      <c r="R1818" s="14"/>
    </row>
    <row r="1819" spans="1:18" x14ac:dyDescent="0.35">
      <c r="A1819" s="20"/>
      <c r="B1819" s="22"/>
      <c r="C1819" s="25"/>
      <c r="D1819" s="26"/>
      <c r="E1819" s="24"/>
      <c r="F1819" s="24"/>
      <c r="G1819" s="24"/>
      <c r="H1819" s="24"/>
      <c r="I1819" s="24"/>
      <c r="J1819" s="24"/>
      <c r="K1819" s="24"/>
      <c r="L1819" s="24"/>
      <c r="M1819" s="24"/>
      <c r="N1819" s="24"/>
      <c r="O1819" s="24"/>
      <c r="P1819" s="24"/>
      <c r="Q1819" s="24"/>
      <c r="R1819" s="14"/>
    </row>
    <row r="1820" spans="1:18" x14ac:dyDescent="0.35">
      <c r="A1820" s="20"/>
      <c r="B1820" s="22"/>
      <c r="C1820" s="25"/>
      <c r="D1820" s="26"/>
      <c r="E1820" s="24"/>
      <c r="F1820" s="24"/>
      <c r="G1820" s="24"/>
      <c r="H1820" s="24"/>
      <c r="I1820" s="24"/>
      <c r="J1820" s="24"/>
      <c r="K1820" s="24"/>
      <c r="L1820" s="24"/>
      <c r="M1820" s="24"/>
      <c r="N1820" s="24"/>
      <c r="O1820" s="24"/>
      <c r="P1820" s="24"/>
      <c r="Q1820" s="24"/>
      <c r="R1820" s="14"/>
    </row>
    <row r="1821" spans="1:18" x14ac:dyDescent="0.35">
      <c r="A1821" s="20"/>
      <c r="B1821" s="22"/>
      <c r="C1821" s="25"/>
      <c r="D1821" s="26"/>
      <c r="E1821" s="24"/>
      <c r="F1821" s="24"/>
      <c r="G1821" s="24"/>
      <c r="H1821" s="24"/>
      <c r="I1821" s="24"/>
      <c r="J1821" s="24"/>
      <c r="K1821" s="24"/>
      <c r="L1821" s="24"/>
      <c r="M1821" s="24"/>
      <c r="N1821" s="24"/>
      <c r="O1821" s="24"/>
      <c r="P1821" s="24"/>
      <c r="Q1821" s="24"/>
      <c r="R1821" s="14"/>
    </row>
    <row r="1822" spans="1:18" x14ac:dyDescent="0.35">
      <c r="A1822" s="20"/>
      <c r="B1822" s="22"/>
      <c r="C1822" s="25"/>
      <c r="D1822" s="26"/>
      <c r="E1822" s="24"/>
      <c r="F1822" s="24"/>
      <c r="G1822" s="24"/>
      <c r="H1822" s="24"/>
      <c r="I1822" s="24"/>
      <c r="J1822" s="24"/>
      <c r="K1822" s="24"/>
      <c r="L1822" s="24"/>
      <c r="M1822" s="24"/>
      <c r="N1822" s="24"/>
      <c r="O1822" s="24"/>
      <c r="P1822" s="24"/>
      <c r="Q1822" s="24"/>
      <c r="R1822" s="14"/>
    </row>
    <row r="1823" spans="1:18" x14ac:dyDescent="0.35">
      <c r="A1823" s="20"/>
      <c r="B1823" s="22"/>
      <c r="C1823" s="25"/>
      <c r="D1823" s="26"/>
      <c r="E1823" s="24"/>
      <c r="F1823" s="24"/>
      <c r="G1823" s="24"/>
      <c r="H1823" s="24"/>
      <c r="I1823" s="24"/>
      <c r="J1823" s="24"/>
      <c r="K1823" s="24"/>
      <c r="L1823" s="24"/>
      <c r="M1823" s="24"/>
      <c r="N1823" s="24"/>
      <c r="O1823" s="24"/>
      <c r="P1823" s="24"/>
      <c r="Q1823" s="24"/>
      <c r="R1823" s="14"/>
    </row>
    <row r="1824" spans="1:18" x14ac:dyDescent="0.35">
      <c r="A1824" s="20"/>
      <c r="B1824" s="22"/>
      <c r="C1824" s="25"/>
      <c r="D1824" s="26"/>
      <c r="E1824" s="24"/>
      <c r="F1824" s="24"/>
      <c r="G1824" s="24"/>
      <c r="H1824" s="24"/>
      <c r="I1824" s="24"/>
      <c r="J1824" s="24"/>
      <c r="K1824" s="24"/>
      <c r="L1824" s="24"/>
      <c r="M1824" s="24"/>
      <c r="N1824" s="24"/>
      <c r="O1824" s="24"/>
      <c r="P1824" s="24"/>
      <c r="Q1824" s="24"/>
      <c r="R1824" s="21"/>
    </row>
    <row r="1825" spans="1:18" x14ac:dyDescent="0.35">
      <c r="A1825" s="20"/>
      <c r="B1825" s="22"/>
      <c r="C1825" s="25"/>
      <c r="D1825" s="26"/>
      <c r="E1825" s="24"/>
      <c r="F1825" s="24"/>
      <c r="G1825" s="24"/>
      <c r="H1825" s="24"/>
      <c r="I1825" s="24"/>
      <c r="J1825" s="24"/>
      <c r="K1825" s="24"/>
      <c r="L1825" s="24"/>
      <c r="M1825" s="24"/>
      <c r="N1825" s="24"/>
      <c r="O1825" s="24"/>
      <c r="P1825" s="24"/>
      <c r="Q1825" s="24"/>
      <c r="R1825" s="21"/>
    </row>
    <row r="1826" spans="1:18" x14ac:dyDescent="0.35">
      <c r="A1826" s="20"/>
      <c r="B1826" s="22"/>
      <c r="C1826" s="25"/>
      <c r="D1826" s="26"/>
      <c r="E1826" s="24"/>
      <c r="F1826" s="24"/>
      <c r="G1826" s="24"/>
      <c r="H1826" s="24"/>
      <c r="I1826" s="24"/>
      <c r="J1826" s="24"/>
      <c r="K1826" s="24"/>
      <c r="L1826" s="24"/>
      <c r="M1826" s="24"/>
      <c r="N1826" s="24"/>
      <c r="O1826" s="24"/>
      <c r="P1826" s="24"/>
      <c r="Q1826" s="24"/>
      <c r="R1826" s="21"/>
    </row>
    <row r="1827" spans="1:18" x14ac:dyDescent="0.35">
      <c r="A1827" s="20"/>
      <c r="B1827" s="22"/>
      <c r="C1827" s="25"/>
      <c r="D1827" s="26"/>
      <c r="E1827" s="24"/>
      <c r="F1827" s="24"/>
      <c r="G1827" s="24"/>
      <c r="H1827" s="24"/>
      <c r="I1827" s="24"/>
      <c r="J1827" s="24"/>
      <c r="K1827" s="24"/>
      <c r="L1827" s="24"/>
      <c r="M1827" s="24"/>
      <c r="N1827" s="24"/>
      <c r="O1827" s="24"/>
      <c r="P1827" s="24"/>
      <c r="Q1827" s="24"/>
      <c r="R1827" s="21"/>
    </row>
    <row r="1828" spans="1:18" x14ac:dyDescent="0.35">
      <c r="A1828" s="20"/>
      <c r="B1828" s="22"/>
      <c r="C1828" s="25"/>
      <c r="D1828" s="26"/>
      <c r="E1828" s="24"/>
      <c r="F1828" s="24"/>
      <c r="G1828" s="24"/>
      <c r="H1828" s="24"/>
      <c r="I1828" s="24"/>
      <c r="J1828" s="24"/>
      <c r="K1828" s="24"/>
      <c r="L1828" s="24"/>
      <c r="M1828" s="24"/>
      <c r="N1828" s="24"/>
      <c r="O1828" s="24"/>
      <c r="P1828" s="24"/>
      <c r="Q1828" s="24"/>
      <c r="R1828" s="21"/>
    </row>
    <row r="1829" spans="1:18" x14ac:dyDescent="0.35">
      <c r="A1829" s="20"/>
      <c r="B1829" s="22"/>
      <c r="C1829" s="25"/>
      <c r="D1829" s="26"/>
      <c r="E1829" s="24"/>
      <c r="F1829" s="24"/>
      <c r="G1829" s="24"/>
      <c r="H1829" s="24"/>
      <c r="I1829" s="24"/>
      <c r="J1829" s="24"/>
      <c r="K1829" s="24"/>
      <c r="L1829" s="24"/>
      <c r="M1829" s="24"/>
      <c r="N1829" s="24"/>
      <c r="O1829" s="24"/>
      <c r="P1829" s="24"/>
      <c r="Q1829" s="24"/>
      <c r="R1829" s="21"/>
    </row>
    <row r="1830" spans="1:18" x14ac:dyDescent="0.35">
      <c r="A1830" s="20"/>
      <c r="B1830" s="22"/>
      <c r="C1830" s="25"/>
      <c r="D1830" s="26"/>
      <c r="E1830" s="24"/>
      <c r="F1830" s="24"/>
      <c r="G1830" s="24"/>
      <c r="H1830" s="24"/>
      <c r="I1830" s="24"/>
      <c r="J1830" s="24"/>
      <c r="K1830" s="24"/>
      <c r="L1830" s="24"/>
      <c r="M1830" s="24"/>
      <c r="N1830" s="24"/>
      <c r="O1830" s="24"/>
      <c r="P1830" s="24"/>
      <c r="Q1830" s="24"/>
      <c r="R1830" s="21"/>
    </row>
    <row r="1831" spans="1:18" x14ac:dyDescent="0.35">
      <c r="A1831" s="20"/>
      <c r="B1831" s="22"/>
      <c r="C1831" s="25"/>
      <c r="D1831" s="26"/>
      <c r="E1831" s="24"/>
      <c r="F1831" s="24"/>
      <c r="G1831" s="24"/>
      <c r="H1831" s="24"/>
      <c r="I1831" s="24"/>
      <c r="J1831" s="24"/>
      <c r="K1831" s="24"/>
      <c r="L1831" s="24"/>
      <c r="M1831" s="24"/>
      <c r="N1831" s="24"/>
      <c r="O1831" s="24"/>
      <c r="P1831" s="24"/>
      <c r="Q1831" s="24"/>
      <c r="R1831" s="21"/>
    </row>
    <row r="1832" spans="1:18" x14ac:dyDescent="0.35">
      <c r="A1832" s="20"/>
      <c r="B1832" s="22"/>
      <c r="C1832" s="25"/>
      <c r="D1832" s="26"/>
      <c r="E1832" s="24"/>
      <c r="F1832" s="24"/>
      <c r="G1832" s="24"/>
      <c r="H1832" s="24"/>
      <c r="I1832" s="24"/>
      <c r="J1832" s="24"/>
      <c r="K1832" s="24"/>
      <c r="L1832" s="24"/>
      <c r="M1832" s="24"/>
      <c r="N1832" s="24"/>
      <c r="O1832" s="24"/>
      <c r="P1832" s="24"/>
      <c r="Q1832" s="24"/>
      <c r="R1832" s="21"/>
    </row>
    <row r="1833" spans="1:18" x14ac:dyDescent="0.35">
      <c r="A1833" s="20"/>
      <c r="B1833" s="22"/>
      <c r="C1833" s="25"/>
      <c r="D1833" s="26"/>
      <c r="E1833" s="24"/>
      <c r="F1833" s="24"/>
      <c r="G1833" s="24"/>
      <c r="H1833" s="24"/>
      <c r="I1833" s="24"/>
      <c r="J1833" s="24"/>
      <c r="K1833" s="24"/>
      <c r="L1833" s="24"/>
      <c r="M1833" s="24"/>
      <c r="N1833" s="24"/>
      <c r="O1833" s="24"/>
      <c r="P1833" s="24"/>
      <c r="Q1833" s="24"/>
      <c r="R1833" s="21"/>
    </row>
    <row r="1834" spans="1:18" x14ac:dyDescent="0.35">
      <c r="A1834" s="20"/>
      <c r="B1834" s="22"/>
      <c r="C1834" s="25"/>
      <c r="D1834" s="26"/>
      <c r="E1834" s="24"/>
      <c r="F1834" s="24"/>
      <c r="G1834" s="24"/>
      <c r="H1834" s="24"/>
      <c r="I1834" s="24"/>
      <c r="J1834" s="24"/>
      <c r="K1834" s="24"/>
      <c r="L1834" s="24"/>
      <c r="M1834" s="24"/>
      <c r="N1834" s="24"/>
      <c r="O1834" s="24"/>
      <c r="P1834" s="24"/>
      <c r="Q1834" s="24"/>
      <c r="R1834" s="21"/>
    </row>
    <row r="1835" spans="1:18" x14ac:dyDescent="0.35">
      <c r="A1835" s="20"/>
      <c r="B1835" s="22"/>
      <c r="C1835" s="25"/>
      <c r="D1835" s="26"/>
      <c r="E1835" s="24"/>
      <c r="F1835" s="24"/>
      <c r="G1835" s="24"/>
      <c r="H1835" s="24"/>
      <c r="I1835" s="24"/>
      <c r="J1835" s="24"/>
      <c r="K1835" s="24"/>
      <c r="L1835" s="24"/>
      <c r="M1835" s="24"/>
      <c r="N1835" s="24"/>
      <c r="O1835" s="24"/>
      <c r="P1835" s="24"/>
      <c r="Q1835" s="24"/>
      <c r="R1835" s="21"/>
    </row>
    <row r="1836" spans="1:18" x14ac:dyDescent="0.35">
      <c r="A1836" s="20"/>
      <c r="B1836" s="22"/>
      <c r="C1836" s="25"/>
      <c r="D1836" s="26"/>
      <c r="E1836" s="24"/>
      <c r="F1836" s="24"/>
      <c r="G1836" s="24"/>
      <c r="H1836" s="24"/>
      <c r="I1836" s="24"/>
      <c r="J1836" s="24"/>
      <c r="K1836" s="24"/>
      <c r="L1836" s="24"/>
      <c r="M1836" s="24"/>
      <c r="N1836" s="24"/>
      <c r="O1836" s="24"/>
      <c r="P1836" s="24"/>
      <c r="Q1836" s="24"/>
      <c r="R1836" s="21"/>
    </row>
    <row r="1837" spans="1:18" x14ac:dyDescent="0.35">
      <c r="A1837" s="20"/>
      <c r="B1837" s="22"/>
      <c r="C1837" s="25"/>
      <c r="D1837" s="26"/>
      <c r="E1837" s="24"/>
      <c r="F1837" s="24"/>
      <c r="G1837" s="24"/>
      <c r="H1837" s="24"/>
      <c r="I1837" s="24"/>
      <c r="J1837" s="24"/>
      <c r="K1837" s="24"/>
      <c r="L1837" s="24"/>
      <c r="M1837" s="24"/>
      <c r="N1837" s="24"/>
      <c r="O1837" s="24"/>
      <c r="P1837" s="24"/>
      <c r="Q1837" s="24"/>
      <c r="R1837" s="21"/>
    </row>
    <row r="1838" spans="1:18" x14ac:dyDescent="0.35">
      <c r="A1838" s="20"/>
      <c r="B1838" s="22"/>
      <c r="C1838" s="25"/>
      <c r="D1838" s="26"/>
      <c r="E1838" s="24"/>
      <c r="F1838" s="24"/>
      <c r="G1838" s="24"/>
      <c r="H1838" s="24"/>
      <c r="I1838" s="24"/>
      <c r="J1838" s="24"/>
      <c r="K1838" s="24"/>
      <c r="L1838" s="24"/>
      <c r="M1838" s="24"/>
      <c r="N1838" s="24"/>
      <c r="O1838" s="24"/>
      <c r="P1838" s="24"/>
      <c r="Q1838" s="24"/>
      <c r="R1838" s="21"/>
    </row>
    <row r="1839" spans="1:18" x14ac:dyDescent="0.35">
      <c r="A1839" s="20"/>
      <c r="B1839" s="22"/>
      <c r="C1839" s="25"/>
      <c r="D1839" s="26"/>
      <c r="E1839" s="24"/>
      <c r="F1839" s="24"/>
      <c r="G1839" s="24"/>
      <c r="H1839" s="24"/>
      <c r="I1839" s="24"/>
      <c r="J1839" s="24"/>
      <c r="K1839" s="24"/>
      <c r="L1839" s="24"/>
      <c r="M1839" s="24"/>
      <c r="N1839" s="24"/>
      <c r="O1839" s="24"/>
      <c r="P1839" s="24"/>
      <c r="Q1839" s="24"/>
      <c r="R1839" s="21"/>
    </row>
    <row r="1840" spans="1:18" x14ac:dyDescent="0.35">
      <c r="A1840" s="20"/>
      <c r="B1840" s="22"/>
      <c r="C1840" s="25"/>
      <c r="D1840" s="26"/>
      <c r="E1840" s="24"/>
      <c r="F1840" s="24"/>
      <c r="G1840" s="24"/>
      <c r="H1840" s="24"/>
      <c r="I1840" s="24"/>
      <c r="J1840" s="24"/>
      <c r="K1840" s="24"/>
      <c r="L1840" s="24"/>
      <c r="M1840" s="24"/>
      <c r="N1840" s="24"/>
      <c r="O1840" s="24"/>
      <c r="P1840" s="24"/>
      <c r="Q1840" s="24"/>
      <c r="R1840" s="14"/>
    </row>
    <row r="1841" spans="1:18" x14ac:dyDescent="0.35">
      <c r="A1841" s="20"/>
      <c r="B1841" s="22"/>
      <c r="C1841" s="25"/>
      <c r="D1841" s="26"/>
      <c r="E1841" s="24"/>
      <c r="F1841" s="24"/>
      <c r="G1841" s="24"/>
      <c r="H1841" s="24"/>
      <c r="I1841" s="24"/>
      <c r="J1841" s="24"/>
      <c r="K1841" s="24"/>
      <c r="L1841" s="24"/>
      <c r="M1841" s="24"/>
      <c r="N1841" s="24"/>
      <c r="O1841" s="24"/>
      <c r="P1841" s="24"/>
      <c r="Q1841" s="24"/>
      <c r="R1841" s="14"/>
    </row>
    <row r="1842" spans="1:18" x14ac:dyDescent="0.35">
      <c r="A1842" s="20"/>
      <c r="B1842" s="22"/>
      <c r="C1842" s="25"/>
      <c r="D1842" s="26"/>
      <c r="E1842" s="24"/>
      <c r="F1842" s="24"/>
      <c r="G1842" s="24"/>
      <c r="H1842" s="24"/>
      <c r="I1842" s="24"/>
      <c r="J1842" s="24"/>
      <c r="K1842" s="24"/>
      <c r="L1842" s="24"/>
      <c r="M1842" s="24"/>
      <c r="N1842" s="24"/>
      <c r="O1842" s="24"/>
      <c r="P1842" s="24"/>
      <c r="Q1842" s="24"/>
      <c r="R1842" s="14"/>
    </row>
    <row r="1843" spans="1:18" x14ac:dyDescent="0.35">
      <c r="A1843" s="20"/>
      <c r="B1843" s="22"/>
      <c r="C1843" s="25"/>
      <c r="D1843" s="26"/>
      <c r="E1843" s="24"/>
      <c r="F1843" s="24"/>
      <c r="G1843" s="24"/>
      <c r="H1843" s="24"/>
      <c r="I1843" s="24"/>
      <c r="J1843" s="24"/>
      <c r="K1843" s="24"/>
      <c r="L1843" s="24"/>
      <c r="M1843" s="24"/>
      <c r="N1843" s="24"/>
      <c r="O1843" s="24"/>
      <c r="P1843" s="24"/>
      <c r="Q1843" s="24"/>
      <c r="R1843" s="14"/>
    </row>
    <row r="1844" spans="1:18" x14ac:dyDescent="0.35">
      <c r="A1844" s="20"/>
      <c r="B1844" s="22"/>
      <c r="C1844" s="25"/>
      <c r="D1844" s="26"/>
      <c r="E1844" s="24"/>
      <c r="F1844" s="24"/>
      <c r="G1844" s="24"/>
      <c r="H1844" s="24"/>
      <c r="I1844" s="24"/>
      <c r="J1844" s="24"/>
      <c r="K1844" s="24"/>
      <c r="L1844" s="24"/>
      <c r="M1844" s="24"/>
      <c r="N1844" s="24"/>
      <c r="O1844" s="24"/>
      <c r="P1844" s="24"/>
      <c r="Q1844" s="24"/>
      <c r="R1844" s="14"/>
    </row>
    <row r="1845" spans="1:18" x14ac:dyDescent="0.35">
      <c r="A1845" s="20"/>
      <c r="B1845" s="22"/>
      <c r="C1845" s="25"/>
      <c r="D1845" s="26"/>
      <c r="E1845" s="24"/>
      <c r="F1845" s="24"/>
      <c r="G1845" s="24"/>
      <c r="H1845" s="24"/>
      <c r="I1845" s="24"/>
      <c r="J1845" s="24"/>
      <c r="K1845" s="24"/>
      <c r="L1845" s="24"/>
      <c r="M1845" s="24"/>
      <c r="N1845" s="24"/>
      <c r="O1845" s="24"/>
      <c r="P1845" s="24"/>
      <c r="Q1845" s="24"/>
      <c r="R1845" s="14"/>
    </row>
    <row r="1846" spans="1:18" x14ac:dyDescent="0.35">
      <c r="A1846" s="20"/>
      <c r="B1846" s="22"/>
      <c r="C1846" s="25"/>
      <c r="D1846" s="26"/>
      <c r="E1846" s="24"/>
      <c r="F1846" s="24"/>
      <c r="G1846" s="24"/>
      <c r="H1846" s="24"/>
      <c r="I1846" s="24"/>
      <c r="J1846" s="24"/>
      <c r="K1846" s="24"/>
      <c r="L1846" s="24"/>
      <c r="M1846" s="24"/>
      <c r="N1846" s="24"/>
      <c r="O1846" s="24"/>
      <c r="P1846" s="24"/>
      <c r="Q1846" s="24"/>
      <c r="R1846" s="14"/>
    </row>
    <row r="1847" spans="1:18" x14ac:dyDescent="0.35">
      <c r="A1847" s="20"/>
      <c r="B1847" s="22"/>
      <c r="C1847" s="25"/>
      <c r="D1847" s="26"/>
      <c r="E1847" s="24"/>
      <c r="F1847" s="24"/>
      <c r="G1847" s="24"/>
      <c r="H1847" s="24"/>
      <c r="I1847" s="24"/>
      <c r="J1847" s="24"/>
      <c r="K1847" s="24"/>
      <c r="L1847" s="24"/>
      <c r="M1847" s="24"/>
      <c r="N1847" s="24"/>
      <c r="O1847" s="24"/>
      <c r="P1847" s="24"/>
      <c r="Q1847" s="24"/>
      <c r="R1847" s="14"/>
    </row>
    <row r="1848" spans="1:18" x14ac:dyDescent="0.35">
      <c r="A1848" s="20"/>
      <c r="B1848" s="22"/>
      <c r="C1848" s="25"/>
      <c r="D1848" s="26"/>
      <c r="E1848" s="24"/>
      <c r="F1848" s="24"/>
      <c r="G1848" s="24"/>
      <c r="H1848" s="24"/>
      <c r="I1848" s="24"/>
      <c r="J1848" s="24"/>
      <c r="K1848" s="24"/>
      <c r="L1848" s="24"/>
      <c r="M1848" s="24"/>
      <c r="N1848" s="24"/>
      <c r="O1848" s="24"/>
      <c r="P1848" s="24"/>
      <c r="Q1848" s="24"/>
      <c r="R1848" s="14"/>
    </row>
    <row r="1849" spans="1:18" x14ac:dyDescent="0.35">
      <c r="A1849" s="20"/>
      <c r="B1849" s="22"/>
      <c r="C1849" s="25"/>
      <c r="D1849" s="26"/>
      <c r="E1849" s="24"/>
      <c r="F1849" s="24"/>
      <c r="G1849" s="24"/>
      <c r="H1849" s="24"/>
      <c r="I1849" s="24"/>
      <c r="J1849" s="24"/>
      <c r="K1849" s="24"/>
      <c r="L1849" s="24"/>
      <c r="M1849" s="24"/>
      <c r="N1849" s="24"/>
      <c r="O1849" s="24"/>
      <c r="P1849" s="24"/>
      <c r="Q1849" s="24"/>
      <c r="R1849" s="14"/>
    </row>
    <row r="1850" spans="1:18" x14ac:dyDescent="0.35">
      <c r="A1850" s="20"/>
      <c r="B1850" s="22"/>
      <c r="C1850" s="25"/>
      <c r="D1850" s="26"/>
      <c r="E1850" s="24"/>
      <c r="F1850" s="24"/>
      <c r="G1850" s="24"/>
      <c r="H1850" s="24"/>
      <c r="I1850" s="24"/>
      <c r="J1850" s="24"/>
      <c r="K1850" s="24"/>
      <c r="L1850" s="24"/>
      <c r="M1850" s="24"/>
      <c r="N1850" s="24"/>
      <c r="O1850" s="24"/>
      <c r="P1850" s="24"/>
      <c r="Q1850" s="24"/>
      <c r="R1850" s="14"/>
    </row>
    <row r="1851" spans="1:18" x14ac:dyDescent="0.35">
      <c r="A1851" s="20"/>
      <c r="B1851" s="22"/>
      <c r="C1851" s="25"/>
      <c r="D1851" s="26"/>
      <c r="E1851" s="24"/>
      <c r="F1851" s="24"/>
      <c r="G1851" s="24"/>
      <c r="H1851" s="24"/>
      <c r="I1851" s="24"/>
      <c r="J1851" s="24"/>
      <c r="K1851" s="24"/>
      <c r="L1851" s="24"/>
      <c r="M1851" s="24"/>
      <c r="N1851" s="24"/>
      <c r="O1851" s="24"/>
      <c r="P1851" s="24"/>
      <c r="Q1851" s="24"/>
      <c r="R1851" s="14"/>
    </row>
    <row r="1852" spans="1:18" x14ac:dyDescent="0.35">
      <c r="A1852" s="20"/>
      <c r="B1852" s="22"/>
      <c r="C1852" s="25"/>
      <c r="D1852" s="26"/>
      <c r="E1852" s="24"/>
      <c r="F1852" s="24"/>
      <c r="G1852" s="24"/>
      <c r="H1852" s="24"/>
      <c r="I1852" s="24"/>
      <c r="J1852" s="24"/>
      <c r="K1852" s="24"/>
      <c r="L1852" s="24"/>
      <c r="M1852" s="24"/>
      <c r="N1852" s="24"/>
      <c r="O1852" s="24"/>
      <c r="P1852" s="24"/>
      <c r="Q1852" s="24"/>
      <c r="R1852" s="14"/>
    </row>
    <row r="1853" spans="1:18" x14ac:dyDescent="0.35">
      <c r="A1853" s="20"/>
      <c r="B1853" s="22"/>
      <c r="C1853" s="25"/>
      <c r="D1853" s="26"/>
      <c r="E1853" s="24"/>
      <c r="F1853" s="24"/>
      <c r="G1853" s="24"/>
      <c r="H1853" s="24"/>
      <c r="I1853" s="24"/>
      <c r="J1853" s="24"/>
      <c r="K1853" s="24"/>
      <c r="L1853" s="24"/>
      <c r="M1853" s="24"/>
      <c r="N1853" s="24"/>
      <c r="O1853" s="24"/>
      <c r="P1853" s="24"/>
      <c r="Q1853" s="24"/>
      <c r="R1853" s="14"/>
    </row>
    <row r="1854" spans="1:18" x14ac:dyDescent="0.35">
      <c r="A1854" s="20"/>
      <c r="B1854" s="22"/>
      <c r="C1854" s="25"/>
      <c r="D1854" s="26"/>
      <c r="E1854" s="24"/>
      <c r="F1854" s="24"/>
      <c r="G1854" s="24"/>
      <c r="H1854" s="24"/>
      <c r="I1854" s="24"/>
      <c r="J1854" s="24"/>
      <c r="K1854" s="24"/>
      <c r="L1854" s="24"/>
      <c r="M1854" s="24"/>
      <c r="N1854" s="24"/>
      <c r="O1854" s="24"/>
      <c r="P1854" s="24"/>
      <c r="Q1854" s="24"/>
      <c r="R1854" s="21"/>
    </row>
    <row r="1855" spans="1:18" x14ac:dyDescent="0.35">
      <c r="A1855" s="20"/>
      <c r="B1855" s="22"/>
      <c r="C1855" s="25"/>
      <c r="D1855" s="26"/>
      <c r="E1855" s="24"/>
      <c r="F1855" s="24"/>
      <c r="G1855" s="24"/>
      <c r="H1855" s="24"/>
      <c r="I1855" s="24"/>
      <c r="J1855" s="24"/>
      <c r="K1855" s="24"/>
      <c r="L1855" s="24"/>
      <c r="M1855" s="24"/>
      <c r="N1855" s="24"/>
      <c r="O1855" s="24"/>
      <c r="P1855" s="24"/>
      <c r="Q1855" s="24"/>
      <c r="R1855" s="21"/>
    </row>
    <row r="1856" spans="1:18" x14ac:dyDescent="0.35">
      <c r="A1856" s="20"/>
      <c r="B1856" s="22"/>
      <c r="C1856" s="25"/>
      <c r="D1856" s="26"/>
      <c r="E1856" s="24"/>
      <c r="F1856" s="24"/>
      <c r="G1856" s="24"/>
      <c r="H1856" s="24"/>
      <c r="I1856" s="24"/>
      <c r="J1856" s="24"/>
      <c r="K1856" s="24"/>
      <c r="L1856" s="24"/>
      <c r="M1856" s="24"/>
      <c r="N1856" s="24"/>
      <c r="O1856" s="24"/>
      <c r="P1856" s="24"/>
      <c r="Q1856" s="24"/>
      <c r="R1856" s="21"/>
    </row>
    <row r="1857" spans="1:18" x14ac:dyDescent="0.35">
      <c r="A1857" s="20"/>
      <c r="B1857" s="22"/>
      <c r="C1857" s="25"/>
      <c r="D1857" s="26"/>
      <c r="E1857" s="24"/>
      <c r="F1857" s="24"/>
      <c r="G1857" s="24"/>
      <c r="H1857" s="24"/>
      <c r="I1857" s="24"/>
      <c r="J1857" s="24"/>
      <c r="K1857" s="24"/>
      <c r="L1857" s="24"/>
      <c r="M1857" s="24"/>
      <c r="N1857" s="24"/>
      <c r="O1857" s="24"/>
      <c r="P1857" s="24"/>
      <c r="Q1857" s="24"/>
      <c r="R1857" s="21"/>
    </row>
    <row r="1858" spans="1:18" x14ac:dyDescent="0.35">
      <c r="A1858" s="20"/>
      <c r="B1858" s="22"/>
      <c r="C1858" s="25"/>
      <c r="D1858" s="26"/>
      <c r="E1858" s="24"/>
      <c r="F1858" s="24"/>
      <c r="G1858" s="24"/>
      <c r="H1858" s="24"/>
      <c r="I1858" s="24"/>
      <c r="J1858" s="24"/>
      <c r="K1858" s="24"/>
      <c r="L1858" s="24"/>
      <c r="M1858" s="24"/>
      <c r="N1858" s="24"/>
      <c r="O1858" s="24"/>
      <c r="P1858" s="24"/>
      <c r="Q1858" s="24"/>
      <c r="R1858" s="21"/>
    </row>
    <row r="1859" spans="1:18" x14ac:dyDescent="0.35">
      <c r="A1859" s="20"/>
      <c r="B1859" s="22"/>
      <c r="C1859" s="25"/>
      <c r="D1859" s="26"/>
      <c r="E1859" s="24"/>
      <c r="F1859" s="24"/>
      <c r="G1859" s="24"/>
      <c r="H1859" s="24"/>
      <c r="I1859" s="24"/>
      <c r="J1859" s="24"/>
      <c r="K1859" s="24"/>
      <c r="L1859" s="24"/>
      <c r="M1859" s="24"/>
      <c r="N1859" s="24"/>
      <c r="O1859" s="24"/>
      <c r="P1859" s="24"/>
      <c r="Q1859" s="24"/>
      <c r="R1859" s="21"/>
    </row>
    <row r="1860" spans="1:18" x14ac:dyDescent="0.35">
      <c r="A1860" s="20"/>
      <c r="B1860" s="22"/>
      <c r="C1860" s="25"/>
      <c r="D1860" s="26"/>
      <c r="E1860" s="24"/>
      <c r="F1860" s="24"/>
      <c r="G1860" s="24"/>
      <c r="H1860" s="24"/>
      <c r="I1860" s="24"/>
      <c r="J1860" s="24"/>
      <c r="K1860" s="24"/>
      <c r="L1860" s="24"/>
      <c r="M1860" s="24"/>
      <c r="N1860" s="24"/>
      <c r="O1860" s="24"/>
      <c r="P1860" s="24"/>
      <c r="Q1860" s="24"/>
      <c r="R1860" s="21"/>
    </row>
    <row r="1861" spans="1:18" x14ac:dyDescent="0.35">
      <c r="A1861" s="20"/>
      <c r="B1861" s="22"/>
      <c r="C1861" s="25"/>
      <c r="D1861" s="26"/>
      <c r="E1861" s="24"/>
      <c r="F1861" s="24"/>
      <c r="G1861" s="24"/>
      <c r="H1861" s="24"/>
      <c r="I1861" s="24"/>
      <c r="J1861" s="24"/>
      <c r="K1861" s="24"/>
      <c r="L1861" s="24"/>
      <c r="M1861" s="24"/>
      <c r="N1861" s="24"/>
      <c r="O1861" s="24"/>
      <c r="P1861" s="24"/>
      <c r="Q1861" s="24"/>
      <c r="R1861" s="21"/>
    </row>
    <row r="1862" spans="1:18" x14ac:dyDescent="0.35">
      <c r="A1862" s="20"/>
      <c r="B1862" s="22"/>
      <c r="C1862" s="25"/>
      <c r="D1862" s="26"/>
      <c r="E1862" s="24"/>
      <c r="F1862" s="24"/>
      <c r="G1862" s="24"/>
      <c r="H1862" s="24"/>
      <c r="I1862" s="24"/>
      <c r="J1862" s="24"/>
      <c r="K1862" s="24"/>
      <c r="L1862" s="24"/>
      <c r="M1862" s="24"/>
      <c r="N1862" s="24"/>
      <c r="O1862" s="24"/>
      <c r="P1862" s="24"/>
      <c r="Q1862" s="24"/>
      <c r="R1862" s="21"/>
    </row>
    <row r="1863" spans="1:18" x14ac:dyDescent="0.35">
      <c r="A1863" s="20"/>
      <c r="B1863" s="22"/>
      <c r="C1863" s="25"/>
      <c r="D1863" s="26"/>
      <c r="E1863" s="24"/>
      <c r="F1863" s="24"/>
      <c r="G1863" s="24"/>
      <c r="H1863" s="24"/>
      <c r="I1863" s="24"/>
      <c r="J1863" s="24"/>
      <c r="K1863" s="24"/>
      <c r="L1863" s="24"/>
      <c r="M1863" s="24"/>
      <c r="N1863" s="24"/>
      <c r="O1863" s="24"/>
      <c r="P1863" s="24"/>
      <c r="Q1863" s="24"/>
      <c r="R1863" s="14"/>
    </row>
    <row r="1864" spans="1:18" x14ac:dyDescent="0.35">
      <c r="A1864" s="20"/>
      <c r="B1864" s="22"/>
      <c r="C1864" s="25"/>
      <c r="D1864" s="26"/>
      <c r="E1864" s="24"/>
      <c r="F1864" s="24"/>
      <c r="G1864" s="24"/>
      <c r="H1864" s="24"/>
      <c r="I1864" s="24"/>
      <c r="J1864" s="24"/>
      <c r="K1864" s="24"/>
      <c r="L1864" s="24"/>
      <c r="M1864" s="24"/>
      <c r="N1864" s="24"/>
      <c r="O1864" s="24"/>
      <c r="P1864" s="24"/>
      <c r="Q1864" s="24"/>
      <c r="R1864" s="14"/>
    </row>
    <row r="1865" spans="1:18" x14ac:dyDescent="0.35">
      <c r="A1865" s="20"/>
      <c r="B1865" s="22"/>
      <c r="C1865" s="25"/>
      <c r="D1865" s="26"/>
      <c r="E1865" s="24"/>
      <c r="F1865" s="24"/>
      <c r="G1865" s="24"/>
      <c r="H1865" s="24"/>
      <c r="I1865" s="24"/>
      <c r="J1865" s="24"/>
      <c r="K1865" s="24"/>
      <c r="L1865" s="24"/>
      <c r="M1865" s="24"/>
      <c r="N1865" s="24"/>
      <c r="O1865" s="24"/>
      <c r="P1865" s="24"/>
      <c r="Q1865" s="24"/>
      <c r="R1865" s="14"/>
    </row>
    <row r="1866" spans="1:18" x14ac:dyDescent="0.35">
      <c r="A1866" s="20"/>
      <c r="B1866" s="22"/>
      <c r="C1866" s="25"/>
      <c r="D1866" s="26"/>
      <c r="E1866" s="24"/>
      <c r="F1866" s="24"/>
      <c r="G1866" s="24"/>
      <c r="H1866" s="24"/>
      <c r="I1866" s="24"/>
      <c r="J1866" s="24"/>
      <c r="K1866" s="24"/>
      <c r="L1866" s="24"/>
      <c r="M1866" s="24"/>
      <c r="N1866" s="24"/>
      <c r="O1866" s="24"/>
      <c r="P1866" s="24"/>
      <c r="Q1866" s="24"/>
      <c r="R1866" s="14"/>
    </row>
    <row r="1867" spans="1:18" x14ac:dyDescent="0.35">
      <c r="A1867" s="20"/>
      <c r="B1867" s="22"/>
      <c r="C1867" s="25"/>
      <c r="D1867" s="26"/>
      <c r="E1867" s="24"/>
      <c r="F1867" s="24"/>
      <c r="G1867" s="24"/>
      <c r="H1867" s="24"/>
      <c r="I1867" s="24"/>
      <c r="J1867" s="24"/>
      <c r="K1867" s="24"/>
      <c r="L1867" s="24"/>
      <c r="M1867" s="24"/>
      <c r="N1867" s="24"/>
      <c r="O1867" s="24"/>
      <c r="P1867" s="24"/>
      <c r="Q1867" s="24"/>
      <c r="R1867" s="14"/>
    </row>
    <row r="1868" spans="1:18" x14ac:dyDescent="0.35">
      <c r="A1868" s="20"/>
      <c r="B1868" s="22"/>
      <c r="C1868" s="25"/>
      <c r="D1868" s="26"/>
      <c r="E1868" s="24"/>
      <c r="F1868" s="24"/>
      <c r="G1868" s="24"/>
      <c r="H1868" s="24"/>
      <c r="I1868" s="24"/>
      <c r="J1868" s="24"/>
      <c r="K1868" s="24"/>
      <c r="L1868" s="24"/>
      <c r="M1868" s="24"/>
      <c r="N1868" s="24"/>
      <c r="O1868" s="24"/>
      <c r="P1868" s="24"/>
      <c r="Q1868" s="24"/>
      <c r="R1868" s="14"/>
    </row>
    <row r="1869" spans="1:18" x14ac:dyDescent="0.35">
      <c r="A1869" s="20"/>
      <c r="B1869" s="22"/>
      <c r="C1869" s="25"/>
      <c r="D1869" s="26"/>
      <c r="E1869" s="24"/>
      <c r="F1869" s="24"/>
      <c r="G1869" s="24"/>
      <c r="H1869" s="24"/>
      <c r="I1869" s="24"/>
      <c r="J1869" s="24"/>
      <c r="K1869" s="24"/>
      <c r="L1869" s="24"/>
      <c r="M1869" s="24"/>
      <c r="N1869" s="24"/>
      <c r="O1869" s="24"/>
      <c r="P1869" s="24"/>
      <c r="Q1869" s="24"/>
      <c r="R1869" s="14"/>
    </row>
    <row r="1870" spans="1:18" x14ac:dyDescent="0.35">
      <c r="A1870" s="20"/>
      <c r="B1870" s="22"/>
      <c r="C1870" s="25"/>
      <c r="D1870" s="26"/>
      <c r="E1870" s="24"/>
      <c r="F1870" s="24"/>
      <c r="G1870" s="24"/>
      <c r="H1870" s="24"/>
      <c r="I1870" s="24"/>
      <c r="J1870" s="24"/>
      <c r="K1870" s="24"/>
      <c r="L1870" s="24"/>
      <c r="M1870" s="24"/>
      <c r="N1870" s="24"/>
      <c r="O1870" s="24"/>
      <c r="P1870" s="24"/>
      <c r="Q1870" s="24"/>
      <c r="R1870" s="14"/>
    </row>
    <row r="1871" spans="1:18" x14ac:dyDescent="0.35">
      <c r="A1871" s="20"/>
      <c r="B1871" s="22"/>
      <c r="C1871" s="25"/>
      <c r="D1871" s="26"/>
      <c r="E1871" s="24"/>
      <c r="F1871" s="24"/>
      <c r="G1871" s="24"/>
      <c r="H1871" s="24"/>
      <c r="I1871" s="24"/>
      <c r="J1871" s="24"/>
      <c r="K1871" s="24"/>
      <c r="L1871" s="24"/>
      <c r="M1871" s="24"/>
      <c r="N1871" s="24"/>
      <c r="O1871" s="24"/>
      <c r="P1871" s="24"/>
      <c r="Q1871" s="24"/>
      <c r="R1871" s="14"/>
    </row>
    <row r="1872" spans="1:18" x14ac:dyDescent="0.35">
      <c r="A1872" s="20"/>
      <c r="B1872" s="22"/>
      <c r="C1872" s="25"/>
      <c r="D1872" s="26"/>
      <c r="E1872" s="24"/>
      <c r="F1872" s="24"/>
      <c r="G1872" s="24"/>
      <c r="H1872" s="24"/>
      <c r="I1872" s="24"/>
      <c r="J1872" s="24"/>
      <c r="K1872" s="24"/>
      <c r="L1872" s="24"/>
      <c r="M1872" s="24"/>
      <c r="N1872" s="24"/>
      <c r="O1872" s="24"/>
      <c r="P1872" s="24"/>
      <c r="Q1872" s="24"/>
      <c r="R1872" s="14"/>
    </row>
    <row r="1873" spans="1:18" x14ac:dyDescent="0.35">
      <c r="A1873" s="20"/>
      <c r="B1873" s="22"/>
      <c r="C1873" s="25"/>
      <c r="D1873" s="26"/>
      <c r="E1873" s="24"/>
      <c r="F1873" s="24"/>
      <c r="G1873" s="24"/>
      <c r="H1873" s="24"/>
      <c r="I1873" s="24"/>
      <c r="J1873" s="24"/>
      <c r="K1873" s="24"/>
      <c r="L1873" s="24"/>
      <c r="M1873" s="24"/>
      <c r="N1873" s="24"/>
      <c r="O1873" s="24"/>
      <c r="P1873" s="24"/>
      <c r="Q1873" s="24"/>
      <c r="R1873" s="14"/>
    </row>
    <row r="1874" spans="1:18" x14ac:dyDescent="0.35">
      <c r="A1874" s="20"/>
      <c r="B1874" s="22"/>
      <c r="C1874" s="25"/>
      <c r="D1874" s="26"/>
      <c r="E1874" s="24"/>
      <c r="F1874" s="24"/>
      <c r="G1874" s="24"/>
      <c r="H1874" s="24"/>
      <c r="I1874" s="24"/>
      <c r="J1874" s="24"/>
      <c r="K1874" s="24"/>
      <c r="L1874" s="24"/>
      <c r="M1874" s="24"/>
      <c r="N1874" s="24"/>
      <c r="O1874" s="24"/>
      <c r="P1874" s="24"/>
      <c r="Q1874" s="24"/>
      <c r="R1874" s="14"/>
    </row>
    <row r="1875" spans="1:18" x14ac:dyDescent="0.35">
      <c r="A1875" s="20"/>
      <c r="B1875" s="22"/>
      <c r="C1875" s="25"/>
      <c r="D1875" s="26"/>
      <c r="E1875" s="24"/>
      <c r="F1875" s="24"/>
      <c r="G1875" s="24"/>
      <c r="H1875" s="24"/>
      <c r="I1875" s="24"/>
      <c r="J1875" s="24"/>
      <c r="K1875" s="24"/>
      <c r="L1875" s="24"/>
      <c r="M1875" s="24"/>
      <c r="N1875" s="24"/>
      <c r="O1875" s="24"/>
      <c r="P1875" s="24"/>
      <c r="Q1875" s="24"/>
      <c r="R1875" s="14"/>
    </row>
    <row r="1876" spans="1:18" x14ac:dyDescent="0.35">
      <c r="A1876" s="20"/>
      <c r="B1876" s="22"/>
      <c r="C1876" s="25"/>
      <c r="D1876" s="26"/>
      <c r="E1876" s="24"/>
      <c r="F1876" s="24"/>
      <c r="G1876" s="24"/>
      <c r="H1876" s="24"/>
      <c r="I1876" s="24"/>
      <c r="J1876" s="24"/>
      <c r="K1876" s="24"/>
      <c r="L1876" s="24"/>
      <c r="M1876" s="24"/>
      <c r="N1876" s="24"/>
      <c r="O1876" s="24"/>
      <c r="P1876" s="24"/>
      <c r="Q1876" s="24"/>
      <c r="R1876" s="14"/>
    </row>
    <row r="1877" spans="1:18" x14ac:dyDescent="0.35">
      <c r="A1877" s="20"/>
      <c r="B1877" s="22"/>
      <c r="C1877" s="25"/>
      <c r="D1877" s="26"/>
      <c r="E1877" s="24"/>
      <c r="F1877" s="24"/>
      <c r="G1877" s="24"/>
      <c r="H1877" s="24"/>
      <c r="I1877" s="24"/>
      <c r="J1877" s="24"/>
      <c r="K1877" s="24"/>
      <c r="L1877" s="24"/>
      <c r="M1877" s="24"/>
      <c r="N1877" s="24"/>
      <c r="O1877" s="24"/>
      <c r="P1877" s="24"/>
      <c r="Q1877" s="24"/>
      <c r="R1877" s="14"/>
    </row>
    <row r="1878" spans="1:18" x14ac:dyDescent="0.35">
      <c r="A1878" s="20"/>
      <c r="B1878" s="22"/>
      <c r="C1878" s="25"/>
      <c r="D1878" s="26"/>
      <c r="E1878" s="24"/>
      <c r="F1878" s="24"/>
      <c r="G1878" s="24"/>
      <c r="H1878" s="24"/>
      <c r="I1878" s="24"/>
      <c r="J1878" s="24"/>
      <c r="K1878" s="24"/>
      <c r="L1878" s="24"/>
      <c r="M1878" s="24"/>
      <c r="N1878" s="24"/>
      <c r="O1878" s="24"/>
      <c r="P1878" s="24"/>
      <c r="Q1878" s="24"/>
      <c r="R1878" s="21"/>
    </row>
    <row r="1879" spans="1:18" x14ac:dyDescent="0.35">
      <c r="A1879" s="20"/>
      <c r="B1879" s="22"/>
      <c r="C1879" s="25"/>
      <c r="D1879" s="26"/>
      <c r="E1879" s="24"/>
      <c r="F1879" s="24"/>
      <c r="G1879" s="24"/>
      <c r="H1879" s="24"/>
      <c r="I1879" s="24"/>
      <c r="J1879" s="24"/>
      <c r="K1879" s="24"/>
      <c r="L1879" s="24"/>
      <c r="M1879" s="24"/>
      <c r="N1879" s="24"/>
      <c r="O1879" s="24"/>
      <c r="P1879" s="24"/>
      <c r="Q1879" s="24"/>
      <c r="R1879" s="21"/>
    </row>
    <row r="1880" spans="1:18" x14ac:dyDescent="0.35">
      <c r="A1880" s="20"/>
      <c r="B1880" s="22"/>
      <c r="C1880" s="25"/>
      <c r="D1880" s="26"/>
      <c r="E1880" s="24"/>
      <c r="F1880" s="24"/>
      <c r="G1880" s="24"/>
      <c r="H1880" s="24"/>
      <c r="I1880" s="24"/>
      <c r="J1880" s="24"/>
      <c r="K1880" s="24"/>
      <c r="L1880" s="24"/>
      <c r="M1880" s="24"/>
      <c r="N1880" s="24"/>
      <c r="O1880" s="24"/>
      <c r="P1880" s="24"/>
      <c r="Q1880" s="24"/>
      <c r="R1880" s="21"/>
    </row>
    <row r="1881" spans="1:18" x14ac:dyDescent="0.35">
      <c r="A1881" s="20"/>
      <c r="B1881" s="22"/>
      <c r="C1881" s="25"/>
      <c r="D1881" s="26"/>
      <c r="E1881" s="24"/>
      <c r="F1881" s="24"/>
      <c r="G1881" s="24"/>
      <c r="H1881" s="24"/>
      <c r="I1881" s="24"/>
      <c r="J1881" s="24"/>
      <c r="K1881" s="24"/>
      <c r="L1881" s="24"/>
      <c r="M1881" s="24"/>
      <c r="N1881" s="24"/>
      <c r="O1881" s="24"/>
      <c r="P1881" s="24"/>
      <c r="Q1881" s="24"/>
      <c r="R1881" s="21"/>
    </row>
    <row r="1882" spans="1:18" x14ac:dyDescent="0.35">
      <c r="A1882" s="20"/>
      <c r="B1882" s="22"/>
      <c r="C1882" s="25"/>
      <c r="D1882" s="26"/>
      <c r="E1882" s="24"/>
      <c r="F1882" s="24"/>
      <c r="G1882" s="24"/>
      <c r="H1882" s="24"/>
      <c r="I1882" s="24"/>
      <c r="J1882" s="24"/>
      <c r="K1882" s="24"/>
      <c r="L1882" s="24"/>
      <c r="M1882" s="24"/>
      <c r="N1882" s="24"/>
      <c r="O1882" s="24"/>
      <c r="P1882" s="24"/>
      <c r="Q1882" s="24"/>
      <c r="R1882" s="21"/>
    </row>
    <row r="1883" spans="1:18" x14ac:dyDescent="0.35">
      <c r="A1883" s="20"/>
      <c r="B1883" s="22"/>
      <c r="C1883" s="25"/>
      <c r="D1883" s="26"/>
      <c r="E1883" s="24"/>
      <c r="F1883" s="24"/>
      <c r="G1883" s="24"/>
      <c r="H1883" s="24"/>
      <c r="I1883" s="24"/>
      <c r="J1883" s="24"/>
      <c r="K1883" s="24"/>
      <c r="L1883" s="24"/>
      <c r="M1883" s="24"/>
      <c r="N1883" s="24"/>
      <c r="O1883" s="24"/>
      <c r="P1883" s="24"/>
      <c r="Q1883" s="24"/>
      <c r="R1883" s="21"/>
    </row>
    <row r="1884" spans="1:18" x14ac:dyDescent="0.35">
      <c r="A1884" s="20"/>
      <c r="B1884" s="22"/>
      <c r="C1884" s="25"/>
      <c r="D1884" s="26"/>
      <c r="E1884" s="24"/>
      <c r="F1884" s="24"/>
      <c r="G1884" s="24"/>
      <c r="H1884" s="24"/>
      <c r="I1884" s="24"/>
      <c r="J1884" s="24"/>
      <c r="K1884" s="24"/>
      <c r="L1884" s="24"/>
      <c r="M1884" s="24"/>
      <c r="N1884" s="24"/>
      <c r="O1884" s="24"/>
      <c r="P1884" s="24"/>
      <c r="Q1884" s="24"/>
      <c r="R1884" s="21"/>
    </row>
    <row r="1885" spans="1:18" x14ac:dyDescent="0.35">
      <c r="A1885" s="20"/>
      <c r="B1885" s="22"/>
      <c r="C1885" s="25"/>
      <c r="D1885" s="26"/>
      <c r="E1885" s="24"/>
      <c r="F1885" s="24"/>
      <c r="G1885" s="24"/>
      <c r="H1885" s="24"/>
      <c r="I1885" s="24"/>
      <c r="J1885" s="24"/>
      <c r="K1885" s="24"/>
      <c r="L1885" s="24"/>
      <c r="M1885" s="24"/>
      <c r="N1885" s="24"/>
      <c r="O1885" s="24"/>
      <c r="P1885" s="24"/>
      <c r="Q1885" s="24"/>
      <c r="R1885" s="21"/>
    </row>
    <row r="1886" spans="1:18" x14ac:dyDescent="0.35">
      <c r="A1886" s="20"/>
      <c r="B1886" s="22"/>
      <c r="C1886" s="25"/>
      <c r="D1886" s="26"/>
      <c r="E1886" s="24"/>
      <c r="F1886" s="24"/>
      <c r="G1886" s="24"/>
      <c r="H1886" s="24"/>
      <c r="I1886" s="24"/>
      <c r="J1886" s="24"/>
      <c r="K1886" s="24"/>
      <c r="L1886" s="24"/>
      <c r="M1886" s="24"/>
      <c r="N1886" s="24"/>
      <c r="O1886" s="24"/>
      <c r="P1886" s="24"/>
      <c r="Q1886" s="24"/>
      <c r="R1886" s="21"/>
    </row>
    <row r="1887" spans="1:18" x14ac:dyDescent="0.35">
      <c r="A1887" s="20"/>
      <c r="B1887" s="22"/>
      <c r="C1887" s="25"/>
      <c r="D1887" s="26"/>
      <c r="E1887" s="24"/>
      <c r="F1887" s="24"/>
      <c r="G1887" s="24"/>
      <c r="H1887" s="24"/>
      <c r="I1887" s="24"/>
      <c r="J1887" s="24"/>
      <c r="K1887" s="24"/>
      <c r="L1887" s="24"/>
      <c r="M1887" s="24"/>
      <c r="N1887" s="24"/>
      <c r="O1887" s="24"/>
      <c r="P1887" s="24"/>
      <c r="Q1887" s="24"/>
      <c r="R1887" s="21"/>
    </row>
    <row r="1888" spans="1:18" x14ac:dyDescent="0.35">
      <c r="A1888" s="20"/>
      <c r="B1888" s="22"/>
      <c r="C1888" s="25"/>
      <c r="D1888" s="26"/>
      <c r="E1888" s="24"/>
      <c r="F1888" s="24"/>
      <c r="G1888" s="24"/>
      <c r="H1888" s="24"/>
      <c r="I1888" s="24"/>
      <c r="J1888" s="24"/>
      <c r="K1888" s="24"/>
      <c r="L1888" s="24"/>
      <c r="M1888" s="24"/>
      <c r="N1888" s="24"/>
      <c r="O1888" s="24"/>
      <c r="P1888" s="24"/>
      <c r="Q1888" s="24"/>
      <c r="R1888" s="21"/>
    </row>
    <row r="1889" spans="1:18" x14ac:dyDescent="0.35">
      <c r="A1889" s="20"/>
      <c r="B1889" s="22"/>
      <c r="C1889" s="25"/>
      <c r="D1889" s="26"/>
      <c r="E1889" s="24"/>
      <c r="F1889" s="24"/>
      <c r="G1889" s="24"/>
      <c r="H1889" s="24"/>
      <c r="I1889" s="24"/>
      <c r="J1889" s="24"/>
      <c r="K1889" s="24"/>
      <c r="L1889" s="24"/>
      <c r="M1889" s="24"/>
      <c r="N1889" s="24"/>
      <c r="O1889" s="24"/>
      <c r="P1889" s="24"/>
      <c r="Q1889" s="24"/>
      <c r="R1889" s="21"/>
    </row>
    <row r="1890" spans="1:18" x14ac:dyDescent="0.35">
      <c r="A1890" s="20"/>
      <c r="B1890" s="22"/>
      <c r="C1890" s="25"/>
      <c r="D1890" s="26"/>
      <c r="E1890" s="24"/>
      <c r="F1890" s="24"/>
      <c r="G1890" s="24"/>
      <c r="H1890" s="24"/>
      <c r="I1890" s="24"/>
      <c r="J1890" s="24"/>
      <c r="K1890" s="24"/>
      <c r="L1890" s="24"/>
      <c r="M1890" s="24"/>
      <c r="N1890" s="24"/>
      <c r="O1890" s="24"/>
      <c r="P1890" s="24"/>
      <c r="Q1890" s="24"/>
      <c r="R1890" s="21"/>
    </row>
    <row r="1891" spans="1:18" x14ac:dyDescent="0.35">
      <c r="A1891" s="20"/>
      <c r="B1891" s="22"/>
      <c r="C1891" s="25"/>
      <c r="D1891" s="26"/>
      <c r="E1891" s="24"/>
      <c r="F1891" s="24"/>
      <c r="G1891" s="24"/>
      <c r="H1891" s="24"/>
      <c r="I1891" s="24"/>
      <c r="J1891" s="24"/>
      <c r="K1891" s="24"/>
      <c r="L1891" s="24"/>
      <c r="M1891" s="24"/>
      <c r="N1891" s="24"/>
      <c r="O1891" s="24"/>
      <c r="P1891" s="24"/>
      <c r="Q1891" s="24"/>
      <c r="R1891" s="21"/>
    </row>
    <row r="1892" spans="1:18" x14ac:dyDescent="0.35">
      <c r="A1892" s="20"/>
      <c r="B1892" s="22"/>
      <c r="C1892" s="25"/>
      <c r="D1892" s="26"/>
      <c r="E1892" s="24"/>
      <c r="F1892" s="24"/>
      <c r="G1892" s="24"/>
      <c r="H1892" s="24"/>
      <c r="I1892" s="24"/>
      <c r="J1892" s="24"/>
      <c r="K1892" s="24"/>
      <c r="L1892" s="24"/>
      <c r="M1892" s="24"/>
      <c r="N1892" s="24"/>
      <c r="O1892" s="24"/>
      <c r="P1892" s="24"/>
      <c r="Q1892" s="24"/>
      <c r="R1892" s="21"/>
    </row>
    <row r="1893" spans="1:18" x14ac:dyDescent="0.35">
      <c r="A1893" s="20"/>
      <c r="B1893" s="22"/>
      <c r="C1893" s="25"/>
      <c r="D1893" s="26"/>
      <c r="E1893" s="24"/>
      <c r="F1893" s="24"/>
      <c r="G1893" s="24"/>
      <c r="H1893" s="24"/>
      <c r="I1893" s="24"/>
      <c r="J1893" s="24"/>
      <c r="K1893" s="24"/>
      <c r="L1893" s="24"/>
      <c r="M1893" s="24"/>
      <c r="N1893" s="24"/>
      <c r="O1893" s="24"/>
      <c r="P1893" s="24"/>
      <c r="Q1893" s="24"/>
      <c r="R1893" s="21"/>
    </row>
    <row r="1894" spans="1:18" x14ac:dyDescent="0.35">
      <c r="A1894" s="20"/>
      <c r="B1894" s="22"/>
      <c r="C1894" s="25"/>
      <c r="D1894" s="26"/>
      <c r="E1894" s="24"/>
      <c r="F1894" s="24"/>
      <c r="G1894" s="24"/>
      <c r="H1894" s="24"/>
      <c r="I1894" s="24"/>
      <c r="J1894" s="24"/>
      <c r="K1894" s="24"/>
      <c r="L1894" s="24"/>
      <c r="M1894" s="24"/>
      <c r="N1894" s="24"/>
      <c r="O1894" s="24"/>
      <c r="P1894" s="24"/>
      <c r="Q1894" s="24"/>
      <c r="R1894" s="14"/>
    </row>
    <row r="1895" spans="1:18" x14ac:dyDescent="0.35">
      <c r="A1895" s="20"/>
      <c r="B1895" s="22"/>
      <c r="C1895" s="25"/>
      <c r="D1895" s="26"/>
      <c r="E1895" s="24"/>
      <c r="F1895" s="24"/>
      <c r="G1895" s="24"/>
      <c r="H1895" s="24"/>
      <c r="I1895" s="24"/>
      <c r="J1895" s="24"/>
      <c r="K1895" s="24"/>
      <c r="L1895" s="24"/>
      <c r="M1895" s="24"/>
      <c r="N1895" s="24"/>
      <c r="O1895" s="24"/>
      <c r="P1895" s="24"/>
      <c r="Q1895" s="24"/>
      <c r="R1895" s="14"/>
    </row>
    <row r="1896" spans="1:18" x14ac:dyDescent="0.35">
      <c r="A1896" s="20"/>
      <c r="B1896" s="22"/>
      <c r="C1896" s="25"/>
      <c r="D1896" s="26"/>
      <c r="E1896" s="24"/>
      <c r="F1896" s="24"/>
      <c r="G1896" s="24"/>
      <c r="H1896" s="24"/>
      <c r="I1896" s="24"/>
      <c r="J1896" s="24"/>
      <c r="K1896" s="24"/>
      <c r="L1896" s="24"/>
      <c r="M1896" s="24"/>
      <c r="N1896" s="24"/>
      <c r="O1896" s="24"/>
      <c r="P1896" s="24"/>
      <c r="Q1896" s="24"/>
      <c r="R1896" s="14"/>
    </row>
    <row r="1897" spans="1:18" x14ac:dyDescent="0.35">
      <c r="A1897" s="20"/>
      <c r="B1897" s="22"/>
      <c r="C1897" s="25"/>
      <c r="D1897" s="26"/>
      <c r="E1897" s="24"/>
      <c r="F1897" s="24"/>
      <c r="G1897" s="24"/>
      <c r="H1897" s="24"/>
      <c r="I1897" s="24"/>
      <c r="J1897" s="24"/>
      <c r="K1897" s="24"/>
      <c r="L1897" s="24"/>
      <c r="M1897" s="24"/>
      <c r="N1897" s="24"/>
      <c r="O1897" s="24"/>
      <c r="P1897" s="24"/>
      <c r="Q1897" s="24"/>
      <c r="R1897" s="14"/>
    </row>
    <row r="1898" spans="1:18" x14ac:dyDescent="0.35">
      <c r="A1898" s="20"/>
      <c r="B1898" s="22"/>
      <c r="C1898" s="25"/>
      <c r="D1898" s="26"/>
      <c r="E1898" s="24"/>
      <c r="F1898" s="24"/>
      <c r="G1898" s="24"/>
      <c r="H1898" s="24"/>
      <c r="I1898" s="24"/>
      <c r="J1898" s="24"/>
      <c r="K1898" s="24"/>
      <c r="L1898" s="24"/>
      <c r="M1898" s="24"/>
      <c r="N1898" s="24"/>
      <c r="O1898" s="24"/>
      <c r="P1898" s="24"/>
      <c r="Q1898" s="24"/>
      <c r="R1898" s="14"/>
    </row>
    <row r="1899" spans="1:18" x14ac:dyDescent="0.35">
      <c r="A1899" s="20"/>
      <c r="B1899" s="22"/>
      <c r="C1899" s="25"/>
      <c r="D1899" s="26"/>
      <c r="E1899" s="24"/>
      <c r="F1899" s="24"/>
      <c r="G1899" s="24"/>
      <c r="H1899" s="24"/>
      <c r="I1899" s="24"/>
      <c r="J1899" s="24"/>
      <c r="K1899" s="24"/>
      <c r="L1899" s="24"/>
      <c r="M1899" s="24"/>
      <c r="N1899" s="24"/>
      <c r="O1899" s="24"/>
      <c r="P1899" s="24"/>
      <c r="Q1899" s="24"/>
      <c r="R1899" s="14"/>
    </row>
    <row r="1900" spans="1:18" x14ac:dyDescent="0.35">
      <c r="A1900" s="20"/>
      <c r="B1900" s="22"/>
      <c r="C1900" s="25"/>
      <c r="D1900" s="26"/>
      <c r="E1900" s="24"/>
      <c r="F1900" s="24"/>
      <c r="G1900" s="24"/>
      <c r="H1900" s="24"/>
      <c r="I1900" s="24"/>
      <c r="J1900" s="24"/>
      <c r="K1900" s="24"/>
      <c r="L1900" s="24"/>
      <c r="M1900" s="24"/>
      <c r="N1900" s="24"/>
      <c r="O1900" s="24"/>
      <c r="P1900" s="24"/>
      <c r="Q1900" s="24"/>
      <c r="R1900" s="14"/>
    </row>
    <row r="1901" spans="1:18" x14ac:dyDescent="0.35">
      <c r="A1901" s="20"/>
      <c r="B1901" s="22"/>
      <c r="C1901" s="25"/>
      <c r="D1901" s="26"/>
      <c r="E1901" s="24"/>
      <c r="F1901" s="24"/>
      <c r="G1901" s="24"/>
      <c r="H1901" s="24"/>
      <c r="I1901" s="24"/>
      <c r="J1901" s="24"/>
      <c r="K1901" s="24"/>
      <c r="L1901" s="24"/>
      <c r="M1901" s="24"/>
      <c r="N1901" s="24"/>
      <c r="O1901" s="24"/>
      <c r="P1901" s="24"/>
      <c r="Q1901" s="24"/>
      <c r="R1901" s="21"/>
    </row>
    <row r="1902" spans="1:18" x14ac:dyDescent="0.35">
      <c r="A1902" s="20"/>
      <c r="B1902" s="22"/>
      <c r="C1902" s="25"/>
      <c r="D1902" s="26"/>
      <c r="E1902" s="24"/>
      <c r="F1902" s="24"/>
      <c r="G1902" s="24"/>
      <c r="H1902" s="24"/>
      <c r="I1902" s="24"/>
      <c r="J1902" s="24"/>
      <c r="K1902" s="24"/>
      <c r="L1902" s="24"/>
      <c r="M1902" s="24"/>
      <c r="N1902" s="24"/>
      <c r="O1902" s="24"/>
      <c r="P1902" s="24"/>
      <c r="Q1902" s="24"/>
      <c r="R1902" s="21"/>
    </row>
    <row r="1903" spans="1:18" x14ac:dyDescent="0.35">
      <c r="A1903" s="20"/>
      <c r="B1903" s="22"/>
      <c r="C1903" s="25"/>
      <c r="D1903" s="26"/>
      <c r="E1903" s="24"/>
      <c r="F1903" s="24"/>
      <c r="G1903" s="24"/>
      <c r="H1903" s="24"/>
      <c r="I1903" s="24"/>
      <c r="J1903" s="24"/>
      <c r="K1903" s="24"/>
      <c r="L1903" s="24"/>
      <c r="M1903" s="24"/>
      <c r="N1903" s="24"/>
      <c r="O1903" s="24"/>
      <c r="P1903" s="24"/>
      <c r="Q1903" s="24"/>
      <c r="R1903" s="21"/>
    </row>
    <row r="1904" spans="1:18" x14ac:dyDescent="0.35">
      <c r="A1904" s="20"/>
      <c r="B1904" s="22"/>
      <c r="C1904" s="25"/>
      <c r="D1904" s="26"/>
      <c r="E1904" s="24"/>
      <c r="F1904" s="24"/>
      <c r="G1904" s="24"/>
      <c r="H1904" s="24"/>
      <c r="I1904" s="24"/>
      <c r="J1904" s="24"/>
      <c r="K1904" s="24"/>
      <c r="L1904" s="24"/>
      <c r="M1904" s="24"/>
      <c r="N1904" s="24"/>
      <c r="O1904" s="24"/>
      <c r="P1904" s="24"/>
      <c r="Q1904" s="24"/>
      <c r="R1904" s="21"/>
    </row>
    <row r="1905" spans="1:18" x14ac:dyDescent="0.35">
      <c r="A1905" s="20"/>
      <c r="B1905" s="22"/>
      <c r="C1905" s="25"/>
      <c r="D1905" s="26"/>
      <c r="E1905" s="24"/>
      <c r="F1905" s="24"/>
      <c r="G1905" s="24"/>
      <c r="H1905" s="24"/>
      <c r="I1905" s="24"/>
      <c r="J1905" s="24"/>
      <c r="K1905" s="24"/>
      <c r="L1905" s="24"/>
      <c r="M1905" s="24"/>
      <c r="N1905" s="24"/>
      <c r="O1905" s="24"/>
      <c r="P1905" s="24"/>
      <c r="Q1905" s="24"/>
      <c r="R1905" s="21"/>
    </row>
    <row r="1906" spans="1:18" x14ac:dyDescent="0.35">
      <c r="A1906" s="20"/>
      <c r="B1906" s="22"/>
      <c r="C1906" s="25"/>
      <c r="D1906" s="26"/>
      <c r="E1906" s="24"/>
      <c r="F1906" s="24"/>
      <c r="G1906" s="24"/>
      <c r="H1906" s="24"/>
      <c r="I1906" s="24"/>
      <c r="J1906" s="24"/>
      <c r="K1906" s="24"/>
      <c r="L1906" s="24"/>
      <c r="M1906" s="24"/>
      <c r="N1906" s="24"/>
      <c r="O1906" s="24"/>
      <c r="P1906" s="24"/>
      <c r="Q1906" s="24"/>
      <c r="R1906" s="21"/>
    </row>
    <row r="1907" spans="1:18" x14ac:dyDescent="0.35">
      <c r="A1907" s="20"/>
      <c r="B1907" s="22"/>
      <c r="C1907" s="25"/>
      <c r="D1907" s="26"/>
      <c r="E1907" s="24"/>
      <c r="F1907" s="24"/>
      <c r="G1907" s="24"/>
      <c r="H1907" s="24"/>
      <c r="I1907" s="24"/>
      <c r="J1907" s="24"/>
      <c r="K1907" s="24"/>
      <c r="L1907" s="24"/>
      <c r="M1907" s="24"/>
      <c r="N1907" s="24"/>
      <c r="O1907" s="24"/>
      <c r="P1907" s="24"/>
      <c r="Q1907" s="24"/>
      <c r="R1907" s="21"/>
    </row>
    <row r="1908" spans="1:18" x14ac:dyDescent="0.35">
      <c r="A1908" s="20"/>
      <c r="B1908" s="22"/>
      <c r="C1908" s="25"/>
      <c r="D1908" s="26"/>
      <c r="E1908" s="24"/>
      <c r="F1908" s="24"/>
      <c r="G1908" s="24"/>
      <c r="H1908" s="24"/>
      <c r="I1908" s="24"/>
      <c r="J1908" s="24"/>
      <c r="K1908" s="24"/>
      <c r="L1908" s="24"/>
      <c r="M1908" s="24"/>
      <c r="N1908" s="24"/>
      <c r="O1908" s="24"/>
      <c r="P1908" s="24"/>
      <c r="Q1908" s="24"/>
      <c r="R1908" s="21"/>
    </row>
    <row r="1909" spans="1:18" x14ac:dyDescent="0.35">
      <c r="A1909" s="20"/>
      <c r="B1909" s="22"/>
      <c r="C1909" s="25"/>
      <c r="D1909" s="26"/>
      <c r="E1909" s="24"/>
      <c r="F1909" s="24"/>
      <c r="G1909" s="24"/>
      <c r="H1909" s="24"/>
      <c r="I1909" s="24"/>
      <c r="J1909" s="24"/>
      <c r="K1909" s="24"/>
      <c r="L1909" s="24"/>
      <c r="M1909" s="24"/>
      <c r="N1909" s="24"/>
      <c r="O1909" s="24"/>
      <c r="P1909" s="24"/>
      <c r="Q1909" s="24"/>
      <c r="R1909" s="21"/>
    </row>
    <row r="1910" spans="1:18" x14ac:dyDescent="0.35">
      <c r="A1910" s="20"/>
      <c r="B1910" s="22"/>
      <c r="C1910" s="25"/>
      <c r="D1910" s="26"/>
      <c r="E1910" s="24"/>
      <c r="F1910" s="24"/>
      <c r="G1910" s="24"/>
      <c r="H1910" s="24"/>
      <c r="I1910" s="24"/>
      <c r="J1910" s="24"/>
      <c r="K1910" s="24"/>
      <c r="L1910" s="24"/>
      <c r="M1910" s="24"/>
      <c r="N1910" s="24"/>
      <c r="O1910" s="24"/>
      <c r="P1910" s="24"/>
      <c r="Q1910" s="24"/>
      <c r="R1910" s="14"/>
    </row>
    <row r="1911" spans="1:18" x14ac:dyDescent="0.35">
      <c r="A1911" s="20"/>
      <c r="B1911" s="22"/>
      <c r="C1911" s="25"/>
      <c r="D1911" s="26"/>
      <c r="E1911" s="24"/>
      <c r="F1911" s="24"/>
      <c r="G1911" s="24"/>
      <c r="H1911" s="24"/>
      <c r="I1911" s="24"/>
      <c r="J1911" s="24"/>
      <c r="K1911" s="24"/>
      <c r="L1911" s="24"/>
      <c r="M1911" s="24"/>
      <c r="N1911" s="24"/>
      <c r="O1911" s="24"/>
      <c r="P1911" s="24"/>
      <c r="Q1911" s="24"/>
      <c r="R1911" s="14"/>
    </row>
    <row r="1912" spans="1:18" x14ac:dyDescent="0.35">
      <c r="A1912" s="20"/>
      <c r="B1912" s="22"/>
      <c r="C1912" s="25"/>
      <c r="D1912" s="26"/>
      <c r="E1912" s="24"/>
      <c r="F1912" s="24"/>
      <c r="G1912" s="24"/>
      <c r="H1912" s="24"/>
      <c r="I1912" s="24"/>
      <c r="J1912" s="24"/>
      <c r="K1912" s="24"/>
      <c r="L1912" s="24"/>
      <c r="M1912" s="24"/>
      <c r="N1912" s="24"/>
      <c r="O1912" s="24"/>
      <c r="P1912" s="24"/>
      <c r="Q1912" s="24"/>
      <c r="R1912" s="14"/>
    </row>
    <row r="1913" spans="1:18" x14ac:dyDescent="0.35">
      <c r="A1913" s="20"/>
      <c r="B1913" s="22"/>
      <c r="C1913" s="25"/>
      <c r="D1913" s="26"/>
      <c r="E1913" s="24"/>
      <c r="F1913" s="24"/>
      <c r="G1913" s="24"/>
      <c r="H1913" s="24"/>
      <c r="I1913" s="24"/>
      <c r="J1913" s="24"/>
      <c r="K1913" s="24"/>
      <c r="L1913" s="24"/>
      <c r="M1913" s="24"/>
      <c r="N1913" s="24"/>
      <c r="O1913" s="24"/>
      <c r="P1913" s="24"/>
      <c r="Q1913" s="24"/>
      <c r="R1913" s="14"/>
    </row>
    <row r="1914" spans="1:18" x14ac:dyDescent="0.35">
      <c r="A1914" s="20"/>
      <c r="B1914" s="22"/>
      <c r="C1914" s="25"/>
      <c r="D1914" s="26"/>
      <c r="E1914" s="24"/>
      <c r="F1914" s="24"/>
      <c r="G1914" s="24"/>
      <c r="H1914" s="24"/>
      <c r="I1914" s="24"/>
      <c r="J1914" s="24"/>
      <c r="K1914" s="24"/>
      <c r="L1914" s="24"/>
      <c r="M1914" s="24"/>
      <c r="N1914" s="24"/>
      <c r="O1914" s="24"/>
      <c r="P1914" s="24"/>
      <c r="Q1914" s="24"/>
      <c r="R1914" s="14"/>
    </row>
    <row r="1915" spans="1:18" x14ac:dyDescent="0.35">
      <c r="A1915" s="20"/>
      <c r="B1915" s="22"/>
      <c r="C1915" s="25"/>
      <c r="D1915" s="26"/>
      <c r="E1915" s="24"/>
      <c r="F1915" s="24"/>
      <c r="G1915" s="24"/>
      <c r="H1915" s="24"/>
      <c r="I1915" s="24"/>
      <c r="J1915" s="24"/>
      <c r="K1915" s="24"/>
      <c r="L1915" s="24"/>
      <c r="M1915" s="24"/>
      <c r="N1915" s="24"/>
      <c r="O1915" s="24"/>
      <c r="P1915" s="24"/>
      <c r="Q1915" s="24"/>
      <c r="R1915" s="14"/>
    </row>
    <row r="1916" spans="1:18" x14ac:dyDescent="0.35">
      <c r="A1916" s="20"/>
      <c r="B1916" s="22"/>
      <c r="C1916" s="25"/>
      <c r="D1916" s="26"/>
      <c r="E1916" s="24"/>
      <c r="F1916" s="24"/>
      <c r="G1916" s="24"/>
      <c r="H1916" s="24"/>
      <c r="I1916" s="24"/>
      <c r="J1916" s="24"/>
      <c r="K1916" s="24"/>
      <c r="L1916" s="24"/>
      <c r="M1916" s="24"/>
      <c r="N1916" s="24"/>
      <c r="O1916" s="24"/>
      <c r="P1916" s="24"/>
      <c r="Q1916" s="24"/>
      <c r="R1916" s="14"/>
    </row>
    <row r="1917" spans="1:18" x14ac:dyDescent="0.35">
      <c r="A1917" s="20"/>
      <c r="B1917" s="22"/>
      <c r="C1917" s="25"/>
      <c r="D1917" s="26"/>
      <c r="E1917" s="24"/>
      <c r="F1917" s="24"/>
      <c r="G1917" s="24"/>
      <c r="H1917" s="24"/>
      <c r="I1917" s="24"/>
      <c r="J1917" s="24"/>
      <c r="K1917" s="24"/>
      <c r="L1917" s="24"/>
      <c r="M1917" s="24"/>
      <c r="N1917" s="24"/>
      <c r="O1917" s="24"/>
      <c r="P1917" s="24"/>
      <c r="Q1917" s="24"/>
      <c r="R1917" s="14"/>
    </row>
    <row r="1918" spans="1:18" x14ac:dyDescent="0.35">
      <c r="A1918" s="20"/>
      <c r="B1918" s="22"/>
      <c r="C1918" s="25"/>
      <c r="D1918" s="26"/>
      <c r="E1918" s="24"/>
      <c r="F1918" s="24"/>
      <c r="G1918" s="24"/>
      <c r="H1918" s="24"/>
      <c r="I1918" s="24"/>
      <c r="J1918" s="24"/>
      <c r="K1918" s="24"/>
      <c r="L1918" s="24"/>
      <c r="M1918" s="24"/>
      <c r="N1918" s="24"/>
      <c r="O1918" s="24"/>
      <c r="P1918" s="24"/>
      <c r="Q1918" s="24"/>
      <c r="R1918" s="14"/>
    </row>
    <row r="1919" spans="1:18" x14ac:dyDescent="0.35">
      <c r="A1919" s="20"/>
      <c r="B1919" s="22"/>
      <c r="C1919" s="25"/>
      <c r="D1919" s="26"/>
      <c r="E1919" s="24"/>
      <c r="F1919" s="24"/>
      <c r="G1919" s="24"/>
      <c r="H1919" s="24"/>
      <c r="I1919" s="24"/>
      <c r="J1919" s="24"/>
      <c r="K1919" s="24"/>
      <c r="L1919" s="24"/>
      <c r="M1919" s="24"/>
      <c r="N1919" s="24"/>
      <c r="O1919" s="24"/>
      <c r="P1919" s="24"/>
      <c r="Q1919" s="24"/>
      <c r="R1919" s="14"/>
    </row>
    <row r="1920" spans="1:18" x14ac:dyDescent="0.35">
      <c r="A1920" s="20"/>
      <c r="B1920" s="22"/>
      <c r="C1920" s="25"/>
      <c r="D1920" s="26"/>
      <c r="E1920" s="24"/>
      <c r="F1920" s="24"/>
      <c r="G1920" s="24"/>
      <c r="H1920" s="24"/>
      <c r="I1920" s="24"/>
      <c r="J1920" s="24"/>
      <c r="K1920" s="24"/>
      <c r="L1920" s="24"/>
      <c r="M1920" s="24"/>
      <c r="N1920" s="24"/>
      <c r="O1920" s="24"/>
      <c r="P1920" s="24"/>
      <c r="Q1920" s="24"/>
      <c r="R1920" s="14"/>
    </row>
    <row r="1921" spans="1:18" x14ac:dyDescent="0.35">
      <c r="A1921" s="20"/>
      <c r="B1921" s="22"/>
      <c r="C1921" s="25"/>
      <c r="D1921" s="26"/>
      <c r="E1921" s="24"/>
      <c r="F1921" s="24"/>
      <c r="G1921" s="24"/>
      <c r="H1921" s="24"/>
      <c r="I1921" s="24"/>
      <c r="J1921" s="24"/>
      <c r="K1921" s="24"/>
      <c r="L1921" s="24"/>
      <c r="M1921" s="24"/>
      <c r="N1921" s="24"/>
      <c r="O1921" s="24"/>
      <c r="P1921" s="24"/>
      <c r="Q1921" s="24"/>
      <c r="R1921" s="14"/>
    </row>
    <row r="1922" spans="1:18" x14ac:dyDescent="0.35">
      <c r="A1922" s="20"/>
      <c r="B1922" s="22"/>
      <c r="C1922" s="25"/>
      <c r="D1922" s="26"/>
      <c r="E1922" s="24"/>
      <c r="F1922" s="24"/>
      <c r="G1922" s="24"/>
      <c r="H1922" s="24"/>
      <c r="I1922" s="24"/>
      <c r="J1922" s="24"/>
      <c r="K1922" s="24"/>
      <c r="L1922" s="24"/>
      <c r="M1922" s="24"/>
      <c r="N1922" s="24"/>
      <c r="O1922" s="24"/>
      <c r="P1922" s="24"/>
      <c r="Q1922" s="24"/>
      <c r="R1922" s="14"/>
    </row>
    <row r="1923" spans="1:18" x14ac:dyDescent="0.35">
      <c r="A1923" s="20"/>
      <c r="B1923" s="22"/>
      <c r="C1923" s="25"/>
      <c r="D1923" s="26"/>
      <c r="E1923" s="24"/>
      <c r="F1923" s="24"/>
      <c r="G1923" s="24"/>
      <c r="H1923" s="24"/>
      <c r="I1923" s="24"/>
      <c r="J1923" s="24"/>
      <c r="K1923" s="24"/>
      <c r="L1923" s="24"/>
      <c r="M1923" s="24"/>
      <c r="N1923" s="24"/>
      <c r="O1923" s="24"/>
      <c r="P1923" s="24"/>
      <c r="Q1923" s="24"/>
      <c r="R1923" s="14"/>
    </row>
    <row r="1924" spans="1:18" x14ac:dyDescent="0.35">
      <c r="A1924" s="20"/>
      <c r="B1924" s="22"/>
      <c r="C1924" s="25"/>
      <c r="D1924" s="26"/>
      <c r="E1924" s="24"/>
      <c r="F1924" s="24"/>
      <c r="G1924" s="24"/>
      <c r="H1924" s="24"/>
      <c r="I1924" s="24"/>
      <c r="J1924" s="24"/>
      <c r="K1924" s="24"/>
      <c r="L1924" s="24"/>
      <c r="M1924" s="24"/>
      <c r="N1924" s="24"/>
      <c r="O1924" s="24"/>
      <c r="P1924" s="24"/>
      <c r="Q1924" s="24"/>
      <c r="R1924" s="14"/>
    </row>
    <row r="1925" spans="1:18" x14ac:dyDescent="0.35">
      <c r="A1925" s="20"/>
      <c r="B1925" s="22"/>
      <c r="C1925" s="25"/>
      <c r="D1925" s="26"/>
      <c r="E1925" s="24"/>
      <c r="F1925" s="24"/>
      <c r="G1925" s="24"/>
      <c r="H1925" s="24"/>
      <c r="I1925" s="24"/>
      <c r="J1925" s="24"/>
      <c r="K1925" s="24"/>
      <c r="L1925" s="24"/>
      <c r="M1925" s="24"/>
      <c r="N1925" s="24"/>
      <c r="O1925" s="24"/>
      <c r="P1925" s="24"/>
      <c r="Q1925" s="24"/>
      <c r="R1925" s="21"/>
    </row>
    <row r="1926" spans="1:18" x14ac:dyDescent="0.35">
      <c r="A1926" s="20"/>
      <c r="B1926" s="22"/>
      <c r="C1926" s="25"/>
      <c r="D1926" s="26"/>
      <c r="E1926" s="24"/>
      <c r="F1926" s="24"/>
      <c r="G1926" s="24"/>
      <c r="H1926" s="24"/>
      <c r="I1926" s="24"/>
      <c r="J1926" s="24"/>
      <c r="K1926" s="24"/>
      <c r="L1926" s="24"/>
      <c r="M1926" s="24"/>
      <c r="N1926" s="24"/>
      <c r="O1926" s="24"/>
      <c r="P1926" s="24"/>
      <c r="Q1926" s="24"/>
      <c r="R1926" s="21"/>
    </row>
    <row r="1927" spans="1:18" x14ac:dyDescent="0.35">
      <c r="A1927" s="20"/>
      <c r="B1927" s="22"/>
      <c r="C1927" s="25"/>
      <c r="D1927" s="26"/>
      <c r="E1927" s="24"/>
      <c r="F1927" s="24"/>
      <c r="G1927" s="24"/>
      <c r="H1927" s="24"/>
      <c r="I1927" s="24"/>
      <c r="J1927" s="24"/>
      <c r="K1927" s="24"/>
      <c r="L1927" s="24"/>
      <c r="M1927" s="24"/>
      <c r="N1927" s="24"/>
      <c r="O1927" s="24"/>
      <c r="P1927" s="24"/>
      <c r="Q1927" s="24"/>
      <c r="R1927" s="21"/>
    </row>
    <row r="1928" spans="1:18" x14ac:dyDescent="0.35">
      <c r="A1928" s="20"/>
      <c r="B1928" s="22"/>
      <c r="C1928" s="25"/>
      <c r="D1928" s="26"/>
      <c r="E1928" s="24"/>
      <c r="F1928" s="24"/>
      <c r="G1928" s="24"/>
      <c r="H1928" s="24"/>
      <c r="I1928" s="24"/>
      <c r="J1928" s="24"/>
      <c r="K1928" s="24"/>
      <c r="L1928" s="24"/>
      <c r="M1928" s="24"/>
      <c r="N1928" s="24"/>
      <c r="O1928" s="24"/>
      <c r="P1928" s="24"/>
      <c r="Q1928" s="24"/>
      <c r="R1928" s="21"/>
    </row>
    <row r="1929" spans="1:18" x14ac:dyDescent="0.35">
      <c r="A1929" s="20"/>
      <c r="B1929" s="22"/>
      <c r="C1929" s="25"/>
      <c r="D1929" s="26"/>
      <c r="E1929" s="24"/>
      <c r="F1929" s="24"/>
      <c r="G1929" s="24"/>
      <c r="H1929" s="24"/>
      <c r="I1929" s="24"/>
      <c r="J1929" s="24"/>
      <c r="K1929" s="24"/>
      <c r="L1929" s="24"/>
      <c r="M1929" s="24"/>
      <c r="N1929" s="24"/>
      <c r="O1929" s="24"/>
      <c r="P1929" s="24"/>
      <c r="Q1929" s="24"/>
      <c r="R1929" s="21"/>
    </row>
    <row r="1930" spans="1:18" x14ac:dyDescent="0.35">
      <c r="A1930" s="20"/>
      <c r="B1930" s="22"/>
      <c r="C1930" s="25"/>
      <c r="D1930" s="26"/>
      <c r="E1930" s="24"/>
      <c r="F1930" s="24"/>
      <c r="G1930" s="24"/>
      <c r="H1930" s="24"/>
      <c r="I1930" s="24"/>
      <c r="J1930" s="24"/>
      <c r="K1930" s="24"/>
      <c r="L1930" s="24"/>
      <c r="M1930" s="24"/>
      <c r="N1930" s="24"/>
      <c r="O1930" s="24"/>
      <c r="P1930" s="24"/>
      <c r="Q1930" s="24"/>
      <c r="R1930" s="21"/>
    </row>
    <row r="1931" spans="1:18" x14ac:dyDescent="0.35">
      <c r="A1931" s="20"/>
      <c r="B1931" s="22"/>
      <c r="C1931" s="25"/>
      <c r="D1931" s="26"/>
      <c r="E1931" s="24"/>
      <c r="F1931" s="24"/>
      <c r="G1931" s="24"/>
      <c r="H1931" s="24"/>
      <c r="I1931" s="24"/>
      <c r="J1931" s="24"/>
      <c r="K1931" s="24"/>
      <c r="L1931" s="24"/>
      <c r="M1931" s="24"/>
      <c r="N1931" s="24"/>
      <c r="O1931" s="24"/>
      <c r="P1931" s="24"/>
      <c r="Q1931" s="24"/>
      <c r="R1931" s="21"/>
    </row>
    <row r="1932" spans="1:18" x14ac:dyDescent="0.35">
      <c r="A1932" s="20"/>
      <c r="B1932" s="22"/>
      <c r="C1932" s="25"/>
      <c r="D1932" s="26"/>
      <c r="E1932" s="24"/>
      <c r="F1932" s="24"/>
      <c r="G1932" s="24"/>
      <c r="H1932" s="24"/>
      <c r="I1932" s="24"/>
      <c r="J1932" s="24"/>
      <c r="K1932" s="24"/>
      <c r="L1932" s="24"/>
      <c r="M1932" s="24"/>
      <c r="N1932" s="24"/>
      <c r="O1932" s="24"/>
      <c r="P1932" s="24"/>
      <c r="Q1932" s="24"/>
      <c r="R1932" s="21"/>
    </row>
    <row r="1933" spans="1:18" x14ac:dyDescent="0.35">
      <c r="A1933" s="20"/>
      <c r="B1933" s="22"/>
      <c r="C1933" s="25"/>
      <c r="D1933" s="26"/>
      <c r="E1933" s="24"/>
      <c r="F1933" s="24"/>
      <c r="G1933" s="24"/>
      <c r="H1933" s="24"/>
      <c r="I1933" s="24"/>
      <c r="J1933" s="24"/>
      <c r="K1933" s="24"/>
      <c r="L1933" s="24"/>
      <c r="M1933" s="24"/>
      <c r="N1933" s="24"/>
      <c r="O1933" s="24"/>
      <c r="P1933" s="24"/>
      <c r="Q1933" s="24"/>
      <c r="R1933" s="21"/>
    </row>
    <row r="1934" spans="1:18" x14ac:dyDescent="0.35">
      <c r="A1934" s="20"/>
      <c r="B1934" s="22"/>
      <c r="C1934" s="25"/>
      <c r="D1934" s="26"/>
      <c r="E1934" s="24"/>
      <c r="F1934" s="24"/>
      <c r="G1934" s="24"/>
      <c r="H1934" s="24"/>
      <c r="I1934" s="24"/>
      <c r="J1934" s="24"/>
      <c r="K1934" s="24"/>
      <c r="L1934" s="24"/>
      <c r="M1934" s="24"/>
      <c r="N1934" s="24"/>
      <c r="O1934" s="24"/>
      <c r="P1934" s="24"/>
      <c r="Q1934" s="24"/>
      <c r="R1934" s="21"/>
    </row>
    <row r="1935" spans="1:18" x14ac:dyDescent="0.35">
      <c r="A1935" s="20"/>
      <c r="B1935" s="22"/>
      <c r="C1935" s="25"/>
      <c r="D1935" s="26"/>
      <c r="E1935" s="24"/>
      <c r="F1935" s="24"/>
      <c r="G1935" s="24"/>
      <c r="H1935" s="24"/>
      <c r="I1935" s="24"/>
      <c r="J1935" s="24"/>
      <c r="K1935" s="24"/>
      <c r="L1935" s="24"/>
      <c r="M1935" s="24"/>
      <c r="N1935" s="24"/>
      <c r="O1935" s="24"/>
      <c r="P1935" s="24"/>
      <c r="Q1935" s="24"/>
      <c r="R1935" s="21"/>
    </row>
    <row r="1936" spans="1:18" x14ac:dyDescent="0.35">
      <c r="A1936" s="20"/>
      <c r="B1936" s="22"/>
      <c r="C1936" s="25"/>
      <c r="D1936" s="26"/>
      <c r="E1936" s="24"/>
      <c r="F1936" s="24"/>
      <c r="G1936" s="24"/>
      <c r="H1936" s="24"/>
      <c r="I1936" s="24"/>
      <c r="J1936" s="24"/>
      <c r="K1936" s="24"/>
      <c r="L1936" s="24"/>
      <c r="M1936" s="24"/>
      <c r="N1936" s="24"/>
      <c r="O1936" s="24"/>
      <c r="P1936" s="24"/>
      <c r="Q1936" s="24"/>
      <c r="R1936" s="21"/>
    </row>
    <row r="1937" spans="1:18" x14ac:dyDescent="0.35">
      <c r="A1937" s="20"/>
      <c r="B1937" s="22"/>
      <c r="C1937" s="25"/>
      <c r="D1937" s="26"/>
      <c r="E1937" s="24"/>
      <c r="F1937" s="24"/>
      <c r="G1937" s="24"/>
      <c r="H1937" s="24"/>
      <c r="I1937" s="24"/>
      <c r="J1937" s="24"/>
      <c r="K1937" s="24"/>
      <c r="L1937" s="24"/>
      <c r="M1937" s="24"/>
      <c r="N1937" s="24"/>
      <c r="O1937" s="24"/>
      <c r="P1937" s="24"/>
      <c r="Q1937" s="24"/>
      <c r="R1937" s="21"/>
    </row>
    <row r="1938" spans="1:18" x14ac:dyDescent="0.35">
      <c r="A1938" s="20"/>
      <c r="B1938" s="22"/>
      <c r="C1938" s="25"/>
      <c r="D1938" s="26"/>
      <c r="E1938" s="24"/>
      <c r="F1938" s="24"/>
      <c r="G1938" s="24"/>
      <c r="H1938" s="24"/>
      <c r="I1938" s="24"/>
      <c r="J1938" s="24"/>
      <c r="K1938" s="24"/>
      <c r="L1938" s="24"/>
      <c r="M1938" s="24"/>
      <c r="N1938" s="24"/>
      <c r="O1938" s="24"/>
      <c r="P1938" s="24"/>
      <c r="Q1938" s="24"/>
      <c r="R1938" s="21"/>
    </row>
    <row r="1939" spans="1:18" x14ac:dyDescent="0.35">
      <c r="A1939" s="20"/>
      <c r="B1939" s="22"/>
      <c r="C1939" s="25"/>
      <c r="D1939" s="26"/>
      <c r="E1939" s="24"/>
      <c r="F1939" s="24"/>
      <c r="G1939" s="24"/>
      <c r="H1939" s="24"/>
      <c r="I1939" s="24"/>
      <c r="J1939" s="24"/>
      <c r="K1939" s="24"/>
      <c r="L1939" s="24"/>
      <c r="M1939" s="24"/>
      <c r="N1939" s="24"/>
      <c r="O1939" s="24"/>
      <c r="P1939" s="24"/>
      <c r="Q1939" s="24"/>
      <c r="R1939" s="21"/>
    </row>
    <row r="1940" spans="1:18" x14ac:dyDescent="0.35">
      <c r="A1940" s="20"/>
      <c r="B1940" s="22"/>
      <c r="C1940" s="25"/>
      <c r="D1940" s="26"/>
      <c r="E1940" s="24"/>
      <c r="F1940" s="24"/>
      <c r="G1940" s="24"/>
      <c r="H1940" s="24"/>
      <c r="I1940" s="24"/>
      <c r="J1940" s="24"/>
      <c r="K1940" s="24"/>
      <c r="L1940" s="24"/>
      <c r="M1940" s="24"/>
      <c r="N1940" s="24"/>
      <c r="O1940" s="24"/>
      <c r="P1940" s="24"/>
      <c r="Q1940" s="24"/>
      <c r="R1940" s="21"/>
    </row>
    <row r="1941" spans="1:18" x14ac:dyDescent="0.35">
      <c r="A1941" s="20"/>
      <c r="B1941" s="22"/>
      <c r="C1941" s="25"/>
      <c r="D1941" s="26"/>
      <c r="E1941" s="24"/>
      <c r="F1941" s="24"/>
      <c r="G1941" s="24"/>
      <c r="H1941" s="24"/>
      <c r="I1941" s="24"/>
      <c r="J1941" s="24"/>
      <c r="K1941" s="24"/>
      <c r="L1941" s="24"/>
      <c r="M1941" s="24"/>
      <c r="N1941" s="24"/>
      <c r="O1941" s="24"/>
      <c r="P1941" s="24"/>
      <c r="Q1941" s="24"/>
      <c r="R1941" s="14"/>
    </row>
    <row r="1942" spans="1:18" x14ac:dyDescent="0.35">
      <c r="A1942" s="20"/>
      <c r="B1942" s="22"/>
      <c r="C1942" s="25"/>
      <c r="D1942" s="26"/>
      <c r="E1942" s="24"/>
      <c r="F1942" s="24"/>
      <c r="G1942" s="24"/>
      <c r="H1942" s="24"/>
      <c r="I1942" s="24"/>
      <c r="J1942" s="24"/>
      <c r="K1942" s="24"/>
      <c r="L1942" s="24"/>
      <c r="M1942" s="24"/>
      <c r="N1942" s="24"/>
      <c r="O1942" s="24"/>
      <c r="P1942" s="24"/>
      <c r="Q1942" s="24"/>
      <c r="R1942" s="14"/>
    </row>
    <row r="1943" spans="1:18" x14ac:dyDescent="0.35">
      <c r="A1943" s="20"/>
      <c r="B1943" s="22"/>
      <c r="C1943" s="25"/>
      <c r="D1943" s="26"/>
      <c r="E1943" s="24"/>
      <c r="F1943" s="24"/>
      <c r="G1943" s="24"/>
      <c r="H1943" s="24"/>
      <c r="I1943" s="24"/>
      <c r="J1943" s="24"/>
      <c r="K1943" s="24"/>
      <c r="L1943" s="24"/>
      <c r="M1943" s="24"/>
      <c r="N1943" s="24"/>
      <c r="O1943" s="24"/>
      <c r="P1943" s="24"/>
      <c r="Q1943" s="24"/>
      <c r="R1943" s="14"/>
    </row>
    <row r="1944" spans="1:18" x14ac:dyDescent="0.35">
      <c r="A1944" s="20"/>
      <c r="B1944" s="22"/>
      <c r="C1944" s="25"/>
      <c r="D1944" s="26"/>
      <c r="E1944" s="24"/>
      <c r="F1944" s="24"/>
      <c r="G1944" s="24"/>
      <c r="H1944" s="24"/>
      <c r="I1944" s="24"/>
      <c r="J1944" s="24"/>
      <c r="K1944" s="24"/>
      <c r="L1944" s="24"/>
      <c r="M1944" s="24"/>
      <c r="N1944" s="24"/>
      <c r="O1944" s="24"/>
      <c r="P1944" s="24"/>
      <c r="Q1944" s="24"/>
      <c r="R1944" s="14"/>
    </row>
    <row r="1945" spans="1:18" x14ac:dyDescent="0.35">
      <c r="A1945" s="20"/>
      <c r="B1945" s="22"/>
      <c r="C1945" s="25"/>
      <c r="D1945" s="26"/>
      <c r="E1945" s="24"/>
      <c r="F1945" s="24"/>
      <c r="G1945" s="24"/>
      <c r="H1945" s="24"/>
      <c r="I1945" s="24"/>
      <c r="J1945" s="24"/>
      <c r="K1945" s="24"/>
      <c r="L1945" s="24"/>
      <c r="M1945" s="24"/>
      <c r="N1945" s="24"/>
      <c r="O1945" s="24"/>
      <c r="P1945" s="24"/>
      <c r="Q1945" s="24"/>
      <c r="R1945" s="14"/>
    </row>
    <row r="1946" spans="1:18" x14ac:dyDescent="0.35">
      <c r="A1946" s="20"/>
      <c r="B1946" s="22"/>
      <c r="C1946" s="25"/>
      <c r="D1946" s="26"/>
      <c r="E1946" s="24"/>
      <c r="F1946" s="24"/>
      <c r="G1946" s="24"/>
      <c r="H1946" s="24"/>
      <c r="I1946" s="24"/>
      <c r="J1946" s="24"/>
      <c r="K1946" s="24"/>
      <c r="L1946" s="24"/>
      <c r="M1946" s="24"/>
      <c r="N1946" s="24"/>
      <c r="O1946" s="24"/>
      <c r="P1946" s="24"/>
      <c r="Q1946" s="24"/>
      <c r="R1946" s="14"/>
    </row>
    <row r="1947" spans="1:18" x14ac:dyDescent="0.35">
      <c r="A1947" s="20"/>
      <c r="B1947" s="22"/>
      <c r="C1947" s="25"/>
      <c r="D1947" s="26"/>
      <c r="E1947" s="24"/>
      <c r="F1947" s="24"/>
      <c r="G1947" s="24"/>
      <c r="H1947" s="24"/>
      <c r="I1947" s="24"/>
      <c r="J1947" s="24"/>
      <c r="K1947" s="24"/>
      <c r="L1947" s="24"/>
      <c r="M1947" s="24"/>
      <c r="N1947" s="24"/>
      <c r="O1947" s="24"/>
      <c r="P1947" s="24"/>
      <c r="Q1947" s="24"/>
      <c r="R1947" s="14"/>
    </row>
    <row r="1948" spans="1:18" x14ac:dyDescent="0.35">
      <c r="A1948" s="20"/>
      <c r="B1948" s="22"/>
      <c r="C1948" s="25"/>
      <c r="D1948" s="26"/>
      <c r="E1948" s="24"/>
      <c r="F1948" s="24"/>
      <c r="G1948" s="24"/>
      <c r="H1948" s="24"/>
      <c r="I1948" s="24"/>
      <c r="J1948" s="24"/>
      <c r="K1948" s="24"/>
      <c r="L1948" s="24"/>
      <c r="M1948" s="24"/>
      <c r="N1948" s="24"/>
      <c r="O1948" s="24"/>
      <c r="P1948" s="24"/>
      <c r="Q1948" s="24"/>
      <c r="R1948" s="21"/>
    </row>
    <row r="1949" spans="1:18" x14ac:dyDescent="0.35">
      <c r="A1949" s="20"/>
      <c r="B1949" s="22"/>
      <c r="C1949" s="25"/>
      <c r="D1949" s="26"/>
      <c r="E1949" s="24"/>
      <c r="F1949" s="24"/>
      <c r="G1949" s="24"/>
      <c r="H1949" s="24"/>
      <c r="I1949" s="24"/>
      <c r="J1949" s="24"/>
      <c r="K1949" s="24"/>
      <c r="L1949" s="24"/>
      <c r="M1949" s="24"/>
      <c r="N1949" s="24"/>
      <c r="O1949" s="24"/>
      <c r="P1949" s="24"/>
      <c r="Q1949" s="24"/>
      <c r="R1949" s="21"/>
    </row>
    <row r="1950" spans="1:18" x14ac:dyDescent="0.35">
      <c r="A1950" s="20"/>
      <c r="B1950" s="22"/>
      <c r="C1950" s="25"/>
      <c r="D1950" s="26"/>
      <c r="E1950" s="24"/>
      <c r="F1950" s="24"/>
      <c r="G1950" s="24"/>
      <c r="H1950" s="24"/>
      <c r="I1950" s="24"/>
      <c r="J1950" s="24"/>
      <c r="K1950" s="24"/>
      <c r="L1950" s="24"/>
      <c r="M1950" s="24"/>
      <c r="N1950" s="24"/>
      <c r="O1950" s="24"/>
      <c r="P1950" s="24"/>
      <c r="Q1950" s="24"/>
      <c r="R1950" s="21"/>
    </row>
    <row r="1951" spans="1:18" x14ac:dyDescent="0.35">
      <c r="A1951" s="20"/>
      <c r="B1951" s="22"/>
      <c r="C1951" s="25"/>
      <c r="D1951" s="26"/>
      <c r="E1951" s="24"/>
      <c r="F1951" s="24"/>
      <c r="G1951" s="24"/>
      <c r="H1951" s="24"/>
      <c r="I1951" s="24"/>
      <c r="J1951" s="24"/>
      <c r="K1951" s="24"/>
      <c r="L1951" s="24"/>
      <c r="M1951" s="24"/>
      <c r="N1951" s="24"/>
      <c r="O1951" s="24"/>
      <c r="P1951" s="24"/>
      <c r="Q1951" s="24"/>
      <c r="R1951" s="21"/>
    </row>
    <row r="1952" spans="1:18" x14ac:dyDescent="0.35">
      <c r="A1952" s="20"/>
      <c r="B1952" s="22"/>
      <c r="C1952" s="25"/>
      <c r="D1952" s="26"/>
      <c r="E1952" s="24"/>
      <c r="F1952" s="24"/>
      <c r="G1952" s="24"/>
      <c r="H1952" s="24"/>
      <c r="I1952" s="24"/>
      <c r="J1952" s="24"/>
      <c r="K1952" s="24"/>
      <c r="L1952" s="24"/>
      <c r="M1952" s="24"/>
      <c r="N1952" s="24"/>
      <c r="O1952" s="24"/>
      <c r="P1952" s="24"/>
      <c r="Q1952" s="24"/>
      <c r="R1952" s="21"/>
    </row>
    <row r="1953" spans="1:18" x14ac:dyDescent="0.35">
      <c r="A1953" s="20"/>
      <c r="B1953" s="22"/>
      <c r="C1953" s="25"/>
      <c r="D1953" s="26"/>
      <c r="E1953" s="24"/>
      <c r="F1953" s="24"/>
      <c r="G1953" s="24"/>
      <c r="H1953" s="24"/>
      <c r="I1953" s="24"/>
      <c r="J1953" s="24"/>
      <c r="K1953" s="24"/>
      <c r="L1953" s="24"/>
      <c r="M1953" s="24"/>
      <c r="N1953" s="24"/>
      <c r="O1953" s="24"/>
      <c r="P1953" s="24"/>
      <c r="Q1953" s="24"/>
      <c r="R1953" s="21"/>
    </row>
    <row r="1954" spans="1:18" x14ac:dyDescent="0.35">
      <c r="A1954" s="20"/>
      <c r="B1954" s="22"/>
      <c r="C1954" s="25"/>
      <c r="D1954" s="26"/>
      <c r="E1954" s="24"/>
      <c r="F1954" s="24"/>
      <c r="G1954" s="24"/>
      <c r="H1954" s="24"/>
      <c r="I1954" s="24"/>
      <c r="J1954" s="24"/>
      <c r="K1954" s="24"/>
      <c r="L1954" s="24"/>
      <c r="M1954" s="24"/>
      <c r="N1954" s="24"/>
      <c r="O1954" s="24"/>
      <c r="P1954" s="24"/>
      <c r="Q1954" s="24"/>
      <c r="R1954" s="21"/>
    </row>
    <row r="1955" spans="1:18" x14ac:dyDescent="0.35">
      <c r="A1955" s="20"/>
      <c r="B1955" s="22"/>
      <c r="C1955" s="25"/>
      <c r="D1955" s="26"/>
      <c r="E1955" s="24"/>
      <c r="F1955" s="24"/>
      <c r="G1955" s="24"/>
      <c r="H1955" s="24"/>
      <c r="I1955" s="24"/>
      <c r="J1955" s="24"/>
      <c r="K1955" s="24"/>
      <c r="L1955" s="24"/>
      <c r="M1955" s="24"/>
      <c r="N1955" s="24"/>
      <c r="O1955" s="24"/>
      <c r="P1955" s="24"/>
      <c r="Q1955" s="24"/>
      <c r="R1955" s="21"/>
    </row>
    <row r="1956" spans="1:18" x14ac:dyDescent="0.35">
      <c r="A1956" s="20"/>
      <c r="B1956" s="22"/>
      <c r="C1956" s="25"/>
      <c r="D1956" s="26"/>
      <c r="E1956" s="24"/>
      <c r="F1956" s="24"/>
      <c r="G1956" s="24"/>
      <c r="H1956" s="24"/>
      <c r="I1956" s="24"/>
      <c r="J1956" s="24"/>
      <c r="K1956" s="24"/>
      <c r="L1956" s="24"/>
      <c r="M1956" s="24"/>
      <c r="N1956" s="24"/>
      <c r="O1956" s="24"/>
      <c r="P1956" s="24"/>
      <c r="Q1956" s="24"/>
      <c r="R1956" s="21"/>
    </row>
    <row r="1957" spans="1:18" x14ac:dyDescent="0.35">
      <c r="A1957" s="20"/>
      <c r="B1957" s="22"/>
      <c r="C1957" s="25"/>
      <c r="D1957" s="26"/>
      <c r="E1957" s="24"/>
      <c r="F1957" s="24"/>
      <c r="G1957" s="24"/>
      <c r="H1957" s="24"/>
      <c r="I1957" s="24"/>
      <c r="J1957" s="24"/>
      <c r="K1957" s="24"/>
      <c r="L1957" s="24"/>
      <c r="M1957" s="24"/>
      <c r="N1957" s="24"/>
      <c r="O1957" s="24"/>
      <c r="P1957" s="24"/>
      <c r="Q1957" s="24"/>
      <c r="R1957" s="14"/>
    </row>
    <row r="1958" spans="1:18" x14ac:dyDescent="0.35">
      <c r="A1958" s="20"/>
      <c r="B1958" s="22"/>
      <c r="C1958" s="25"/>
      <c r="D1958" s="26"/>
      <c r="E1958" s="24"/>
      <c r="F1958" s="24"/>
      <c r="G1958" s="24"/>
      <c r="H1958" s="24"/>
      <c r="I1958" s="24"/>
      <c r="J1958" s="24"/>
      <c r="K1958" s="24"/>
      <c r="L1958" s="24"/>
      <c r="M1958" s="24"/>
      <c r="N1958" s="24"/>
      <c r="O1958" s="24"/>
      <c r="P1958" s="24"/>
      <c r="Q1958" s="24"/>
      <c r="R1958" s="14"/>
    </row>
    <row r="1959" spans="1:18" x14ac:dyDescent="0.35">
      <c r="A1959" s="20"/>
      <c r="B1959" s="22"/>
      <c r="C1959" s="25"/>
      <c r="D1959" s="26"/>
      <c r="E1959" s="24"/>
      <c r="F1959" s="24"/>
      <c r="G1959" s="24"/>
      <c r="H1959" s="24"/>
      <c r="I1959" s="24"/>
      <c r="J1959" s="24"/>
      <c r="K1959" s="24"/>
      <c r="L1959" s="24"/>
      <c r="M1959" s="24"/>
      <c r="N1959" s="24"/>
      <c r="O1959" s="24"/>
      <c r="P1959" s="24"/>
      <c r="Q1959" s="24"/>
      <c r="R1959" s="14"/>
    </row>
    <row r="1960" spans="1:18" x14ac:dyDescent="0.35">
      <c r="A1960" s="20"/>
      <c r="B1960" s="22"/>
      <c r="C1960" s="25"/>
      <c r="D1960" s="26"/>
      <c r="E1960" s="24"/>
      <c r="F1960" s="24"/>
      <c r="G1960" s="24"/>
      <c r="H1960" s="24"/>
      <c r="I1960" s="24"/>
      <c r="J1960" s="24"/>
      <c r="K1960" s="24"/>
      <c r="L1960" s="24"/>
      <c r="M1960" s="24"/>
      <c r="N1960" s="24"/>
      <c r="O1960" s="24"/>
      <c r="P1960" s="24"/>
      <c r="Q1960" s="24"/>
      <c r="R1960" s="14"/>
    </row>
    <row r="1961" spans="1:18" x14ac:dyDescent="0.35">
      <c r="A1961" s="20"/>
      <c r="B1961" s="22"/>
      <c r="C1961" s="25"/>
      <c r="D1961" s="26"/>
      <c r="E1961" s="24"/>
      <c r="F1961" s="24"/>
      <c r="G1961" s="24"/>
      <c r="H1961" s="24"/>
      <c r="I1961" s="24"/>
      <c r="J1961" s="24"/>
      <c r="K1961" s="24"/>
      <c r="L1961" s="24"/>
      <c r="M1961" s="24"/>
      <c r="N1961" s="24"/>
      <c r="O1961" s="24"/>
      <c r="P1961" s="24"/>
      <c r="Q1961" s="24"/>
      <c r="R1961" s="14"/>
    </row>
    <row r="1962" spans="1:18" x14ac:dyDescent="0.35">
      <c r="A1962" s="20"/>
      <c r="B1962" s="22"/>
      <c r="C1962" s="25"/>
      <c r="D1962" s="26"/>
      <c r="E1962" s="24"/>
      <c r="F1962" s="24"/>
      <c r="G1962" s="24"/>
      <c r="H1962" s="24"/>
      <c r="I1962" s="24"/>
      <c r="J1962" s="24"/>
      <c r="K1962" s="24"/>
      <c r="L1962" s="24"/>
      <c r="M1962" s="24"/>
      <c r="N1962" s="24"/>
      <c r="O1962" s="24"/>
      <c r="P1962" s="24"/>
      <c r="Q1962" s="24"/>
      <c r="R1962" s="14"/>
    </row>
    <row r="1963" spans="1:18" x14ac:dyDescent="0.35">
      <c r="A1963" s="20"/>
      <c r="B1963" s="22"/>
      <c r="C1963" s="25"/>
      <c r="D1963" s="26"/>
      <c r="E1963" s="24"/>
      <c r="F1963" s="24"/>
      <c r="G1963" s="24"/>
      <c r="H1963" s="24"/>
      <c r="I1963" s="24"/>
      <c r="J1963" s="24"/>
      <c r="K1963" s="24"/>
      <c r="L1963" s="24"/>
      <c r="M1963" s="24"/>
      <c r="N1963" s="24"/>
      <c r="O1963" s="24"/>
      <c r="P1963" s="24"/>
      <c r="Q1963" s="24"/>
      <c r="R1963" s="14"/>
    </row>
    <row r="1964" spans="1:18" x14ac:dyDescent="0.35">
      <c r="A1964" s="20"/>
      <c r="B1964" s="22"/>
      <c r="C1964" s="25"/>
      <c r="D1964" s="26"/>
      <c r="E1964" s="24"/>
      <c r="F1964" s="24"/>
      <c r="G1964" s="24"/>
      <c r="H1964" s="24"/>
      <c r="I1964" s="24"/>
      <c r="J1964" s="24"/>
      <c r="K1964" s="24"/>
      <c r="L1964" s="24"/>
      <c r="M1964" s="24"/>
      <c r="N1964" s="24"/>
      <c r="O1964" s="24"/>
      <c r="P1964" s="24"/>
      <c r="Q1964" s="24"/>
      <c r="R1964" s="14"/>
    </row>
    <row r="1965" spans="1:18" x14ac:dyDescent="0.35">
      <c r="A1965" s="20"/>
      <c r="B1965" s="22"/>
      <c r="C1965" s="25"/>
      <c r="D1965" s="26"/>
      <c r="E1965" s="24"/>
      <c r="F1965" s="24"/>
      <c r="G1965" s="24"/>
      <c r="H1965" s="24"/>
      <c r="I1965" s="24"/>
      <c r="J1965" s="24"/>
      <c r="K1965" s="24"/>
      <c r="L1965" s="24"/>
      <c r="M1965" s="24"/>
      <c r="N1965" s="24"/>
      <c r="O1965" s="24"/>
      <c r="P1965" s="24"/>
      <c r="Q1965" s="24"/>
      <c r="R1965" s="14"/>
    </row>
    <row r="1966" spans="1:18" x14ac:dyDescent="0.35">
      <c r="A1966" s="20"/>
      <c r="B1966" s="22"/>
      <c r="C1966" s="25"/>
      <c r="D1966" s="26"/>
      <c r="E1966" s="24"/>
      <c r="F1966" s="24"/>
      <c r="G1966" s="24"/>
      <c r="H1966" s="24"/>
      <c r="I1966" s="24"/>
      <c r="J1966" s="24"/>
      <c r="K1966" s="24"/>
      <c r="L1966" s="24"/>
      <c r="M1966" s="24"/>
      <c r="N1966" s="24"/>
      <c r="O1966" s="24"/>
      <c r="P1966" s="24"/>
      <c r="Q1966" s="24"/>
      <c r="R1966" s="14"/>
    </row>
    <row r="1967" spans="1:18" x14ac:dyDescent="0.35">
      <c r="A1967" s="20"/>
      <c r="B1967" s="22"/>
      <c r="C1967" s="25"/>
      <c r="D1967" s="26"/>
      <c r="E1967" s="24"/>
      <c r="F1967" s="24"/>
      <c r="G1967" s="24"/>
      <c r="H1967" s="24"/>
      <c r="I1967" s="24"/>
      <c r="J1967" s="24"/>
      <c r="K1967" s="24"/>
      <c r="L1967" s="24"/>
      <c r="M1967" s="24"/>
      <c r="N1967" s="24"/>
      <c r="O1967" s="24"/>
      <c r="P1967" s="24"/>
      <c r="Q1967" s="24"/>
      <c r="R1967" s="14"/>
    </row>
    <row r="1968" spans="1:18" x14ac:dyDescent="0.35">
      <c r="A1968" s="20"/>
      <c r="B1968" s="22"/>
      <c r="C1968" s="25"/>
      <c r="D1968" s="26"/>
      <c r="E1968" s="24"/>
      <c r="F1968" s="24"/>
      <c r="G1968" s="24"/>
      <c r="H1968" s="24"/>
      <c r="I1968" s="24"/>
      <c r="J1968" s="24"/>
      <c r="K1968" s="24"/>
      <c r="L1968" s="24"/>
      <c r="M1968" s="24"/>
      <c r="N1968" s="24"/>
      <c r="O1968" s="24"/>
      <c r="P1968" s="24"/>
      <c r="Q1968" s="24"/>
      <c r="R1968" s="14"/>
    </row>
    <row r="1969" spans="1:18" x14ac:dyDescent="0.35">
      <c r="A1969" s="20"/>
      <c r="B1969" s="22"/>
      <c r="C1969" s="25"/>
      <c r="D1969" s="26"/>
      <c r="E1969" s="24"/>
      <c r="F1969" s="24"/>
      <c r="G1969" s="24"/>
      <c r="H1969" s="24"/>
      <c r="I1969" s="24"/>
      <c r="J1969" s="24"/>
      <c r="K1969" s="24"/>
      <c r="L1969" s="24"/>
      <c r="M1969" s="24"/>
      <c r="N1969" s="24"/>
      <c r="O1969" s="24"/>
      <c r="P1969" s="24"/>
      <c r="Q1969" s="24"/>
      <c r="R1969" s="14"/>
    </row>
    <row r="1970" spans="1:18" x14ac:dyDescent="0.35">
      <c r="A1970" s="20"/>
      <c r="B1970" s="22"/>
      <c r="C1970" s="25"/>
      <c r="D1970" s="26"/>
      <c r="E1970" s="24"/>
      <c r="F1970" s="24"/>
      <c r="G1970" s="24"/>
      <c r="H1970" s="24"/>
      <c r="I1970" s="24"/>
      <c r="J1970" s="24"/>
      <c r="K1970" s="24"/>
      <c r="L1970" s="24"/>
      <c r="M1970" s="24"/>
      <c r="N1970" s="24"/>
      <c r="O1970" s="24"/>
      <c r="P1970" s="24"/>
      <c r="Q1970" s="24"/>
      <c r="R1970" s="14"/>
    </row>
    <row r="1971" spans="1:18" x14ac:dyDescent="0.35">
      <c r="A1971" s="20"/>
      <c r="B1971" s="22"/>
      <c r="C1971" s="25"/>
      <c r="D1971" s="26"/>
      <c r="E1971" s="24"/>
      <c r="F1971" s="24"/>
      <c r="G1971" s="24"/>
      <c r="H1971" s="24"/>
      <c r="I1971" s="24"/>
      <c r="J1971" s="24"/>
      <c r="K1971" s="24"/>
      <c r="L1971" s="24"/>
      <c r="M1971" s="24"/>
      <c r="N1971" s="24"/>
      <c r="O1971" s="24"/>
      <c r="P1971" s="24"/>
      <c r="Q1971" s="24"/>
      <c r="R1971" s="14"/>
    </row>
    <row r="1972" spans="1:18" x14ac:dyDescent="0.35">
      <c r="A1972" s="20"/>
      <c r="B1972" s="22"/>
      <c r="C1972" s="25"/>
      <c r="D1972" s="26"/>
      <c r="E1972" s="24"/>
      <c r="F1972" s="24"/>
      <c r="G1972" s="24"/>
      <c r="H1972" s="24"/>
      <c r="I1972" s="24"/>
      <c r="J1972" s="24"/>
      <c r="K1972" s="24"/>
      <c r="L1972" s="24"/>
      <c r="M1972" s="24"/>
      <c r="N1972" s="24"/>
      <c r="O1972" s="24"/>
      <c r="P1972" s="24"/>
      <c r="Q1972" s="24"/>
      <c r="R1972" s="21"/>
    </row>
    <row r="1973" spans="1:18" x14ac:dyDescent="0.35">
      <c r="A1973" s="20"/>
      <c r="B1973" s="22"/>
      <c r="C1973" s="25"/>
      <c r="D1973" s="26"/>
      <c r="E1973" s="24"/>
      <c r="F1973" s="24"/>
      <c r="G1973" s="24"/>
      <c r="H1973" s="24"/>
      <c r="I1973" s="24"/>
      <c r="J1973" s="24"/>
      <c r="K1973" s="24"/>
      <c r="L1973" s="24"/>
      <c r="M1973" s="24"/>
      <c r="N1973" s="24"/>
      <c r="O1973" s="24"/>
      <c r="P1973" s="24"/>
      <c r="Q1973" s="24"/>
      <c r="R1973" s="21"/>
    </row>
    <row r="1974" spans="1:18" x14ac:dyDescent="0.35">
      <c r="A1974" s="20"/>
      <c r="B1974" s="22"/>
      <c r="C1974" s="25"/>
      <c r="D1974" s="26"/>
      <c r="E1974" s="24"/>
      <c r="F1974" s="24"/>
      <c r="G1974" s="24"/>
      <c r="H1974" s="24"/>
      <c r="I1974" s="24"/>
      <c r="J1974" s="24"/>
      <c r="K1974" s="24"/>
      <c r="L1974" s="24"/>
      <c r="M1974" s="24"/>
      <c r="N1974" s="24"/>
      <c r="O1974" s="24"/>
      <c r="P1974" s="24"/>
      <c r="Q1974" s="24"/>
      <c r="R1974" s="21"/>
    </row>
    <row r="1975" spans="1:18" x14ac:dyDescent="0.35">
      <c r="A1975" s="20"/>
      <c r="B1975" s="22"/>
      <c r="C1975" s="25"/>
      <c r="D1975" s="26"/>
      <c r="E1975" s="24"/>
      <c r="F1975" s="24"/>
      <c r="G1975" s="24"/>
      <c r="H1975" s="24"/>
      <c r="I1975" s="24"/>
      <c r="J1975" s="24"/>
      <c r="K1975" s="24"/>
      <c r="L1975" s="24"/>
      <c r="M1975" s="24"/>
      <c r="N1975" s="24"/>
      <c r="O1975" s="24"/>
      <c r="P1975" s="24"/>
      <c r="Q1975" s="24"/>
      <c r="R1975" s="21"/>
    </row>
    <row r="1976" spans="1:18" x14ac:dyDescent="0.35">
      <c r="A1976" s="20"/>
      <c r="B1976" s="22"/>
      <c r="C1976" s="25"/>
      <c r="D1976" s="26"/>
      <c r="E1976" s="24"/>
      <c r="F1976" s="24"/>
      <c r="G1976" s="24"/>
      <c r="H1976" s="24"/>
      <c r="I1976" s="24"/>
      <c r="J1976" s="24"/>
      <c r="K1976" s="24"/>
      <c r="L1976" s="24"/>
      <c r="M1976" s="24"/>
      <c r="N1976" s="24"/>
      <c r="O1976" s="24"/>
      <c r="P1976" s="24"/>
      <c r="Q1976" s="24"/>
      <c r="R1976" s="21"/>
    </row>
    <row r="1977" spans="1:18" x14ac:dyDescent="0.35">
      <c r="A1977" s="20"/>
      <c r="B1977" s="22"/>
      <c r="C1977" s="25"/>
      <c r="D1977" s="26"/>
      <c r="E1977" s="24"/>
      <c r="F1977" s="24"/>
      <c r="G1977" s="24"/>
      <c r="H1977" s="24"/>
      <c r="I1977" s="24"/>
      <c r="J1977" s="24"/>
      <c r="K1977" s="24"/>
      <c r="L1977" s="24"/>
      <c r="M1977" s="24"/>
      <c r="N1977" s="24"/>
      <c r="O1977" s="24"/>
      <c r="P1977" s="24"/>
      <c r="Q1977" s="24"/>
      <c r="R1977" s="21"/>
    </row>
    <row r="1978" spans="1:18" x14ac:dyDescent="0.35">
      <c r="A1978" s="20"/>
      <c r="B1978" s="22"/>
      <c r="C1978" s="25"/>
      <c r="D1978" s="26"/>
      <c r="E1978" s="24"/>
      <c r="F1978" s="24"/>
      <c r="G1978" s="24"/>
      <c r="H1978" s="24"/>
      <c r="I1978" s="24"/>
      <c r="J1978" s="24"/>
      <c r="K1978" s="24"/>
      <c r="L1978" s="24"/>
      <c r="M1978" s="24"/>
      <c r="N1978" s="24"/>
      <c r="O1978" s="24"/>
      <c r="P1978" s="24"/>
      <c r="Q1978" s="24"/>
      <c r="R1978" s="21"/>
    </row>
    <row r="1979" spans="1:18" x14ac:dyDescent="0.35">
      <c r="A1979" s="20"/>
      <c r="B1979" s="22"/>
      <c r="C1979" s="25"/>
      <c r="D1979" s="26"/>
      <c r="E1979" s="24"/>
      <c r="F1979" s="24"/>
      <c r="G1979" s="24"/>
      <c r="H1979" s="24"/>
      <c r="I1979" s="24"/>
      <c r="J1979" s="24"/>
      <c r="K1979" s="24"/>
      <c r="L1979" s="24"/>
      <c r="M1979" s="24"/>
      <c r="N1979" s="24"/>
      <c r="O1979" s="24"/>
      <c r="P1979" s="24"/>
      <c r="Q1979" s="24"/>
      <c r="R1979" s="21"/>
    </row>
    <row r="1980" spans="1:18" x14ac:dyDescent="0.35">
      <c r="A1980" s="20"/>
      <c r="B1980" s="22"/>
      <c r="C1980" s="25"/>
      <c r="D1980" s="26"/>
      <c r="E1980" s="24"/>
      <c r="F1980" s="24"/>
      <c r="G1980" s="24"/>
      <c r="H1980" s="24"/>
      <c r="I1980" s="24"/>
      <c r="J1980" s="24"/>
      <c r="K1980" s="24"/>
      <c r="L1980" s="24"/>
      <c r="M1980" s="24"/>
      <c r="N1980" s="24"/>
      <c r="O1980" s="24"/>
      <c r="P1980" s="24"/>
      <c r="Q1980" s="24"/>
      <c r="R1980" s="21"/>
    </row>
    <row r="1981" spans="1:18" x14ac:dyDescent="0.35">
      <c r="A1981" s="20"/>
      <c r="B1981" s="22"/>
      <c r="C1981" s="25"/>
      <c r="D1981" s="26"/>
      <c r="E1981" s="24"/>
      <c r="F1981" s="24"/>
      <c r="G1981" s="24"/>
      <c r="H1981" s="24"/>
      <c r="I1981" s="24"/>
      <c r="J1981" s="24"/>
      <c r="K1981" s="24"/>
      <c r="L1981" s="24"/>
      <c r="M1981" s="24"/>
      <c r="N1981" s="24"/>
      <c r="O1981" s="24"/>
      <c r="P1981" s="24"/>
      <c r="Q1981" s="24"/>
      <c r="R1981" s="21"/>
    </row>
    <row r="1982" spans="1:18" x14ac:dyDescent="0.35">
      <c r="A1982" s="20"/>
      <c r="B1982" s="22"/>
      <c r="C1982" s="25"/>
      <c r="D1982" s="26"/>
      <c r="E1982" s="24"/>
      <c r="F1982" s="24"/>
      <c r="G1982" s="24"/>
      <c r="H1982" s="24"/>
      <c r="I1982" s="24"/>
      <c r="J1982" s="24"/>
      <c r="K1982" s="24"/>
      <c r="L1982" s="24"/>
      <c r="M1982" s="24"/>
      <c r="N1982" s="24"/>
      <c r="O1982" s="24"/>
      <c r="P1982" s="24"/>
      <c r="Q1982" s="24"/>
      <c r="R1982" s="21"/>
    </row>
    <row r="1983" spans="1:18" x14ac:dyDescent="0.35">
      <c r="A1983" s="20"/>
      <c r="B1983" s="22"/>
      <c r="C1983" s="25"/>
      <c r="D1983" s="26"/>
      <c r="E1983" s="24"/>
      <c r="F1983" s="24"/>
      <c r="G1983" s="24"/>
      <c r="H1983" s="24"/>
      <c r="I1983" s="24"/>
      <c r="J1983" s="24"/>
      <c r="K1983" s="24"/>
      <c r="L1983" s="24"/>
      <c r="M1983" s="24"/>
      <c r="N1983" s="24"/>
      <c r="O1983" s="24"/>
      <c r="P1983" s="24"/>
      <c r="Q1983" s="24"/>
      <c r="R1983" s="21"/>
    </row>
    <row r="1984" spans="1:18" x14ac:dyDescent="0.35">
      <c r="A1984" s="20"/>
      <c r="B1984" s="22"/>
      <c r="C1984" s="25"/>
      <c r="D1984" s="26"/>
      <c r="E1984" s="24"/>
      <c r="F1984" s="24"/>
      <c r="G1984" s="24"/>
      <c r="H1984" s="24"/>
      <c r="I1984" s="24"/>
      <c r="J1984" s="24"/>
      <c r="K1984" s="24"/>
      <c r="L1984" s="24"/>
      <c r="M1984" s="24"/>
      <c r="N1984" s="24"/>
      <c r="O1984" s="24"/>
      <c r="P1984" s="24"/>
      <c r="Q1984" s="24"/>
      <c r="R1984" s="21"/>
    </row>
    <row r="1985" spans="1:18" x14ac:dyDescent="0.35">
      <c r="A1985" s="20"/>
      <c r="B1985" s="22"/>
      <c r="C1985" s="25"/>
      <c r="D1985" s="26"/>
      <c r="E1985" s="24"/>
      <c r="F1985" s="24"/>
      <c r="G1985" s="24"/>
      <c r="H1985" s="24"/>
      <c r="I1985" s="24"/>
      <c r="J1985" s="24"/>
      <c r="K1985" s="24"/>
      <c r="L1985" s="24"/>
      <c r="M1985" s="24"/>
      <c r="N1985" s="24"/>
      <c r="O1985" s="24"/>
      <c r="P1985" s="24"/>
      <c r="Q1985" s="24"/>
      <c r="R1985" s="21"/>
    </row>
    <row r="1986" spans="1:18" x14ac:dyDescent="0.35">
      <c r="A1986" s="20"/>
      <c r="B1986" s="22"/>
      <c r="C1986" s="25"/>
      <c r="D1986" s="26"/>
      <c r="E1986" s="24"/>
      <c r="F1986" s="24"/>
      <c r="G1986" s="24"/>
      <c r="H1986" s="24"/>
      <c r="I1986" s="24"/>
      <c r="J1986" s="24"/>
      <c r="K1986" s="24"/>
      <c r="L1986" s="24"/>
      <c r="M1986" s="24"/>
      <c r="N1986" s="24"/>
      <c r="O1986" s="24"/>
      <c r="P1986" s="24"/>
      <c r="Q1986" s="24"/>
      <c r="R1986" s="21"/>
    </row>
    <row r="1987" spans="1:18" x14ac:dyDescent="0.35">
      <c r="A1987" s="20"/>
      <c r="B1987" s="22"/>
      <c r="C1987" s="25"/>
      <c r="D1987" s="26"/>
      <c r="E1987" s="24"/>
      <c r="F1987" s="24"/>
      <c r="G1987" s="24"/>
      <c r="H1987" s="24"/>
      <c r="I1987" s="24"/>
      <c r="J1987" s="24"/>
      <c r="K1987" s="24"/>
      <c r="L1987" s="24"/>
      <c r="M1987" s="24"/>
      <c r="N1987" s="24"/>
      <c r="O1987" s="24"/>
      <c r="P1987" s="24"/>
      <c r="Q1987" s="24"/>
      <c r="R1987" s="21"/>
    </row>
    <row r="1988" spans="1:18" x14ac:dyDescent="0.35">
      <c r="A1988" s="20"/>
      <c r="B1988" s="22"/>
      <c r="C1988" s="25"/>
      <c r="D1988" s="26"/>
      <c r="E1988" s="24"/>
      <c r="F1988" s="24"/>
      <c r="G1988" s="24"/>
      <c r="H1988" s="24"/>
      <c r="I1988" s="24"/>
      <c r="J1988" s="24"/>
      <c r="K1988" s="24"/>
      <c r="L1988" s="24"/>
      <c r="M1988" s="24"/>
      <c r="N1988" s="24"/>
      <c r="O1988" s="24"/>
      <c r="P1988" s="24"/>
      <c r="Q1988" s="24"/>
      <c r="R1988" s="14"/>
    </row>
    <row r="1989" spans="1:18" x14ac:dyDescent="0.35">
      <c r="A1989" s="20"/>
      <c r="B1989" s="22"/>
      <c r="C1989" s="25"/>
      <c r="D1989" s="26"/>
      <c r="E1989" s="24"/>
      <c r="F1989" s="24"/>
      <c r="G1989" s="24"/>
      <c r="H1989" s="24"/>
      <c r="I1989" s="24"/>
      <c r="J1989" s="24"/>
      <c r="K1989" s="24"/>
      <c r="L1989" s="24"/>
      <c r="M1989" s="24"/>
      <c r="N1989" s="24"/>
      <c r="O1989" s="24"/>
      <c r="P1989" s="24"/>
      <c r="Q1989" s="24"/>
      <c r="R1989" s="14"/>
    </row>
    <row r="1990" spans="1:18" x14ac:dyDescent="0.35">
      <c r="A1990" s="20"/>
      <c r="B1990" s="22"/>
      <c r="C1990" s="25"/>
      <c r="D1990" s="26"/>
      <c r="E1990" s="24"/>
      <c r="F1990" s="24"/>
      <c r="G1990" s="24"/>
      <c r="H1990" s="24"/>
      <c r="I1990" s="24"/>
      <c r="J1990" s="24"/>
      <c r="K1990" s="24"/>
      <c r="L1990" s="24"/>
      <c r="M1990" s="24"/>
      <c r="N1990" s="24"/>
      <c r="O1990" s="24"/>
      <c r="P1990" s="24"/>
      <c r="Q1990" s="24"/>
      <c r="R1990" s="14"/>
    </row>
    <row r="1991" spans="1:18" x14ac:dyDescent="0.35">
      <c r="A1991" s="20"/>
      <c r="B1991" s="22"/>
      <c r="C1991" s="25"/>
      <c r="D1991" s="26"/>
      <c r="E1991" s="24"/>
      <c r="F1991" s="24"/>
      <c r="G1991" s="24"/>
      <c r="H1991" s="24"/>
      <c r="I1991" s="24"/>
      <c r="J1991" s="24"/>
      <c r="K1991" s="24"/>
      <c r="L1991" s="24"/>
      <c r="M1991" s="24"/>
      <c r="N1991" s="24"/>
      <c r="O1991" s="24"/>
      <c r="P1991" s="24"/>
      <c r="Q1991" s="24"/>
      <c r="R1991" s="14"/>
    </row>
    <row r="1992" spans="1:18" x14ac:dyDescent="0.35">
      <c r="A1992" s="20"/>
      <c r="B1992" s="22"/>
      <c r="C1992" s="25"/>
      <c r="D1992" s="26"/>
      <c r="E1992" s="24"/>
      <c r="F1992" s="24"/>
      <c r="G1992" s="24"/>
      <c r="H1992" s="24"/>
      <c r="I1992" s="24"/>
      <c r="J1992" s="24"/>
      <c r="K1992" s="24"/>
      <c r="L1992" s="24"/>
      <c r="M1992" s="24"/>
      <c r="N1992" s="24"/>
      <c r="O1992" s="24"/>
      <c r="P1992" s="24"/>
      <c r="Q1992" s="24"/>
      <c r="R1992" s="14"/>
    </row>
    <row r="1993" spans="1:18" x14ac:dyDescent="0.35">
      <c r="A1993" s="20"/>
      <c r="B1993" s="22"/>
      <c r="C1993" s="25"/>
      <c r="D1993" s="26"/>
      <c r="E1993" s="24"/>
      <c r="F1993" s="24"/>
      <c r="G1993" s="24"/>
      <c r="H1993" s="24"/>
      <c r="I1993" s="24"/>
      <c r="J1993" s="24"/>
      <c r="K1993" s="24"/>
      <c r="L1993" s="24"/>
      <c r="M1993" s="24"/>
      <c r="N1993" s="24"/>
      <c r="O1993" s="24"/>
      <c r="P1993" s="24"/>
      <c r="Q1993" s="24"/>
      <c r="R1993" s="14"/>
    </row>
    <row r="1994" spans="1:18" x14ac:dyDescent="0.35">
      <c r="A1994" s="20"/>
      <c r="B1994" s="22"/>
      <c r="C1994" s="25"/>
      <c r="D1994" s="26"/>
      <c r="E1994" s="24"/>
      <c r="F1994" s="24"/>
      <c r="G1994" s="24"/>
      <c r="H1994" s="24"/>
      <c r="I1994" s="24"/>
      <c r="J1994" s="24"/>
      <c r="K1994" s="24"/>
      <c r="L1994" s="24"/>
      <c r="M1994" s="24"/>
      <c r="N1994" s="24"/>
      <c r="O1994" s="24"/>
      <c r="P1994" s="24"/>
      <c r="Q1994" s="24"/>
      <c r="R1994" s="14"/>
    </row>
    <row r="1995" spans="1:18" x14ac:dyDescent="0.35">
      <c r="A1995" s="20"/>
      <c r="B1995" s="22"/>
      <c r="C1995" s="25"/>
      <c r="D1995" s="26"/>
      <c r="E1995" s="24"/>
      <c r="F1995" s="24"/>
      <c r="G1995" s="24"/>
      <c r="H1995" s="24"/>
      <c r="I1995" s="24"/>
      <c r="J1995" s="24"/>
      <c r="K1995" s="24"/>
      <c r="L1995" s="24"/>
      <c r="M1995" s="24"/>
      <c r="N1995" s="24"/>
      <c r="O1995" s="24"/>
      <c r="P1995" s="24"/>
      <c r="Q1995" s="24"/>
      <c r="R1995" s="21"/>
    </row>
    <row r="1996" spans="1:18" x14ac:dyDescent="0.35">
      <c r="A1996" s="20"/>
      <c r="B1996" s="22"/>
      <c r="C1996" s="25"/>
      <c r="D1996" s="26"/>
      <c r="E1996" s="24"/>
      <c r="F1996" s="24"/>
      <c r="G1996" s="24"/>
      <c r="H1996" s="24"/>
      <c r="I1996" s="24"/>
      <c r="J1996" s="24"/>
      <c r="K1996" s="24"/>
      <c r="L1996" s="24"/>
      <c r="M1996" s="24"/>
      <c r="N1996" s="24"/>
      <c r="O1996" s="24"/>
      <c r="P1996" s="24"/>
      <c r="Q1996" s="24"/>
      <c r="R1996" s="21"/>
    </row>
    <row r="1997" spans="1:18" x14ac:dyDescent="0.35">
      <c r="A1997" s="20"/>
      <c r="B1997" s="22"/>
      <c r="C1997" s="25"/>
      <c r="D1997" s="26"/>
      <c r="E1997" s="24"/>
      <c r="F1997" s="24"/>
      <c r="G1997" s="24"/>
      <c r="H1997" s="24"/>
      <c r="I1997" s="24"/>
      <c r="J1997" s="24"/>
      <c r="K1997" s="24"/>
      <c r="L1997" s="24"/>
      <c r="M1997" s="24"/>
      <c r="N1997" s="24"/>
      <c r="O1997" s="24"/>
      <c r="P1997" s="24"/>
      <c r="Q1997" s="24"/>
      <c r="R1997" s="21"/>
    </row>
    <row r="1998" spans="1:18" x14ac:dyDescent="0.35">
      <c r="A1998" s="20"/>
      <c r="B1998" s="22"/>
      <c r="C1998" s="25"/>
      <c r="D1998" s="26"/>
      <c r="E1998" s="24"/>
      <c r="F1998" s="24"/>
      <c r="G1998" s="24"/>
      <c r="H1998" s="24"/>
      <c r="I1998" s="24"/>
      <c r="J1998" s="24"/>
      <c r="K1998" s="24"/>
      <c r="L1998" s="24"/>
      <c r="M1998" s="24"/>
      <c r="N1998" s="24"/>
      <c r="O1998" s="24"/>
      <c r="P1998" s="24"/>
      <c r="Q1998" s="24"/>
      <c r="R1998" s="21"/>
    </row>
    <row r="1999" spans="1:18" x14ac:dyDescent="0.35">
      <c r="A1999" s="20"/>
      <c r="B1999" s="22"/>
      <c r="C1999" s="25"/>
      <c r="D1999" s="26"/>
      <c r="E1999" s="24"/>
      <c r="F1999" s="24"/>
      <c r="G1999" s="24"/>
      <c r="H1999" s="24"/>
      <c r="I1999" s="24"/>
      <c r="J1999" s="24"/>
      <c r="K1999" s="24"/>
      <c r="L1999" s="24"/>
      <c r="M1999" s="24"/>
      <c r="N1999" s="24"/>
      <c r="O1999" s="24"/>
      <c r="P1999" s="24"/>
      <c r="Q1999" s="24"/>
      <c r="R1999" s="21"/>
    </row>
    <row r="2000" spans="1:18" x14ac:dyDescent="0.35">
      <c r="A2000" s="20"/>
      <c r="B2000" s="22"/>
      <c r="C2000" s="25"/>
      <c r="D2000" s="26"/>
      <c r="E2000" s="24"/>
      <c r="F2000" s="24"/>
      <c r="G2000" s="24"/>
      <c r="H2000" s="24"/>
      <c r="I2000" s="24"/>
      <c r="J2000" s="24"/>
      <c r="K2000" s="24"/>
      <c r="L2000" s="24"/>
      <c r="M2000" s="24"/>
      <c r="N2000" s="24"/>
      <c r="O2000" s="24"/>
      <c r="P2000" s="24"/>
      <c r="Q2000" s="24"/>
      <c r="R2000" s="21"/>
    </row>
    <row r="2001" spans="1:18" x14ac:dyDescent="0.35">
      <c r="A2001" s="20"/>
      <c r="B2001" s="22"/>
      <c r="C2001" s="25"/>
      <c r="D2001" s="26"/>
      <c r="E2001" s="24"/>
      <c r="F2001" s="24"/>
      <c r="G2001" s="24"/>
      <c r="H2001" s="24"/>
      <c r="I2001" s="24"/>
      <c r="J2001" s="24"/>
      <c r="K2001" s="24"/>
      <c r="L2001" s="24"/>
      <c r="M2001" s="24"/>
      <c r="N2001" s="24"/>
      <c r="O2001" s="24"/>
      <c r="P2001" s="24"/>
      <c r="Q2001" s="24"/>
      <c r="R2001" s="21"/>
    </row>
    <row r="2002" spans="1:18" x14ac:dyDescent="0.35">
      <c r="A2002" s="20"/>
      <c r="B2002" s="22"/>
      <c r="C2002" s="25"/>
      <c r="D2002" s="26"/>
      <c r="E2002" s="24"/>
      <c r="F2002" s="24"/>
      <c r="G2002" s="24"/>
      <c r="H2002" s="24"/>
      <c r="I2002" s="24"/>
      <c r="J2002" s="24"/>
      <c r="K2002" s="24"/>
      <c r="L2002" s="24"/>
      <c r="M2002" s="24"/>
      <c r="N2002" s="24"/>
      <c r="O2002" s="24"/>
      <c r="P2002" s="24"/>
      <c r="Q2002" s="24"/>
      <c r="R2002" s="21"/>
    </row>
    <row r="2003" spans="1:18" x14ac:dyDescent="0.35">
      <c r="A2003" s="20"/>
      <c r="B2003" s="22"/>
      <c r="C2003" s="25"/>
      <c r="D2003" s="26"/>
      <c r="E2003" s="24"/>
      <c r="F2003" s="24"/>
      <c r="G2003" s="24"/>
      <c r="H2003" s="24"/>
      <c r="I2003" s="24"/>
      <c r="J2003" s="24"/>
      <c r="K2003" s="24"/>
      <c r="L2003" s="24"/>
      <c r="M2003" s="24"/>
      <c r="N2003" s="24"/>
      <c r="O2003" s="24"/>
      <c r="P2003" s="24"/>
      <c r="Q2003" s="24"/>
      <c r="R2003" s="21"/>
    </row>
    <row r="2004" spans="1:18" x14ac:dyDescent="0.35">
      <c r="A2004" s="20"/>
      <c r="B2004" s="22"/>
      <c r="C2004" s="25"/>
      <c r="D2004" s="26"/>
      <c r="E2004" s="24"/>
      <c r="F2004" s="24"/>
      <c r="G2004" s="24"/>
      <c r="H2004" s="24"/>
      <c r="I2004" s="24"/>
      <c r="J2004" s="24"/>
      <c r="K2004" s="24"/>
      <c r="L2004" s="24"/>
      <c r="M2004" s="24"/>
      <c r="N2004" s="24"/>
      <c r="O2004" s="24"/>
      <c r="P2004" s="24"/>
      <c r="Q2004" s="24"/>
      <c r="R2004" s="14"/>
    </row>
    <row r="2005" spans="1:18" x14ac:dyDescent="0.35">
      <c r="A2005" s="20"/>
      <c r="B2005" s="22"/>
      <c r="C2005" s="25"/>
      <c r="D2005" s="26"/>
      <c r="E2005" s="24"/>
      <c r="F2005" s="24"/>
      <c r="G2005" s="24"/>
      <c r="H2005" s="24"/>
      <c r="I2005" s="24"/>
      <c r="J2005" s="24"/>
      <c r="K2005" s="24"/>
      <c r="L2005" s="24"/>
      <c r="M2005" s="24"/>
      <c r="N2005" s="24"/>
      <c r="O2005" s="24"/>
      <c r="P2005" s="24"/>
      <c r="Q2005" s="24"/>
      <c r="R2005" s="14"/>
    </row>
    <row r="2006" spans="1:18" x14ac:dyDescent="0.35">
      <c r="A2006" s="20"/>
      <c r="B2006" s="22"/>
      <c r="C2006" s="25"/>
      <c r="D2006" s="26"/>
      <c r="E2006" s="24"/>
      <c r="F2006" s="24"/>
      <c r="G2006" s="24"/>
      <c r="H2006" s="24"/>
      <c r="I2006" s="24"/>
      <c r="J2006" s="24"/>
      <c r="K2006" s="24"/>
      <c r="L2006" s="24"/>
      <c r="M2006" s="24"/>
      <c r="N2006" s="24"/>
      <c r="O2006" s="24"/>
      <c r="P2006" s="24"/>
      <c r="Q2006" s="24"/>
      <c r="R2006" s="14"/>
    </row>
    <row r="2007" spans="1:18" x14ac:dyDescent="0.35">
      <c r="A2007" s="20"/>
      <c r="B2007" s="22"/>
      <c r="C2007" s="25"/>
      <c r="D2007" s="26"/>
      <c r="E2007" s="24"/>
      <c r="F2007" s="24"/>
      <c r="G2007" s="24"/>
      <c r="H2007" s="24"/>
      <c r="I2007" s="24"/>
      <c r="J2007" s="24"/>
      <c r="K2007" s="24"/>
      <c r="L2007" s="24"/>
      <c r="M2007" s="24"/>
      <c r="N2007" s="24"/>
      <c r="O2007" s="24"/>
      <c r="P2007" s="24"/>
      <c r="Q2007" s="24"/>
      <c r="R2007" s="14"/>
    </row>
    <row r="2008" spans="1:18" x14ac:dyDescent="0.35">
      <c r="A2008" s="20"/>
      <c r="B2008" s="22"/>
      <c r="C2008" s="25"/>
      <c r="D2008" s="26"/>
      <c r="E2008" s="24"/>
      <c r="F2008" s="24"/>
      <c r="G2008" s="24"/>
      <c r="H2008" s="24"/>
      <c r="I2008" s="24"/>
      <c r="J2008" s="24"/>
      <c r="K2008" s="24"/>
      <c r="L2008" s="24"/>
      <c r="M2008" s="24"/>
      <c r="N2008" s="24"/>
      <c r="O2008" s="24"/>
      <c r="P2008" s="24"/>
      <c r="Q2008" s="24"/>
      <c r="R2008" s="14"/>
    </row>
    <row r="2009" spans="1:18" x14ac:dyDescent="0.35">
      <c r="A2009" s="20"/>
      <c r="B2009" s="22"/>
      <c r="C2009" s="25"/>
      <c r="D2009" s="26"/>
      <c r="E2009" s="24"/>
      <c r="F2009" s="24"/>
      <c r="G2009" s="24"/>
      <c r="H2009" s="24"/>
      <c r="I2009" s="24"/>
      <c r="J2009" s="24"/>
      <c r="K2009" s="24"/>
      <c r="L2009" s="24"/>
      <c r="M2009" s="24"/>
      <c r="N2009" s="24"/>
      <c r="O2009" s="24"/>
      <c r="P2009" s="24"/>
      <c r="Q2009" s="24"/>
      <c r="R2009" s="14"/>
    </row>
    <row r="2010" spans="1:18" x14ac:dyDescent="0.35">
      <c r="A2010" s="20"/>
      <c r="B2010" s="22"/>
      <c r="C2010" s="25"/>
      <c r="D2010" s="26"/>
      <c r="E2010" s="24"/>
      <c r="F2010" s="24"/>
      <c r="G2010" s="24"/>
      <c r="H2010" s="24"/>
      <c r="I2010" s="24"/>
      <c r="J2010" s="24"/>
      <c r="K2010" s="24"/>
      <c r="L2010" s="24"/>
      <c r="M2010" s="24"/>
      <c r="N2010" s="24"/>
      <c r="O2010" s="24"/>
      <c r="P2010" s="24"/>
      <c r="Q2010" s="24"/>
      <c r="R2010" s="14"/>
    </row>
    <row r="2011" spans="1:18" x14ac:dyDescent="0.35">
      <c r="A2011" s="20"/>
      <c r="B2011" s="22"/>
      <c r="C2011" s="25"/>
      <c r="D2011" s="26"/>
      <c r="E2011" s="24"/>
      <c r="F2011" s="24"/>
      <c r="G2011" s="24"/>
      <c r="H2011" s="24"/>
      <c r="I2011" s="24"/>
      <c r="J2011" s="24"/>
      <c r="K2011" s="24"/>
      <c r="L2011" s="24"/>
      <c r="M2011" s="24"/>
      <c r="N2011" s="24"/>
      <c r="O2011" s="24"/>
      <c r="P2011" s="24"/>
      <c r="Q2011" s="24"/>
      <c r="R2011" s="14"/>
    </row>
    <row r="2012" spans="1:18" x14ac:dyDescent="0.35">
      <c r="A2012" s="20"/>
      <c r="B2012" s="22"/>
      <c r="C2012" s="25"/>
      <c r="D2012" s="26"/>
      <c r="E2012" s="24"/>
      <c r="F2012" s="24"/>
      <c r="G2012" s="24"/>
      <c r="H2012" s="24"/>
      <c r="I2012" s="24"/>
      <c r="J2012" s="24"/>
      <c r="K2012" s="24"/>
      <c r="L2012" s="24"/>
      <c r="M2012" s="24"/>
      <c r="N2012" s="24"/>
      <c r="O2012" s="24"/>
      <c r="P2012" s="24"/>
      <c r="Q2012" s="24"/>
      <c r="R2012" s="14"/>
    </row>
    <row r="2013" spans="1:18" x14ac:dyDescent="0.35">
      <c r="A2013" s="20"/>
      <c r="B2013" s="22"/>
      <c r="C2013" s="25"/>
      <c r="D2013" s="26"/>
      <c r="E2013" s="24"/>
      <c r="F2013" s="24"/>
      <c r="G2013" s="24"/>
      <c r="H2013" s="24"/>
      <c r="I2013" s="24"/>
      <c r="J2013" s="24"/>
      <c r="K2013" s="24"/>
      <c r="L2013" s="24"/>
      <c r="M2013" s="24"/>
      <c r="N2013" s="24"/>
      <c r="O2013" s="24"/>
      <c r="P2013" s="24"/>
      <c r="Q2013" s="24"/>
      <c r="R2013" s="14"/>
    </row>
    <row r="2014" spans="1:18" x14ac:dyDescent="0.35">
      <c r="A2014" s="20"/>
      <c r="B2014" s="22"/>
      <c r="C2014" s="25"/>
      <c r="D2014" s="26"/>
      <c r="E2014" s="24"/>
      <c r="F2014" s="24"/>
      <c r="G2014" s="24"/>
      <c r="H2014" s="24"/>
      <c r="I2014" s="24"/>
      <c r="J2014" s="24"/>
      <c r="K2014" s="24"/>
      <c r="L2014" s="24"/>
      <c r="M2014" s="24"/>
      <c r="N2014" s="24"/>
      <c r="O2014" s="24"/>
      <c r="P2014" s="24"/>
      <c r="Q2014" s="24"/>
      <c r="R2014" s="14"/>
    </row>
    <row r="2015" spans="1:18" x14ac:dyDescent="0.35">
      <c r="A2015" s="20"/>
      <c r="B2015" s="22"/>
      <c r="C2015" s="25"/>
      <c r="D2015" s="26"/>
      <c r="E2015" s="24"/>
      <c r="F2015" s="24"/>
      <c r="G2015" s="24"/>
      <c r="H2015" s="24"/>
      <c r="I2015" s="24"/>
      <c r="J2015" s="24"/>
      <c r="K2015" s="24"/>
      <c r="L2015" s="24"/>
      <c r="M2015" s="24"/>
      <c r="N2015" s="24"/>
      <c r="O2015" s="24"/>
      <c r="P2015" s="24"/>
      <c r="Q2015" s="24"/>
      <c r="R2015" s="14"/>
    </row>
    <row r="2016" spans="1:18" x14ac:dyDescent="0.35">
      <c r="A2016" s="20"/>
      <c r="B2016" s="22"/>
      <c r="C2016" s="25"/>
      <c r="D2016" s="26"/>
      <c r="E2016" s="24"/>
      <c r="F2016" s="24"/>
      <c r="G2016" s="24"/>
      <c r="H2016" s="24"/>
      <c r="I2016" s="24"/>
      <c r="J2016" s="24"/>
      <c r="K2016" s="24"/>
      <c r="L2016" s="24"/>
      <c r="M2016" s="24"/>
      <c r="N2016" s="24"/>
      <c r="O2016" s="24"/>
      <c r="P2016" s="24"/>
      <c r="Q2016" s="24"/>
      <c r="R2016" s="14"/>
    </row>
    <row r="2017" spans="1:18" x14ac:dyDescent="0.35">
      <c r="A2017" s="20"/>
      <c r="B2017" s="22"/>
      <c r="C2017" s="25"/>
      <c r="D2017" s="26"/>
      <c r="E2017" s="24"/>
      <c r="F2017" s="24"/>
      <c r="G2017" s="24"/>
      <c r="H2017" s="24"/>
      <c r="I2017" s="24"/>
      <c r="J2017" s="24"/>
      <c r="K2017" s="24"/>
      <c r="L2017" s="24"/>
      <c r="M2017" s="24"/>
      <c r="N2017" s="24"/>
      <c r="O2017" s="24"/>
      <c r="P2017" s="24"/>
      <c r="Q2017" s="24"/>
      <c r="R2017" s="14"/>
    </row>
    <row r="2018" spans="1:18" x14ac:dyDescent="0.35">
      <c r="A2018" s="20"/>
      <c r="B2018" s="22"/>
      <c r="C2018" s="25"/>
      <c r="D2018" s="26"/>
      <c r="E2018" s="24"/>
      <c r="F2018" s="24"/>
      <c r="G2018" s="24"/>
      <c r="H2018" s="24"/>
      <c r="I2018" s="24"/>
      <c r="J2018" s="24"/>
      <c r="K2018" s="24"/>
      <c r="L2018" s="24"/>
      <c r="M2018" s="24"/>
      <c r="N2018" s="24"/>
      <c r="O2018" s="24"/>
      <c r="P2018" s="24"/>
      <c r="Q2018" s="24"/>
      <c r="R2018" s="14"/>
    </row>
    <row r="2019" spans="1:18" x14ac:dyDescent="0.35">
      <c r="A2019" s="20"/>
      <c r="B2019" s="22"/>
      <c r="C2019" s="25"/>
      <c r="D2019" s="26"/>
      <c r="E2019" s="24"/>
      <c r="F2019" s="24"/>
      <c r="G2019" s="24"/>
      <c r="H2019" s="24"/>
      <c r="I2019" s="24"/>
      <c r="J2019" s="24"/>
      <c r="K2019" s="24"/>
      <c r="L2019" s="24"/>
      <c r="M2019" s="24"/>
      <c r="N2019" s="24"/>
      <c r="O2019" s="24"/>
      <c r="P2019" s="24"/>
      <c r="Q2019" s="24"/>
      <c r="R2019" s="21"/>
    </row>
    <row r="2020" spans="1:18" x14ac:dyDescent="0.35">
      <c r="A2020" s="20"/>
      <c r="B2020" s="22"/>
      <c r="C2020" s="25"/>
      <c r="D2020" s="26"/>
      <c r="E2020" s="24"/>
      <c r="F2020" s="24"/>
      <c r="G2020" s="24"/>
      <c r="H2020" s="24"/>
      <c r="I2020" s="24"/>
      <c r="J2020" s="24"/>
      <c r="K2020" s="24"/>
      <c r="L2020" s="24"/>
      <c r="M2020" s="24"/>
      <c r="N2020" s="24"/>
      <c r="O2020" s="24"/>
      <c r="P2020" s="24"/>
      <c r="Q2020" s="24"/>
      <c r="R2020" s="21"/>
    </row>
    <row r="2021" spans="1:18" x14ac:dyDescent="0.35">
      <c r="A2021" s="20"/>
      <c r="B2021" s="22"/>
      <c r="C2021" s="25"/>
      <c r="D2021" s="26"/>
      <c r="E2021" s="24"/>
      <c r="F2021" s="24"/>
      <c r="G2021" s="24"/>
      <c r="H2021" s="24"/>
      <c r="I2021" s="24"/>
      <c r="J2021" s="24"/>
      <c r="K2021" s="24"/>
      <c r="L2021" s="24"/>
      <c r="M2021" s="24"/>
      <c r="N2021" s="24"/>
      <c r="O2021" s="24"/>
      <c r="P2021" s="24"/>
      <c r="Q2021" s="24"/>
      <c r="R2021" s="21"/>
    </row>
    <row r="2022" spans="1:18" x14ac:dyDescent="0.35">
      <c r="A2022" s="20"/>
      <c r="B2022" s="22"/>
      <c r="C2022" s="25"/>
      <c r="D2022" s="26"/>
      <c r="E2022" s="24"/>
      <c r="F2022" s="24"/>
      <c r="G2022" s="24"/>
      <c r="H2022" s="24"/>
      <c r="I2022" s="24"/>
      <c r="J2022" s="24"/>
      <c r="K2022" s="24"/>
      <c r="L2022" s="24"/>
      <c r="M2022" s="24"/>
      <c r="N2022" s="24"/>
      <c r="O2022" s="24"/>
      <c r="P2022" s="24"/>
      <c r="Q2022" s="24"/>
      <c r="R2022" s="21"/>
    </row>
    <row r="2023" spans="1:18" x14ac:dyDescent="0.35">
      <c r="A2023" s="20"/>
      <c r="B2023" s="22"/>
      <c r="C2023" s="25"/>
      <c r="D2023" s="26"/>
      <c r="E2023" s="24"/>
      <c r="F2023" s="24"/>
      <c r="G2023" s="24"/>
      <c r="H2023" s="24"/>
      <c r="I2023" s="24"/>
      <c r="J2023" s="24"/>
      <c r="K2023" s="24"/>
      <c r="L2023" s="24"/>
      <c r="M2023" s="24"/>
      <c r="N2023" s="24"/>
      <c r="O2023" s="24"/>
      <c r="P2023" s="24"/>
      <c r="Q2023" s="24"/>
      <c r="R2023" s="21"/>
    </row>
    <row r="2024" spans="1:18" x14ac:dyDescent="0.35">
      <c r="A2024" s="20"/>
      <c r="B2024" s="22"/>
      <c r="C2024" s="25"/>
      <c r="D2024" s="26"/>
      <c r="E2024" s="24"/>
      <c r="F2024" s="24"/>
      <c r="G2024" s="24"/>
      <c r="H2024" s="24"/>
      <c r="I2024" s="24"/>
      <c r="J2024" s="24"/>
      <c r="K2024" s="24"/>
      <c r="L2024" s="24"/>
      <c r="M2024" s="24"/>
      <c r="N2024" s="24"/>
      <c r="O2024" s="24"/>
      <c r="P2024" s="24"/>
      <c r="Q2024" s="24"/>
      <c r="R2024" s="21"/>
    </row>
    <row r="2025" spans="1:18" x14ac:dyDescent="0.35">
      <c r="A2025" s="20"/>
      <c r="B2025" s="22"/>
      <c r="C2025" s="25"/>
      <c r="D2025" s="26"/>
      <c r="E2025" s="24"/>
      <c r="F2025" s="24"/>
      <c r="G2025" s="24"/>
      <c r="H2025" s="24"/>
      <c r="I2025" s="24"/>
      <c r="J2025" s="24"/>
      <c r="K2025" s="24"/>
      <c r="L2025" s="24"/>
      <c r="M2025" s="24"/>
      <c r="N2025" s="24"/>
      <c r="O2025" s="24"/>
      <c r="P2025" s="24"/>
      <c r="Q2025" s="24"/>
      <c r="R2025" s="21"/>
    </row>
    <row r="2026" spans="1:18" x14ac:dyDescent="0.35">
      <c r="A2026" s="20"/>
      <c r="B2026" s="22"/>
      <c r="C2026" s="25"/>
      <c r="D2026" s="26"/>
      <c r="E2026" s="24"/>
      <c r="F2026" s="24"/>
      <c r="G2026" s="24"/>
      <c r="H2026" s="24"/>
      <c r="I2026" s="24"/>
      <c r="J2026" s="24"/>
      <c r="K2026" s="24"/>
      <c r="L2026" s="24"/>
      <c r="M2026" s="24"/>
      <c r="N2026" s="24"/>
      <c r="O2026" s="24"/>
      <c r="P2026" s="24"/>
      <c r="Q2026" s="24"/>
      <c r="R2026" s="21"/>
    </row>
    <row r="2027" spans="1:18" x14ac:dyDescent="0.35">
      <c r="A2027" s="20"/>
      <c r="B2027" s="22"/>
      <c r="C2027" s="25"/>
      <c r="D2027" s="26"/>
      <c r="E2027" s="24"/>
      <c r="F2027" s="24"/>
      <c r="G2027" s="24"/>
      <c r="H2027" s="24"/>
      <c r="I2027" s="24"/>
      <c r="J2027" s="24"/>
      <c r="K2027" s="24"/>
      <c r="L2027" s="24"/>
      <c r="M2027" s="24"/>
      <c r="N2027" s="24"/>
      <c r="O2027" s="24"/>
      <c r="P2027" s="24"/>
      <c r="Q2027" s="24"/>
      <c r="R2027" s="21"/>
    </row>
    <row r="2028" spans="1:18" x14ac:dyDescent="0.35">
      <c r="A2028" s="20"/>
      <c r="B2028" s="22"/>
      <c r="C2028" s="25"/>
      <c r="D2028" s="26"/>
      <c r="E2028" s="24"/>
      <c r="F2028" s="24"/>
      <c r="G2028" s="24"/>
      <c r="H2028" s="24"/>
      <c r="I2028" s="24"/>
      <c r="J2028" s="24"/>
      <c r="K2028" s="24"/>
      <c r="L2028" s="24"/>
      <c r="M2028" s="24"/>
      <c r="N2028" s="24"/>
      <c r="O2028" s="24"/>
      <c r="P2028" s="24"/>
      <c r="Q2028" s="24"/>
      <c r="R2028" s="21"/>
    </row>
    <row r="2029" spans="1:18" x14ac:dyDescent="0.35">
      <c r="A2029" s="20"/>
      <c r="B2029" s="22"/>
      <c r="C2029" s="25"/>
      <c r="D2029" s="26"/>
      <c r="E2029" s="24"/>
      <c r="F2029" s="24"/>
      <c r="G2029" s="24"/>
      <c r="H2029" s="24"/>
      <c r="I2029" s="24"/>
      <c r="J2029" s="24"/>
      <c r="K2029" s="24"/>
      <c r="L2029" s="24"/>
      <c r="M2029" s="24"/>
      <c r="N2029" s="24"/>
      <c r="O2029" s="24"/>
      <c r="P2029" s="24"/>
      <c r="Q2029" s="24"/>
      <c r="R2029" s="21"/>
    </row>
    <row r="2030" spans="1:18" x14ac:dyDescent="0.35">
      <c r="A2030" s="20"/>
      <c r="B2030" s="22"/>
      <c r="C2030" s="25"/>
      <c r="D2030" s="26"/>
      <c r="E2030" s="24"/>
      <c r="F2030" s="24"/>
      <c r="G2030" s="24"/>
      <c r="H2030" s="24"/>
      <c r="I2030" s="24"/>
      <c r="J2030" s="24"/>
      <c r="K2030" s="24"/>
      <c r="L2030" s="24"/>
      <c r="M2030" s="24"/>
      <c r="N2030" s="24"/>
      <c r="O2030" s="24"/>
      <c r="P2030" s="24"/>
      <c r="Q2030" s="24"/>
      <c r="R2030" s="21"/>
    </row>
    <row r="2031" spans="1:18" x14ac:dyDescent="0.35">
      <c r="A2031" s="20"/>
      <c r="B2031" s="22"/>
      <c r="C2031" s="25"/>
      <c r="D2031" s="26"/>
      <c r="E2031" s="24"/>
      <c r="F2031" s="24"/>
      <c r="G2031" s="24"/>
      <c r="H2031" s="24"/>
      <c r="I2031" s="24"/>
      <c r="J2031" s="24"/>
      <c r="K2031" s="24"/>
      <c r="L2031" s="24"/>
      <c r="M2031" s="24"/>
      <c r="N2031" s="24"/>
      <c r="O2031" s="24"/>
      <c r="P2031" s="24"/>
      <c r="Q2031" s="24"/>
      <c r="R2031" s="21"/>
    </row>
    <row r="2032" spans="1:18" x14ac:dyDescent="0.35">
      <c r="A2032" s="20"/>
      <c r="B2032" s="22"/>
      <c r="C2032" s="25"/>
      <c r="D2032" s="26"/>
      <c r="E2032" s="24"/>
      <c r="F2032" s="24"/>
      <c r="G2032" s="24"/>
      <c r="H2032" s="24"/>
      <c r="I2032" s="24"/>
      <c r="J2032" s="24"/>
      <c r="K2032" s="24"/>
      <c r="L2032" s="24"/>
      <c r="M2032" s="24"/>
      <c r="N2032" s="24"/>
      <c r="O2032" s="24"/>
      <c r="P2032" s="24"/>
      <c r="Q2032" s="24"/>
      <c r="R2032" s="21"/>
    </row>
    <row r="2033" spans="1:18" x14ac:dyDescent="0.35">
      <c r="A2033" s="20"/>
      <c r="B2033" s="22"/>
      <c r="C2033" s="25"/>
      <c r="D2033" s="26"/>
      <c r="E2033" s="24"/>
      <c r="F2033" s="24"/>
      <c r="G2033" s="24"/>
      <c r="H2033" s="24"/>
      <c r="I2033" s="24"/>
      <c r="J2033" s="24"/>
      <c r="K2033" s="24"/>
      <c r="L2033" s="24"/>
      <c r="M2033" s="24"/>
      <c r="N2033" s="24"/>
      <c r="O2033" s="24"/>
      <c r="P2033" s="24"/>
      <c r="Q2033" s="24"/>
      <c r="R2033" s="21"/>
    </row>
    <row r="2034" spans="1:18" x14ac:dyDescent="0.35">
      <c r="A2034" s="20"/>
      <c r="B2034" s="22"/>
      <c r="C2034" s="25"/>
      <c r="D2034" s="26"/>
      <c r="E2034" s="24"/>
      <c r="F2034" s="24"/>
      <c r="G2034" s="24"/>
      <c r="H2034" s="24"/>
      <c r="I2034" s="24"/>
      <c r="J2034" s="24"/>
      <c r="K2034" s="24"/>
      <c r="L2034" s="24"/>
      <c r="M2034" s="24"/>
      <c r="N2034" s="24"/>
      <c r="O2034" s="24"/>
      <c r="P2034" s="24"/>
      <c r="Q2034" s="24"/>
      <c r="R2034" s="21"/>
    </row>
    <row r="2035" spans="1:18" x14ac:dyDescent="0.35">
      <c r="A2035" s="20"/>
      <c r="B2035" s="22"/>
      <c r="C2035" s="25"/>
      <c r="D2035" s="26"/>
      <c r="E2035" s="24"/>
      <c r="F2035" s="24"/>
      <c r="G2035" s="24"/>
      <c r="H2035" s="24"/>
      <c r="I2035" s="24"/>
      <c r="J2035" s="24"/>
      <c r="K2035" s="24"/>
      <c r="L2035" s="24"/>
      <c r="M2035" s="24"/>
      <c r="N2035" s="24"/>
      <c r="O2035" s="24"/>
      <c r="P2035" s="24"/>
      <c r="Q2035" s="24"/>
      <c r="R2035" s="14"/>
    </row>
    <row r="2036" spans="1:18" x14ac:dyDescent="0.35">
      <c r="A2036" s="20"/>
      <c r="B2036" s="22"/>
      <c r="C2036" s="25"/>
      <c r="D2036" s="26"/>
      <c r="E2036" s="24"/>
      <c r="F2036" s="24"/>
      <c r="G2036" s="24"/>
      <c r="H2036" s="24"/>
      <c r="I2036" s="24"/>
      <c r="J2036" s="24"/>
      <c r="K2036" s="24"/>
      <c r="L2036" s="24"/>
      <c r="M2036" s="24"/>
      <c r="N2036" s="24"/>
      <c r="O2036" s="24"/>
      <c r="P2036" s="24"/>
      <c r="Q2036" s="24"/>
      <c r="R2036" s="14"/>
    </row>
    <row r="2037" spans="1:18" x14ac:dyDescent="0.35">
      <c r="A2037" s="20"/>
      <c r="B2037" s="22"/>
      <c r="C2037" s="25"/>
      <c r="D2037" s="26"/>
      <c r="E2037" s="24"/>
      <c r="F2037" s="24"/>
      <c r="G2037" s="24"/>
      <c r="H2037" s="24"/>
      <c r="I2037" s="24"/>
      <c r="J2037" s="24"/>
      <c r="K2037" s="24"/>
      <c r="L2037" s="24"/>
      <c r="M2037" s="24"/>
      <c r="N2037" s="24"/>
      <c r="O2037" s="24"/>
      <c r="P2037" s="24"/>
      <c r="Q2037" s="24"/>
      <c r="R2037" s="14"/>
    </row>
    <row r="2038" spans="1:18" x14ac:dyDescent="0.35">
      <c r="A2038" s="20"/>
      <c r="B2038" s="22"/>
      <c r="C2038" s="25"/>
      <c r="D2038" s="26"/>
      <c r="E2038" s="24"/>
      <c r="F2038" s="24"/>
      <c r="G2038" s="24"/>
      <c r="H2038" s="24"/>
      <c r="I2038" s="24"/>
      <c r="J2038" s="24"/>
      <c r="K2038" s="24"/>
      <c r="L2038" s="24"/>
      <c r="M2038" s="24"/>
      <c r="N2038" s="24"/>
      <c r="O2038" s="24"/>
      <c r="P2038" s="24"/>
      <c r="Q2038" s="24"/>
      <c r="R2038" s="14"/>
    </row>
    <row r="2039" spans="1:18" x14ac:dyDescent="0.35">
      <c r="A2039" s="20"/>
      <c r="B2039" s="22"/>
      <c r="C2039" s="25"/>
      <c r="D2039" s="26"/>
      <c r="E2039" s="24"/>
      <c r="F2039" s="24"/>
      <c r="G2039" s="24"/>
      <c r="H2039" s="24"/>
      <c r="I2039" s="24"/>
      <c r="J2039" s="24"/>
      <c r="K2039" s="24"/>
      <c r="L2039" s="24"/>
      <c r="M2039" s="24"/>
      <c r="N2039" s="24"/>
      <c r="O2039" s="24"/>
      <c r="P2039" s="24"/>
      <c r="Q2039" s="24"/>
      <c r="R2039" s="14"/>
    </row>
    <row r="2040" spans="1:18" x14ac:dyDescent="0.35">
      <c r="A2040" s="20"/>
      <c r="B2040" s="22"/>
      <c r="C2040" s="25"/>
      <c r="D2040" s="26"/>
      <c r="E2040" s="24"/>
      <c r="F2040" s="24"/>
      <c r="G2040" s="24"/>
      <c r="H2040" s="24"/>
      <c r="I2040" s="24"/>
      <c r="J2040" s="24"/>
      <c r="K2040" s="24"/>
      <c r="L2040" s="24"/>
      <c r="M2040" s="24"/>
      <c r="N2040" s="24"/>
      <c r="O2040" s="24"/>
      <c r="P2040" s="24"/>
      <c r="Q2040" s="24"/>
      <c r="R2040" s="14"/>
    </row>
    <row r="2041" spans="1:18" x14ac:dyDescent="0.35">
      <c r="A2041" s="20"/>
      <c r="B2041" s="22"/>
      <c r="C2041" s="25"/>
      <c r="D2041" s="26"/>
      <c r="E2041" s="24"/>
      <c r="F2041" s="24"/>
      <c r="G2041" s="24"/>
      <c r="H2041" s="24"/>
      <c r="I2041" s="24"/>
      <c r="J2041" s="24"/>
      <c r="K2041" s="24"/>
      <c r="L2041" s="24"/>
      <c r="M2041" s="24"/>
      <c r="N2041" s="24"/>
      <c r="O2041" s="24"/>
      <c r="P2041" s="24"/>
      <c r="Q2041" s="24"/>
      <c r="R2041" s="14"/>
    </row>
    <row r="2042" spans="1:18" x14ac:dyDescent="0.35">
      <c r="A2042" s="20"/>
      <c r="B2042" s="22"/>
      <c r="C2042" s="25"/>
      <c r="D2042" s="26"/>
      <c r="E2042" s="24"/>
      <c r="F2042" s="24"/>
      <c r="G2042" s="24"/>
      <c r="H2042" s="24"/>
      <c r="I2042" s="24"/>
      <c r="J2042" s="24"/>
      <c r="K2042" s="24"/>
      <c r="L2042" s="24"/>
      <c r="M2042" s="24"/>
      <c r="N2042" s="24"/>
      <c r="O2042" s="24"/>
      <c r="P2042" s="24"/>
      <c r="Q2042" s="24"/>
      <c r="R2042" s="21"/>
    </row>
    <row r="2043" spans="1:18" x14ac:dyDescent="0.35">
      <c r="A2043" s="20"/>
      <c r="B2043" s="22"/>
      <c r="C2043" s="25"/>
      <c r="D2043" s="26"/>
      <c r="E2043" s="24"/>
      <c r="F2043" s="24"/>
      <c r="G2043" s="24"/>
      <c r="H2043" s="24"/>
      <c r="I2043" s="24"/>
      <c r="J2043" s="24"/>
      <c r="K2043" s="24"/>
      <c r="L2043" s="24"/>
      <c r="M2043" s="24"/>
      <c r="N2043" s="24"/>
      <c r="O2043" s="24"/>
      <c r="P2043" s="24"/>
      <c r="Q2043" s="24"/>
      <c r="R2043" s="21"/>
    </row>
    <row r="2044" spans="1:18" x14ac:dyDescent="0.35">
      <c r="A2044" s="20"/>
      <c r="B2044" s="22"/>
      <c r="C2044" s="25"/>
      <c r="D2044" s="26"/>
      <c r="E2044" s="24"/>
      <c r="F2044" s="24"/>
      <c r="G2044" s="24"/>
      <c r="H2044" s="24"/>
      <c r="I2044" s="24"/>
      <c r="J2044" s="24"/>
      <c r="K2044" s="24"/>
      <c r="L2044" s="24"/>
      <c r="M2044" s="24"/>
      <c r="N2044" s="24"/>
      <c r="O2044" s="24"/>
      <c r="P2044" s="24"/>
      <c r="Q2044" s="24"/>
      <c r="R2044" s="21"/>
    </row>
    <row r="2045" spans="1:18" x14ac:dyDescent="0.35">
      <c r="A2045" s="20"/>
      <c r="B2045" s="22"/>
      <c r="C2045" s="25"/>
      <c r="D2045" s="26"/>
      <c r="E2045" s="24"/>
      <c r="F2045" s="24"/>
      <c r="G2045" s="24"/>
      <c r="H2045" s="24"/>
      <c r="I2045" s="24"/>
      <c r="J2045" s="24"/>
      <c r="K2045" s="24"/>
      <c r="L2045" s="24"/>
      <c r="M2045" s="24"/>
      <c r="N2045" s="24"/>
      <c r="O2045" s="24"/>
      <c r="P2045" s="24"/>
      <c r="Q2045" s="24"/>
      <c r="R2045" s="21"/>
    </row>
    <row r="2046" spans="1:18" x14ac:dyDescent="0.35">
      <c r="A2046" s="20"/>
      <c r="B2046" s="22"/>
      <c r="C2046" s="25"/>
      <c r="D2046" s="26"/>
      <c r="E2046" s="24"/>
      <c r="F2046" s="24"/>
      <c r="G2046" s="24"/>
      <c r="H2046" s="24"/>
      <c r="I2046" s="24"/>
      <c r="J2046" s="24"/>
      <c r="K2046" s="24"/>
      <c r="L2046" s="24"/>
      <c r="M2046" s="24"/>
      <c r="N2046" s="24"/>
      <c r="O2046" s="24"/>
      <c r="P2046" s="24"/>
      <c r="Q2046" s="24"/>
      <c r="R2046" s="21"/>
    </row>
    <row r="2047" spans="1:18" x14ac:dyDescent="0.35">
      <c r="A2047" s="20"/>
      <c r="B2047" s="22"/>
      <c r="C2047" s="25"/>
      <c r="D2047" s="26"/>
      <c r="E2047" s="24"/>
      <c r="F2047" s="24"/>
      <c r="G2047" s="24"/>
      <c r="H2047" s="24"/>
      <c r="I2047" s="24"/>
      <c r="J2047" s="24"/>
      <c r="K2047" s="24"/>
      <c r="L2047" s="24"/>
      <c r="M2047" s="24"/>
      <c r="N2047" s="24"/>
      <c r="O2047" s="24"/>
      <c r="P2047" s="24"/>
      <c r="Q2047" s="24"/>
      <c r="R2047" s="21"/>
    </row>
    <row r="2048" spans="1:18" x14ac:dyDescent="0.35">
      <c r="A2048" s="20"/>
      <c r="B2048" s="22"/>
      <c r="C2048" s="25"/>
      <c r="D2048" s="26"/>
      <c r="E2048" s="24"/>
      <c r="F2048" s="24"/>
      <c r="G2048" s="24"/>
      <c r="H2048" s="24"/>
      <c r="I2048" s="24"/>
      <c r="J2048" s="24"/>
      <c r="K2048" s="24"/>
      <c r="L2048" s="24"/>
      <c r="M2048" s="24"/>
      <c r="N2048" s="24"/>
      <c r="O2048" s="24"/>
      <c r="P2048" s="24"/>
      <c r="Q2048" s="24"/>
      <c r="R2048" s="21"/>
    </row>
    <row r="2049" spans="1:18" x14ac:dyDescent="0.35">
      <c r="A2049" s="20"/>
      <c r="B2049" s="22"/>
      <c r="C2049" s="25"/>
      <c r="D2049" s="26"/>
      <c r="E2049" s="24"/>
      <c r="F2049" s="24"/>
      <c r="G2049" s="24"/>
      <c r="H2049" s="24"/>
      <c r="I2049" s="24"/>
      <c r="J2049" s="24"/>
      <c r="K2049" s="24"/>
      <c r="L2049" s="24"/>
      <c r="M2049" s="24"/>
      <c r="N2049" s="24"/>
      <c r="O2049" s="24"/>
      <c r="P2049" s="24"/>
      <c r="Q2049" s="24"/>
      <c r="R2049" s="21"/>
    </row>
    <row r="2050" spans="1:18" x14ac:dyDescent="0.35">
      <c r="A2050" s="20"/>
      <c r="B2050" s="22"/>
      <c r="C2050" s="25"/>
      <c r="D2050" s="26"/>
      <c r="E2050" s="24"/>
      <c r="F2050" s="24"/>
      <c r="G2050" s="24"/>
      <c r="H2050" s="24"/>
      <c r="I2050" s="24"/>
      <c r="J2050" s="24"/>
      <c r="K2050" s="24"/>
      <c r="L2050" s="24"/>
      <c r="M2050" s="24"/>
      <c r="N2050" s="24"/>
      <c r="O2050" s="24"/>
      <c r="P2050" s="24"/>
      <c r="Q2050" s="24"/>
      <c r="R2050" s="21"/>
    </row>
    <row r="2051" spans="1:18" x14ac:dyDescent="0.35">
      <c r="A2051" s="20"/>
      <c r="B2051" s="22"/>
      <c r="C2051" s="25"/>
      <c r="D2051" s="26"/>
      <c r="E2051" s="24"/>
      <c r="F2051" s="24"/>
      <c r="G2051" s="24"/>
      <c r="H2051" s="24"/>
      <c r="I2051" s="24"/>
      <c r="J2051" s="24"/>
      <c r="K2051" s="24"/>
      <c r="L2051" s="24"/>
      <c r="M2051" s="24"/>
      <c r="N2051" s="24"/>
      <c r="O2051" s="24"/>
      <c r="P2051" s="24"/>
      <c r="Q2051" s="24"/>
      <c r="R2051" s="14"/>
    </row>
    <row r="2052" spans="1:18" x14ac:dyDescent="0.35">
      <c r="A2052" s="20"/>
      <c r="B2052" s="22"/>
      <c r="C2052" s="25"/>
      <c r="D2052" s="26"/>
      <c r="E2052" s="24"/>
      <c r="F2052" s="24"/>
      <c r="G2052" s="24"/>
      <c r="H2052" s="24"/>
      <c r="I2052" s="24"/>
      <c r="J2052" s="24"/>
      <c r="K2052" s="24"/>
      <c r="L2052" s="24"/>
      <c r="M2052" s="24"/>
      <c r="N2052" s="24"/>
      <c r="O2052" s="24"/>
      <c r="P2052" s="24"/>
      <c r="Q2052" s="24"/>
      <c r="R2052" s="14"/>
    </row>
    <row r="2053" spans="1:18" x14ac:dyDescent="0.35">
      <c r="A2053" s="20"/>
      <c r="B2053" s="22"/>
      <c r="C2053" s="25"/>
      <c r="D2053" s="26"/>
      <c r="E2053" s="24"/>
      <c r="F2053" s="24"/>
      <c r="G2053" s="24"/>
      <c r="H2053" s="24"/>
      <c r="I2053" s="24"/>
      <c r="J2053" s="24"/>
      <c r="K2053" s="24"/>
      <c r="L2053" s="24"/>
      <c r="M2053" s="24"/>
      <c r="N2053" s="24"/>
      <c r="O2053" s="24"/>
      <c r="P2053" s="24"/>
      <c r="Q2053" s="24"/>
      <c r="R2053" s="14"/>
    </row>
    <row r="2054" spans="1:18" x14ac:dyDescent="0.35">
      <c r="A2054" s="20"/>
      <c r="B2054" s="22"/>
      <c r="C2054" s="25"/>
      <c r="D2054" s="26"/>
      <c r="E2054" s="24"/>
      <c r="F2054" s="24"/>
      <c r="G2054" s="24"/>
      <c r="H2054" s="24"/>
      <c r="I2054" s="24"/>
      <c r="J2054" s="24"/>
      <c r="K2054" s="24"/>
      <c r="L2054" s="24"/>
      <c r="M2054" s="24"/>
      <c r="N2054" s="24"/>
      <c r="O2054" s="24"/>
      <c r="P2054" s="24"/>
      <c r="Q2054" s="24"/>
      <c r="R2054" s="14"/>
    </row>
    <row r="2055" spans="1:18" x14ac:dyDescent="0.35">
      <c r="A2055" s="20"/>
      <c r="B2055" s="22"/>
      <c r="C2055" s="25"/>
      <c r="D2055" s="26"/>
      <c r="E2055" s="24"/>
      <c r="F2055" s="24"/>
      <c r="G2055" s="24"/>
      <c r="H2055" s="24"/>
      <c r="I2055" s="24"/>
      <c r="J2055" s="24"/>
      <c r="K2055" s="24"/>
      <c r="L2055" s="24"/>
      <c r="M2055" s="24"/>
      <c r="N2055" s="24"/>
      <c r="O2055" s="24"/>
      <c r="P2055" s="24"/>
      <c r="Q2055" s="24"/>
      <c r="R2055" s="14"/>
    </row>
    <row r="2056" spans="1:18" x14ac:dyDescent="0.35">
      <c r="A2056" s="20"/>
      <c r="B2056" s="22"/>
      <c r="C2056" s="25"/>
      <c r="D2056" s="26"/>
      <c r="E2056" s="24"/>
      <c r="F2056" s="24"/>
      <c r="G2056" s="24"/>
      <c r="H2056" s="24"/>
      <c r="I2056" s="24"/>
      <c r="J2056" s="24"/>
      <c r="K2056" s="24"/>
      <c r="L2056" s="24"/>
      <c r="M2056" s="24"/>
      <c r="N2056" s="24"/>
      <c r="O2056" s="24"/>
      <c r="P2056" s="24"/>
      <c r="Q2056" s="24"/>
      <c r="R2056" s="14"/>
    </row>
    <row r="2057" spans="1:18" x14ac:dyDescent="0.35">
      <c r="A2057" s="20"/>
      <c r="B2057" s="22"/>
      <c r="C2057" s="25"/>
      <c r="D2057" s="26"/>
      <c r="E2057" s="24"/>
      <c r="F2057" s="24"/>
      <c r="G2057" s="24"/>
      <c r="H2057" s="24"/>
      <c r="I2057" s="24"/>
      <c r="J2057" s="24"/>
      <c r="K2057" s="24"/>
      <c r="L2057" s="24"/>
      <c r="M2057" s="24"/>
      <c r="N2057" s="24"/>
      <c r="O2057" s="24"/>
      <c r="P2057" s="24"/>
      <c r="Q2057" s="24"/>
      <c r="R2057" s="14"/>
    </row>
    <row r="2058" spans="1:18" x14ac:dyDescent="0.35">
      <c r="A2058" s="20"/>
      <c r="B2058" s="22"/>
      <c r="C2058" s="25"/>
      <c r="D2058" s="26"/>
      <c r="E2058" s="24"/>
      <c r="F2058" s="24"/>
      <c r="G2058" s="24"/>
      <c r="H2058" s="24"/>
      <c r="I2058" s="24"/>
      <c r="J2058" s="24"/>
      <c r="K2058" s="24"/>
      <c r="L2058" s="24"/>
      <c r="M2058" s="24"/>
      <c r="N2058" s="24"/>
      <c r="O2058" s="24"/>
      <c r="P2058" s="24"/>
      <c r="Q2058" s="24"/>
      <c r="R2058" s="14"/>
    </row>
    <row r="2059" spans="1:18" x14ac:dyDescent="0.35">
      <c r="A2059" s="20"/>
      <c r="B2059" s="22"/>
      <c r="C2059" s="25"/>
      <c r="D2059" s="26"/>
      <c r="E2059" s="24"/>
      <c r="F2059" s="24"/>
      <c r="G2059" s="24"/>
      <c r="H2059" s="24"/>
      <c r="I2059" s="24"/>
      <c r="J2059" s="24"/>
      <c r="K2059" s="24"/>
      <c r="L2059" s="24"/>
      <c r="M2059" s="24"/>
      <c r="N2059" s="24"/>
      <c r="O2059" s="24"/>
      <c r="P2059" s="24"/>
      <c r="Q2059" s="24"/>
      <c r="R2059" s="14"/>
    </row>
    <row r="2060" spans="1:18" x14ac:dyDescent="0.35">
      <c r="A2060" s="20"/>
      <c r="B2060" s="22"/>
      <c r="C2060" s="25"/>
      <c r="D2060" s="26"/>
      <c r="E2060" s="24"/>
      <c r="F2060" s="24"/>
      <c r="G2060" s="24"/>
      <c r="H2060" s="24"/>
      <c r="I2060" s="24"/>
      <c r="J2060" s="24"/>
      <c r="K2060" s="24"/>
      <c r="L2060" s="24"/>
      <c r="M2060" s="24"/>
      <c r="N2060" s="24"/>
      <c r="O2060" s="24"/>
      <c r="P2060" s="24"/>
      <c r="Q2060" s="24"/>
      <c r="R2060" s="14"/>
    </row>
    <row r="2061" spans="1:18" x14ac:dyDescent="0.35">
      <c r="A2061" s="20"/>
      <c r="B2061" s="22"/>
      <c r="C2061" s="25"/>
      <c r="D2061" s="26"/>
      <c r="E2061" s="24"/>
      <c r="F2061" s="24"/>
      <c r="G2061" s="24"/>
      <c r="H2061" s="24"/>
      <c r="I2061" s="24"/>
      <c r="J2061" s="24"/>
      <c r="K2061" s="24"/>
      <c r="L2061" s="24"/>
      <c r="M2061" s="24"/>
      <c r="N2061" s="24"/>
      <c r="O2061" s="24"/>
      <c r="P2061" s="24"/>
      <c r="Q2061" s="24"/>
      <c r="R2061" s="14"/>
    </row>
    <row r="2062" spans="1:18" x14ac:dyDescent="0.35">
      <c r="A2062" s="20"/>
      <c r="B2062" s="22"/>
      <c r="C2062" s="25"/>
      <c r="D2062" s="26"/>
      <c r="E2062" s="24"/>
      <c r="F2062" s="24"/>
      <c r="G2062" s="24"/>
      <c r="H2062" s="24"/>
      <c r="I2062" s="24"/>
      <c r="J2062" s="24"/>
      <c r="K2062" s="24"/>
      <c r="L2062" s="24"/>
      <c r="M2062" s="24"/>
      <c r="N2062" s="24"/>
      <c r="O2062" s="24"/>
      <c r="P2062" s="24"/>
      <c r="Q2062" s="24"/>
      <c r="R2062" s="14"/>
    </row>
    <row r="2063" spans="1:18" x14ac:dyDescent="0.35">
      <c r="A2063" s="20"/>
      <c r="B2063" s="22"/>
      <c r="C2063" s="25"/>
      <c r="D2063" s="26"/>
      <c r="E2063" s="24"/>
      <c r="F2063" s="24"/>
      <c r="G2063" s="24"/>
      <c r="H2063" s="24"/>
      <c r="I2063" s="24"/>
      <c r="J2063" s="24"/>
      <c r="K2063" s="24"/>
      <c r="L2063" s="24"/>
      <c r="M2063" s="24"/>
      <c r="N2063" s="24"/>
      <c r="O2063" s="24"/>
      <c r="P2063" s="24"/>
      <c r="Q2063" s="24"/>
      <c r="R2063" s="14"/>
    </row>
    <row r="2064" spans="1:18" x14ac:dyDescent="0.35">
      <c r="A2064" s="20"/>
      <c r="B2064" s="22"/>
      <c r="C2064" s="25"/>
      <c r="D2064" s="26"/>
      <c r="E2064" s="24"/>
      <c r="F2064" s="24"/>
      <c r="G2064" s="24"/>
      <c r="H2064" s="24"/>
      <c r="I2064" s="24"/>
      <c r="J2064" s="24"/>
      <c r="K2064" s="24"/>
      <c r="L2064" s="24"/>
      <c r="M2064" s="24"/>
      <c r="N2064" s="24"/>
      <c r="O2064" s="24"/>
      <c r="P2064" s="24"/>
      <c r="Q2064" s="24"/>
      <c r="R2064" s="14"/>
    </row>
    <row r="2065" spans="1:18" x14ac:dyDescent="0.35">
      <c r="A2065" s="20"/>
      <c r="B2065" s="22"/>
      <c r="C2065" s="25"/>
      <c r="D2065" s="26"/>
      <c r="E2065" s="24"/>
      <c r="F2065" s="24"/>
      <c r="G2065" s="24"/>
      <c r="H2065" s="24"/>
      <c r="I2065" s="24"/>
      <c r="J2065" s="24"/>
      <c r="K2065" s="24"/>
      <c r="L2065" s="24"/>
      <c r="M2065" s="24"/>
      <c r="N2065" s="24"/>
      <c r="O2065" s="24"/>
      <c r="P2065" s="24"/>
      <c r="Q2065" s="24"/>
      <c r="R2065" s="14"/>
    </row>
    <row r="2066" spans="1:18" x14ac:dyDescent="0.35">
      <c r="A2066" s="20"/>
      <c r="B2066" s="22"/>
      <c r="C2066" s="25"/>
      <c r="D2066" s="26"/>
      <c r="E2066" s="24"/>
      <c r="F2066" s="24"/>
      <c r="G2066" s="24"/>
      <c r="H2066" s="24"/>
      <c r="I2066" s="24"/>
      <c r="J2066" s="24"/>
      <c r="K2066" s="24"/>
      <c r="L2066" s="24"/>
      <c r="M2066" s="24"/>
      <c r="N2066" s="24"/>
      <c r="O2066" s="24"/>
      <c r="P2066" s="24"/>
      <c r="Q2066" s="24"/>
      <c r="R2066" s="21"/>
    </row>
    <row r="2067" spans="1:18" x14ac:dyDescent="0.35">
      <c r="A2067" s="20"/>
      <c r="B2067" s="22"/>
      <c r="C2067" s="25"/>
      <c r="D2067" s="26"/>
      <c r="E2067" s="24"/>
      <c r="F2067" s="24"/>
      <c r="G2067" s="24"/>
      <c r="H2067" s="24"/>
      <c r="I2067" s="24"/>
      <c r="J2067" s="24"/>
      <c r="K2067" s="24"/>
      <c r="L2067" s="24"/>
      <c r="M2067" s="24"/>
      <c r="N2067" s="24"/>
      <c r="O2067" s="24"/>
      <c r="P2067" s="24"/>
      <c r="Q2067" s="24"/>
      <c r="R2067" s="21"/>
    </row>
    <row r="2068" spans="1:18" x14ac:dyDescent="0.35">
      <c r="A2068" s="20"/>
      <c r="B2068" s="22"/>
      <c r="C2068" s="25"/>
      <c r="D2068" s="26"/>
      <c r="E2068" s="24"/>
      <c r="F2068" s="24"/>
      <c r="G2068" s="24"/>
      <c r="H2068" s="24"/>
      <c r="I2068" s="24"/>
      <c r="J2068" s="24"/>
      <c r="K2068" s="24"/>
      <c r="L2068" s="24"/>
      <c r="M2068" s="24"/>
      <c r="N2068" s="24"/>
      <c r="O2068" s="24"/>
      <c r="P2068" s="24"/>
      <c r="Q2068" s="24"/>
      <c r="R2068" s="21"/>
    </row>
    <row r="2069" spans="1:18" x14ac:dyDescent="0.35">
      <c r="A2069" s="20"/>
      <c r="B2069" s="22"/>
      <c r="C2069" s="25"/>
      <c r="D2069" s="26"/>
      <c r="E2069" s="24"/>
      <c r="F2069" s="24"/>
      <c r="G2069" s="24"/>
      <c r="H2069" s="24"/>
      <c r="I2069" s="24"/>
      <c r="J2069" s="24"/>
      <c r="K2069" s="24"/>
      <c r="L2069" s="24"/>
      <c r="M2069" s="24"/>
      <c r="N2069" s="24"/>
      <c r="O2069" s="24"/>
      <c r="P2069" s="24"/>
      <c r="Q2069" s="24"/>
      <c r="R2069" s="21"/>
    </row>
    <row r="2070" spans="1:18" x14ac:dyDescent="0.35">
      <c r="A2070" s="20"/>
      <c r="B2070" s="22"/>
      <c r="C2070" s="25"/>
      <c r="D2070" s="26"/>
      <c r="E2070" s="24"/>
      <c r="F2070" s="24"/>
      <c r="G2070" s="24"/>
      <c r="H2070" s="24"/>
      <c r="I2070" s="24"/>
      <c r="J2070" s="24"/>
      <c r="K2070" s="24"/>
      <c r="L2070" s="24"/>
      <c r="M2070" s="24"/>
      <c r="N2070" s="24"/>
      <c r="O2070" s="24"/>
      <c r="P2070" s="24"/>
      <c r="Q2070" s="24"/>
      <c r="R2070" s="21"/>
    </row>
    <row r="2071" spans="1:18" x14ac:dyDescent="0.35">
      <c r="A2071" s="20"/>
      <c r="B2071" s="22"/>
      <c r="C2071" s="25"/>
      <c r="D2071" s="26"/>
      <c r="E2071" s="24"/>
      <c r="F2071" s="24"/>
      <c r="G2071" s="24"/>
      <c r="H2071" s="24"/>
      <c r="I2071" s="24"/>
      <c r="J2071" s="24"/>
      <c r="K2071" s="24"/>
      <c r="L2071" s="24"/>
      <c r="M2071" s="24"/>
      <c r="N2071" s="24"/>
      <c r="O2071" s="24"/>
      <c r="P2071" s="24"/>
      <c r="Q2071" s="24"/>
      <c r="R2071" s="21"/>
    </row>
    <row r="2072" spans="1:18" x14ac:dyDescent="0.35">
      <c r="A2072" s="20"/>
      <c r="B2072" s="22"/>
      <c r="C2072" s="25"/>
      <c r="D2072" s="26"/>
      <c r="E2072" s="24"/>
      <c r="F2072" s="24"/>
      <c r="G2072" s="24"/>
      <c r="H2072" s="24"/>
      <c r="I2072" s="24"/>
      <c r="J2072" s="24"/>
      <c r="K2072" s="24"/>
      <c r="L2072" s="24"/>
      <c r="M2072" s="24"/>
      <c r="N2072" s="24"/>
      <c r="O2072" s="24"/>
      <c r="P2072" s="24"/>
      <c r="Q2072" s="24"/>
      <c r="R2072" s="21"/>
    </row>
    <row r="2073" spans="1:18" x14ac:dyDescent="0.35">
      <c r="A2073" s="20"/>
      <c r="B2073" s="22"/>
      <c r="C2073" s="25"/>
      <c r="D2073" s="26"/>
      <c r="E2073" s="24"/>
      <c r="F2073" s="24"/>
      <c r="G2073" s="24"/>
      <c r="H2073" s="24"/>
      <c r="I2073" s="24"/>
      <c r="J2073" s="24"/>
      <c r="K2073" s="24"/>
      <c r="L2073" s="24"/>
      <c r="M2073" s="24"/>
      <c r="N2073" s="24"/>
      <c r="O2073" s="24"/>
      <c r="P2073" s="24"/>
      <c r="Q2073" s="24"/>
      <c r="R2073" s="21"/>
    </row>
    <row r="2074" spans="1:18" x14ac:dyDescent="0.35">
      <c r="A2074" s="20"/>
      <c r="B2074" s="22"/>
      <c r="C2074" s="25"/>
      <c r="D2074" s="26"/>
      <c r="E2074" s="24"/>
      <c r="F2074" s="24"/>
      <c r="G2074" s="24"/>
      <c r="H2074" s="24"/>
      <c r="I2074" s="24"/>
      <c r="J2074" s="24"/>
      <c r="K2074" s="24"/>
      <c r="L2074" s="24"/>
      <c r="M2074" s="24"/>
      <c r="N2074" s="24"/>
      <c r="O2074" s="24"/>
      <c r="P2074" s="24"/>
      <c r="Q2074" s="24"/>
      <c r="R2074" s="21"/>
    </row>
    <row r="2075" spans="1:18" x14ac:dyDescent="0.35">
      <c r="A2075" s="20"/>
      <c r="B2075" s="22"/>
      <c r="C2075" s="25"/>
      <c r="D2075" s="26"/>
      <c r="E2075" s="24"/>
      <c r="F2075" s="24"/>
      <c r="G2075" s="24"/>
      <c r="H2075" s="24"/>
      <c r="I2075" s="24"/>
      <c r="J2075" s="24"/>
      <c r="K2075" s="24"/>
      <c r="L2075" s="24"/>
      <c r="M2075" s="24"/>
      <c r="N2075" s="24"/>
      <c r="O2075" s="24"/>
      <c r="P2075" s="24"/>
      <c r="Q2075" s="24"/>
      <c r="R2075" s="21"/>
    </row>
    <row r="2076" spans="1:18" x14ac:dyDescent="0.35">
      <c r="A2076" s="20"/>
      <c r="B2076" s="22"/>
      <c r="C2076" s="25"/>
      <c r="D2076" s="26"/>
      <c r="E2076" s="24"/>
      <c r="F2076" s="24"/>
      <c r="G2076" s="24"/>
      <c r="H2076" s="24"/>
      <c r="I2076" s="24"/>
      <c r="J2076" s="24"/>
      <c r="K2076" s="24"/>
      <c r="L2076" s="24"/>
      <c r="M2076" s="24"/>
      <c r="N2076" s="24"/>
      <c r="O2076" s="24"/>
      <c r="P2076" s="24"/>
      <c r="Q2076" s="24"/>
      <c r="R2076" s="21"/>
    </row>
    <row r="2077" spans="1:18" x14ac:dyDescent="0.35">
      <c r="A2077" s="20"/>
      <c r="B2077" s="22"/>
      <c r="C2077" s="25"/>
      <c r="D2077" s="26"/>
      <c r="E2077" s="24"/>
      <c r="F2077" s="24"/>
      <c r="G2077" s="24"/>
      <c r="H2077" s="24"/>
      <c r="I2077" s="24"/>
      <c r="J2077" s="24"/>
      <c r="K2077" s="24"/>
      <c r="L2077" s="24"/>
      <c r="M2077" s="24"/>
      <c r="N2077" s="24"/>
      <c r="O2077" s="24"/>
      <c r="P2077" s="24"/>
      <c r="Q2077" s="24"/>
      <c r="R2077" s="21"/>
    </row>
    <row r="2078" spans="1:18" x14ac:dyDescent="0.35">
      <c r="A2078" s="20"/>
      <c r="B2078" s="22"/>
      <c r="C2078" s="25"/>
      <c r="D2078" s="26"/>
      <c r="E2078" s="24"/>
      <c r="F2078" s="24"/>
      <c r="G2078" s="24"/>
      <c r="H2078" s="24"/>
      <c r="I2078" s="24"/>
      <c r="J2078" s="24"/>
      <c r="K2078" s="24"/>
      <c r="L2078" s="24"/>
      <c r="M2078" s="24"/>
      <c r="N2078" s="24"/>
      <c r="O2078" s="24"/>
      <c r="P2078" s="24"/>
      <c r="Q2078" s="24"/>
      <c r="R2078" s="21"/>
    </row>
    <row r="2079" spans="1:18" x14ac:dyDescent="0.35">
      <c r="A2079" s="20"/>
      <c r="B2079" s="22"/>
      <c r="C2079" s="25"/>
      <c r="D2079" s="26"/>
      <c r="E2079" s="24"/>
      <c r="F2079" s="24"/>
      <c r="G2079" s="24"/>
      <c r="H2079" s="24"/>
      <c r="I2079" s="24"/>
      <c r="J2079" s="24"/>
      <c r="K2079" s="24"/>
      <c r="L2079" s="24"/>
      <c r="M2079" s="24"/>
      <c r="N2079" s="24"/>
      <c r="O2079" s="24"/>
      <c r="P2079" s="24"/>
      <c r="Q2079" s="24"/>
      <c r="R2079" s="21"/>
    </row>
    <row r="2080" spans="1:18" x14ac:dyDescent="0.35">
      <c r="A2080" s="20"/>
      <c r="B2080" s="22"/>
      <c r="C2080" s="25"/>
      <c r="D2080" s="26"/>
      <c r="E2080" s="24"/>
      <c r="F2080" s="24"/>
      <c r="G2080" s="24"/>
      <c r="H2080" s="24"/>
      <c r="I2080" s="24"/>
      <c r="J2080" s="24"/>
      <c r="K2080" s="24"/>
      <c r="L2080" s="24"/>
      <c r="M2080" s="24"/>
      <c r="N2080" s="24"/>
      <c r="O2080" s="24"/>
      <c r="P2080" s="24"/>
      <c r="Q2080" s="24"/>
      <c r="R2080" s="21"/>
    </row>
    <row r="2081" spans="1:18" x14ac:dyDescent="0.35">
      <c r="A2081" s="20"/>
      <c r="B2081" s="22"/>
      <c r="C2081" s="25"/>
      <c r="D2081" s="26"/>
      <c r="E2081" s="24"/>
      <c r="F2081" s="24"/>
      <c r="G2081" s="24"/>
      <c r="H2081" s="24"/>
      <c r="I2081" s="24"/>
      <c r="J2081" s="24"/>
      <c r="K2081" s="24"/>
      <c r="L2081" s="24"/>
      <c r="M2081" s="24"/>
      <c r="N2081" s="24"/>
      <c r="O2081" s="24"/>
      <c r="P2081" s="24"/>
      <c r="Q2081" s="24"/>
      <c r="R2081" s="21"/>
    </row>
    <row r="2082" spans="1:18" x14ac:dyDescent="0.35">
      <c r="A2082" s="20"/>
      <c r="B2082" s="22"/>
      <c r="C2082" s="25"/>
      <c r="D2082" s="26"/>
      <c r="E2082" s="24"/>
      <c r="F2082" s="24"/>
      <c r="G2082" s="24"/>
      <c r="H2082" s="24"/>
      <c r="I2082" s="24"/>
      <c r="J2082" s="24"/>
      <c r="K2082" s="24"/>
      <c r="L2082" s="24"/>
      <c r="M2082" s="24"/>
      <c r="N2082" s="24"/>
      <c r="O2082" s="24"/>
      <c r="P2082" s="24"/>
      <c r="Q2082" s="24"/>
      <c r="R2082" s="14"/>
    </row>
    <row r="2083" spans="1:18" x14ac:dyDescent="0.35">
      <c r="A2083" s="20"/>
      <c r="B2083" s="22"/>
      <c r="C2083" s="25"/>
      <c r="D2083" s="26"/>
      <c r="E2083" s="24"/>
      <c r="F2083" s="24"/>
      <c r="G2083" s="24"/>
      <c r="H2083" s="24"/>
      <c r="I2083" s="24"/>
      <c r="J2083" s="24"/>
      <c r="K2083" s="24"/>
      <c r="L2083" s="24"/>
      <c r="M2083" s="24"/>
      <c r="N2083" s="24"/>
      <c r="O2083" s="24"/>
      <c r="P2083" s="24"/>
      <c r="Q2083" s="24"/>
      <c r="R2083" s="14"/>
    </row>
    <row r="2084" spans="1:18" x14ac:dyDescent="0.35">
      <c r="A2084" s="20"/>
      <c r="B2084" s="22"/>
      <c r="C2084" s="25"/>
      <c r="D2084" s="26"/>
      <c r="E2084" s="24"/>
      <c r="F2084" s="24"/>
      <c r="G2084" s="24"/>
      <c r="H2084" s="24"/>
      <c r="I2084" s="24"/>
      <c r="J2084" s="24"/>
      <c r="K2084" s="24"/>
      <c r="L2084" s="24"/>
      <c r="M2084" s="24"/>
      <c r="N2084" s="24"/>
      <c r="O2084" s="24"/>
      <c r="P2084" s="24"/>
      <c r="Q2084" s="24"/>
      <c r="R2084" s="14"/>
    </row>
    <row r="2085" spans="1:18" x14ac:dyDescent="0.35">
      <c r="A2085" s="20"/>
      <c r="B2085" s="22"/>
      <c r="C2085" s="25"/>
      <c r="D2085" s="26"/>
      <c r="E2085" s="24"/>
      <c r="F2085" s="24"/>
      <c r="G2085" s="24"/>
      <c r="H2085" s="24"/>
      <c r="I2085" s="24"/>
      <c r="J2085" s="24"/>
      <c r="K2085" s="24"/>
      <c r="L2085" s="24"/>
      <c r="M2085" s="24"/>
      <c r="N2085" s="24"/>
      <c r="O2085" s="24"/>
      <c r="P2085" s="24"/>
      <c r="Q2085" s="24"/>
      <c r="R2085" s="14"/>
    </row>
    <row r="2086" spans="1:18" x14ac:dyDescent="0.35">
      <c r="A2086" s="20"/>
      <c r="B2086" s="22"/>
      <c r="C2086" s="25"/>
      <c r="D2086" s="26"/>
      <c r="E2086" s="24"/>
      <c r="F2086" s="24"/>
      <c r="G2086" s="24"/>
      <c r="H2086" s="24"/>
      <c r="I2086" s="24"/>
      <c r="J2086" s="24"/>
      <c r="K2086" s="24"/>
      <c r="L2086" s="24"/>
      <c r="M2086" s="24"/>
      <c r="N2086" s="24"/>
      <c r="O2086" s="24"/>
      <c r="P2086" s="24"/>
      <c r="Q2086" s="24"/>
      <c r="R2086" s="14"/>
    </row>
    <row r="2087" spans="1:18" x14ac:dyDescent="0.35">
      <c r="A2087" s="20"/>
      <c r="B2087" s="22"/>
      <c r="C2087" s="25"/>
      <c r="D2087" s="26"/>
      <c r="E2087" s="24"/>
      <c r="F2087" s="24"/>
      <c r="G2087" s="24"/>
      <c r="H2087" s="24"/>
      <c r="I2087" s="24"/>
      <c r="J2087" s="24"/>
      <c r="K2087" s="24"/>
      <c r="L2087" s="24"/>
      <c r="M2087" s="24"/>
      <c r="N2087" s="24"/>
      <c r="O2087" s="24"/>
      <c r="P2087" s="24"/>
      <c r="Q2087" s="24"/>
      <c r="R2087" s="14"/>
    </row>
    <row r="2088" spans="1:18" x14ac:dyDescent="0.35">
      <c r="A2088" s="20"/>
      <c r="B2088" s="22"/>
      <c r="C2088" s="25"/>
      <c r="D2088" s="26"/>
      <c r="E2088" s="24"/>
      <c r="F2088" s="24"/>
      <c r="G2088" s="24"/>
      <c r="H2088" s="24"/>
      <c r="I2088" s="24"/>
      <c r="J2088" s="24"/>
      <c r="K2088" s="24"/>
      <c r="L2088" s="24"/>
      <c r="M2088" s="24"/>
      <c r="N2088" s="24"/>
      <c r="O2088" s="24"/>
      <c r="P2088" s="24"/>
      <c r="Q2088" s="24"/>
      <c r="R2088" s="14"/>
    </row>
    <row r="2089" spans="1:18" x14ac:dyDescent="0.35">
      <c r="A2089" s="20"/>
      <c r="B2089" s="22"/>
      <c r="C2089" s="25"/>
      <c r="D2089" s="26"/>
      <c r="E2089" s="24"/>
      <c r="F2089" s="24"/>
      <c r="G2089" s="24"/>
      <c r="H2089" s="24"/>
      <c r="I2089" s="24"/>
      <c r="J2089" s="24"/>
      <c r="K2089" s="24"/>
      <c r="L2089" s="24"/>
      <c r="M2089" s="24"/>
      <c r="N2089" s="24"/>
      <c r="O2089" s="24"/>
      <c r="P2089" s="24"/>
      <c r="Q2089" s="24"/>
      <c r="R2089" s="21"/>
    </row>
    <row r="2090" spans="1:18" x14ac:dyDescent="0.35">
      <c r="A2090" s="20"/>
      <c r="B2090" s="22"/>
      <c r="C2090" s="25"/>
      <c r="D2090" s="26"/>
      <c r="E2090" s="24"/>
      <c r="F2090" s="24"/>
      <c r="G2090" s="24"/>
      <c r="H2090" s="24"/>
      <c r="I2090" s="24"/>
      <c r="J2090" s="24"/>
      <c r="K2090" s="24"/>
      <c r="L2090" s="24"/>
      <c r="M2090" s="24"/>
      <c r="N2090" s="24"/>
      <c r="O2090" s="24"/>
      <c r="P2090" s="24"/>
      <c r="Q2090" s="24"/>
      <c r="R2090" s="21"/>
    </row>
    <row r="2091" spans="1:18" x14ac:dyDescent="0.35">
      <c r="A2091" s="20"/>
      <c r="B2091" s="22"/>
      <c r="C2091" s="25"/>
      <c r="D2091" s="26"/>
      <c r="E2091" s="24"/>
      <c r="F2091" s="24"/>
      <c r="G2091" s="24"/>
      <c r="H2091" s="24"/>
      <c r="I2091" s="24"/>
      <c r="J2091" s="24"/>
      <c r="K2091" s="24"/>
      <c r="L2091" s="24"/>
      <c r="M2091" s="24"/>
      <c r="N2091" s="24"/>
      <c r="O2091" s="24"/>
      <c r="P2091" s="24"/>
      <c r="Q2091" s="24"/>
      <c r="R2091" s="21"/>
    </row>
    <row r="2092" spans="1:18" x14ac:dyDescent="0.35">
      <c r="A2092" s="20"/>
      <c r="B2092" s="22"/>
      <c r="C2092" s="25"/>
      <c r="D2092" s="26"/>
      <c r="E2092" s="24"/>
      <c r="F2092" s="24"/>
      <c r="G2092" s="24"/>
      <c r="H2092" s="24"/>
      <c r="I2092" s="24"/>
      <c r="J2092" s="24"/>
      <c r="K2092" s="24"/>
      <c r="L2092" s="24"/>
      <c r="M2092" s="24"/>
      <c r="N2092" s="24"/>
      <c r="O2092" s="24"/>
      <c r="P2092" s="24"/>
      <c r="Q2092" s="24"/>
      <c r="R2092" s="21"/>
    </row>
    <row r="2093" spans="1:18" x14ac:dyDescent="0.35">
      <c r="A2093" s="20"/>
      <c r="B2093" s="22"/>
      <c r="C2093" s="25"/>
      <c r="D2093" s="26"/>
      <c r="E2093" s="24"/>
      <c r="F2093" s="24"/>
      <c r="G2093" s="24"/>
      <c r="H2093" s="24"/>
      <c r="I2093" s="24"/>
      <c r="J2093" s="24"/>
      <c r="K2093" s="24"/>
      <c r="L2093" s="24"/>
      <c r="M2093" s="24"/>
      <c r="N2093" s="24"/>
      <c r="O2093" s="24"/>
      <c r="P2093" s="24"/>
      <c r="Q2093" s="24"/>
      <c r="R2093" s="21"/>
    </row>
    <row r="2094" spans="1:18" x14ac:dyDescent="0.35">
      <c r="A2094" s="20"/>
      <c r="B2094" s="22"/>
      <c r="C2094" s="25"/>
      <c r="D2094" s="26"/>
      <c r="E2094" s="24"/>
      <c r="F2094" s="24"/>
      <c r="G2094" s="24"/>
      <c r="H2094" s="24"/>
      <c r="I2094" s="24"/>
      <c r="J2094" s="24"/>
      <c r="K2094" s="24"/>
      <c r="L2094" s="24"/>
      <c r="M2094" s="24"/>
      <c r="N2094" s="24"/>
      <c r="O2094" s="24"/>
      <c r="P2094" s="24"/>
      <c r="Q2094" s="24"/>
      <c r="R2094" s="21"/>
    </row>
    <row r="2095" spans="1:18" x14ac:dyDescent="0.35">
      <c r="A2095" s="20"/>
      <c r="B2095" s="22"/>
      <c r="C2095" s="25"/>
      <c r="D2095" s="26"/>
      <c r="E2095" s="24"/>
      <c r="F2095" s="24"/>
      <c r="G2095" s="24"/>
      <c r="H2095" s="24"/>
      <c r="I2095" s="24"/>
      <c r="J2095" s="24"/>
      <c r="K2095" s="24"/>
      <c r="L2095" s="24"/>
      <c r="M2095" s="24"/>
      <c r="N2095" s="24"/>
      <c r="O2095" s="24"/>
      <c r="P2095" s="24"/>
      <c r="Q2095" s="24"/>
      <c r="R2095" s="21"/>
    </row>
    <row r="2096" spans="1:18" x14ac:dyDescent="0.35">
      <c r="A2096" s="20"/>
      <c r="B2096" s="22"/>
      <c r="C2096" s="25"/>
      <c r="D2096" s="26"/>
      <c r="E2096" s="24"/>
      <c r="F2096" s="24"/>
      <c r="G2096" s="24"/>
      <c r="H2096" s="24"/>
      <c r="I2096" s="24"/>
      <c r="J2096" s="24"/>
      <c r="K2096" s="24"/>
      <c r="L2096" s="24"/>
      <c r="M2096" s="24"/>
      <c r="N2096" s="24"/>
      <c r="O2096" s="24"/>
      <c r="P2096" s="24"/>
      <c r="Q2096" s="24"/>
      <c r="R2096" s="21"/>
    </row>
    <row r="2097" spans="1:18" x14ac:dyDescent="0.35">
      <c r="A2097" s="20"/>
      <c r="B2097" s="22"/>
      <c r="C2097" s="25"/>
      <c r="D2097" s="26"/>
      <c r="E2097" s="24"/>
      <c r="F2097" s="24"/>
      <c r="G2097" s="24"/>
      <c r="H2097" s="24"/>
      <c r="I2097" s="24"/>
      <c r="J2097" s="24"/>
      <c r="K2097" s="24"/>
      <c r="L2097" s="24"/>
      <c r="M2097" s="24"/>
      <c r="N2097" s="24"/>
      <c r="O2097" s="24"/>
      <c r="P2097" s="24"/>
      <c r="Q2097" s="24"/>
      <c r="R2097" s="21"/>
    </row>
    <row r="2098" spans="1:18" x14ac:dyDescent="0.35">
      <c r="A2098" s="20"/>
      <c r="B2098" s="22"/>
      <c r="C2098" s="25"/>
      <c r="D2098" s="26"/>
      <c r="E2098" s="24"/>
      <c r="F2098" s="24"/>
      <c r="G2098" s="24"/>
      <c r="H2098" s="24"/>
      <c r="I2098" s="24"/>
      <c r="J2098" s="24"/>
      <c r="K2098" s="24"/>
      <c r="L2098" s="24"/>
      <c r="M2098" s="24"/>
      <c r="N2098" s="24"/>
      <c r="O2098" s="24"/>
      <c r="P2098" s="24"/>
      <c r="Q2098" s="24"/>
      <c r="R2098" s="14"/>
    </row>
    <row r="2099" spans="1:18" x14ac:dyDescent="0.35">
      <c r="A2099" s="20"/>
      <c r="B2099" s="22"/>
      <c r="C2099" s="25"/>
      <c r="D2099" s="26"/>
      <c r="E2099" s="24"/>
      <c r="F2099" s="24"/>
      <c r="G2099" s="24"/>
      <c r="H2099" s="24"/>
      <c r="I2099" s="24"/>
      <c r="J2099" s="24"/>
      <c r="K2099" s="24"/>
      <c r="L2099" s="24"/>
      <c r="M2099" s="24"/>
      <c r="N2099" s="24"/>
      <c r="O2099" s="24"/>
      <c r="P2099" s="24"/>
      <c r="Q2099" s="24"/>
      <c r="R2099" s="14"/>
    </row>
    <row r="2100" spans="1:18" x14ac:dyDescent="0.35">
      <c r="A2100" s="20"/>
      <c r="B2100" s="22"/>
      <c r="C2100" s="25"/>
      <c r="D2100" s="26"/>
      <c r="E2100" s="24"/>
      <c r="F2100" s="24"/>
      <c r="G2100" s="24"/>
      <c r="H2100" s="24"/>
      <c r="I2100" s="24"/>
      <c r="J2100" s="24"/>
      <c r="K2100" s="24"/>
      <c r="L2100" s="24"/>
      <c r="M2100" s="24"/>
      <c r="N2100" s="24"/>
      <c r="O2100" s="24"/>
      <c r="P2100" s="24"/>
      <c r="Q2100" s="24"/>
      <c r="R2100" s="14"/>
    </row>
    <row r="2101" spans="1:18" x14ac:dyDescent="0.35">
      <c r="A2101" s="20"/>
      <c r="B2101" s="22"/>
      <c r="C2101" s="25"/>
      <c r="D2101" s="26"/>
      <c r="E2101" s="24"/>
      <c r="F2101" s="24"/>
      <c r="G2101" s="24"/>
      <c r="H2101" s="24"/>
      <c r="I2101" s="24"/>
      <c r="J2101" s="24"/>
      <c r="K2101" s="24"/>
      <c r="L2101" s="24"/>
      <c r="M2101" s="24"/>
      <c r="N2101" s="24"/>
      <c r="O2101" s="24"/>
      <c r="P2101" s="24"/>
      <c r="Q2101" s="24"/>
      <c r="R2101" s="14"/>
    </row>
    <row r="2102" spans="1:18" x14ac:dyDescent="0.35">
      <c r="A2102" s="20"/>
      <c r="B2102" s="22"/>
      <c r="C2102" s="25"/>
      <c r="D2102" s="26"/>
      <c r="E2102" s="24"/>
      <c r="F2102" s="24"/>
      <c r="G2102" s="24"/>
      <c r="H2102" s="24"/>
      <c r="I2102" s="24"/>
      <c r="J2102" s="24"/>
      <c r="K2102" s="24"/>
      <c r="L2102" s="24"/>
      <c r="M2102" s="24"/>
      <c r="N2102" s="24"/>
      <c r="O2102" s="24"/>
      <c r="P2102" s="24"/>
      <c r="Q2102" s="24"/>
      <c r="R2102" s="14"/>
    </row>
    <row r="2103" spans="1:18" x14ac:dyDescent="0.35">
      <c r="A2103" s="20"/>
      <c r="B2103" s="22"/>
      <c r="C2103" s="25"/>
      <c r="D2103" s="26"/>
      <c r="E2103" s="24"/>
      <c r="F2103" s="24"/>
      <c r="G2103" s="24"/>
      <c r="H2103" s="24"/>
      <c r="I2103" s="24"/>
      <c r="J2103" s="24"/>
      <c r="K2103" s="24"/>
      <c r="L2103" s="24"/>
      <c r="M2103" s="24"/>
      <c r="N2103" s="24"/>
      <c r="O2103" s="24"/>
      <c r="P2103" s="24"/>
      <c r="Q2103" s="24"/>
      <c r="R2103" s="14"/>
    </row>
    <row r="2104" spans="1:18" x14ac:dyDescent="0.35">
      <c r="A2104" s="20"/>
      <c r="B2104" s="22"/>
      <c r="C2104" s="25"/>
      <c r="D2104" s="26"/>
      <c r="E2104" s="24"/>
      <c r="F2104" s="24"/>
      <c r="G2104" s="24"/>
      <c r="H2104" s="24"/>
      <c r="I2104" s="24"/>
      <c r="J2104" s="24"/>
      <c r="K2104" s="24"/>
      <c r="L2104" s="24"/>
      <c r="M2104" s="24"/>
      <c r="N2104" s="24"/>
      <c r="O2104" s="24"/>
      <c r="P2104" s="24"/>
      <c r="Q2104" s="24"/>
      <c r="R2104" s="14"/>
    </row>
    <row r="2105" spans="1:18" x14ac:dyDescent="0.35">
      <c r="A2105" s="20"/>
      <c r="B2105" s="22"/>
      <c r="C2105" s="25"/>
      <c r="D2105" s="26"/>
      <c r="E2105" s="24"/>
      <c r="F2105" s="24"/>
      <c r="G2105" s="24"/>
      <c r="H2105" s="24"/>
      <c r="I2105" s="24"/>
      <c r="J2105" s="24"/>
      <c r="K2105" s="24"/>
      <c r="L2105" s="24"/>
      <c r="M2105" s="24"/>
      <c r="N2105" s="24"/>
      <c r="O2105" s="24"/>
      <c r="P2105" s="24"/>
      <c r="Q2105" s="24"/>
      <c r="R2105" s="14"/>
    </row>
    <row r="2106" spans="1:18" x14ac:dyDescent="0.35">
      <c r="A2106" s="20"/>
      <c r="B2106" s="22"/>
      <c r="C2106" s="25"/>
      <c r="D2106" s="26"/>
      <c r="E2106" s="24"/>
      <c r="F2106" s="24"/>
      <c r="G2106" s="24"/>
      <c r="H2106" s="24"/>
      <c r="I2106" s="24"/>
      <c r="J2106" s="24"/>
      <c r="K2106" s="24"/>
      <c r="L2106" s="24"/>
      <c r="M2106" s="24"/>
      <c r="N2106" s="24"/>
      <c r="O2106" s="24"/>
      <c r="P2106" s="24"/>
      <c r="Q2106" s="24"/>
      <c r="R2106" s="14"/>
    </row>
    <row r="2107" spans="1:18" x14ac:dyDescent="0.35">
      <c r="A2107" s="20"/>
      <c r="B2107" s="22"/>
      <c r="C2107" s="25"/>
      <c r="D2107" s="26"/>
      <c r="E2107" s="24"/>
      <c r="F2107" s="24"/>
      <c r="G2107" s="24"/>
      <c r="H2107" s="24"/>
      <c r="I2107" s="24"/>
      <c r="J2107" s="24"/>
      <c r="K2107" s="24"/>
      <c r="L2107" s="24"/>
      <c r="M2107" s="24"/>
      <c r="N2107" s="24"/>
      <c r="O2107" s="24"/>
      <c r="P2107" s="24"/>
      <c r="Q2107" s="24"/>
      <c r="R2107" s="14"/>
    </row>
    <row r="2108" spans="1:18" x14ac:dyDescent="0.35">
      <c r="A2108" s="20"/>
      <c r="B2108" s="22"/>
      <c r="C2108" s="25"/>
      <c r="D2108" s="26"/>
      <c r="E2108" s="24"/>
      <c r="F2108" s="24"/>
      <c r="G2108" s="24"/>
      <c r="H2108" s="24"/>
      <c r="I2108" s="24"/>
      <c r="J2108" s="24"/>
      <c r="K2108" s="24"/>
      <c r="L2108" s="24"/>
      <c r="M2108" s="24"/>
      <c r="N2108" s="24"/>
      <c r="O2108" s="24"/>
      <c r="P2108" s="24"/>
      <c r="Q2108" s="24"/>
      <c r="R2108" s="14"/>
    </row>
    <row r="2109" spans="1:18" x14ac:dyDescent="0.35">
      <c r="A2109" s="20"/>
      <c r="B2109" s="22"/>
      <c r="C2109" s="25"/>
      <c r="D2109" s="26"/>
      <c r="E2109" s="24"/>
      <c r="F2109" s="24"/>
      <c r="G2109" s="24"/>
      <c r="H2109" s="24"/>
      <c r="I2109" s="24"/>
      <c r="J2109" s="24"/>
      <c r="K2109" s="24"/>
      <c r="L2109" s="24"/>
      <c r="M2109" s="24"/>
      <c r="N2109" s="24"/>
      <c r="O2109" s="24"/>
      <c r="P2109" s="24"/>
      <c r="Q2109" s="24"/>
      <c r="R2109" s="14"/>
    </row>
    <row r="2110" spans="1:18" x14ac:dyDescent="0.35">
      <c r="A2110" s="20"/>
      <c r="B2110" s="22"/>
      <c r="C2110" s="25"/>
      <c r="D2110" s="26"/>
      <c r="E2110" s="24"/>
      <c r="F2110" s="24"/>
      <c r="G2110" s="24"/>
      <c r="H2110" s="24"/>
      <c r="I2110" s="24"/>
      <c r="J2110" s="24"/>
      <c r="K2110" s="24"/>
      <c r="L2110" s="24"/>
      <c r="M2110" s="24"/>
      <c r="N2110" s="24"/>
      <c r="O2110" s="24"/>
      <c r="P2110" s="24"/>
      <c r="Q2110" s="24"/>
      <c r="R2110" s="14"/>
    </row>
    <row r="2111" spans="1:18" x14ac:dyDescent="0.35">
      <c r="A2111" s="20"/>
      <c r="B2111" s="22"/>
      <c r="C2111" s="25"/>
      <c r="D2111" s="26"/>
      <c r="E2111" s="24"/>
      <c r="F2111" s="24"/>
      <c r="G2111" s="24"/>
      <c r="H2111" s="24"/>
      <c r="I2111" s="24"/>
      <c r="J2111" s="24"/>
      <c r="K2111" s="24"/>
      <c r="L2111" s="24"/>
      <c r="M2111" s="24"/>
      <c r="N2111" s="24"/>
      <c r="O2111" s="24"/>
      <c r="P2111" s="24"/>
      <c r="Q2111" s="24"/>
      <c r="R2111" s="14"/>
    </row>
    <row r="2112" spans="1:18" x14ac:dyDescent="0.35">
      <c r="A2112" s="20"/>
      <c r="B2112" s="22"/>
      <c r="C2112" s="25"/>
      <c r="D2112" s="26"/>
      <c r="E2112" s="24"/>
      <c r="F2112" s="24"/>
      <c r="G2112" s="24"/>
      <c r="H2112" s="24"/>
      <c r="I2112" s="24"/>
      <c r="J2112" s="24"/>
      <c r="K2112" s="24"/>
      <c r="L2112" s="24"/>
      <c r="M2112" s="24"/>
      <c r="N2112" s="24"/>
      <c r="O2112" s="24"/>
      <c r="P2112" s="24"/>
      <c r="Q2112" s="24"/>
      <c r="R2112" s="14"/>
    </row>
    <row r="2113" spans="1:18" x14ac:dyDescent="0.35">
      <c r="A2113" s="20"/>
      <c r="B2113" s="22"/>
      <c r="C2113" s="25"/>
      <c r="D2113" s="26"/>
      <c r="E2113" s="24"/>
      <c r="F2113" s="24"/>
      <c r="G2113" s="24"/>
      <c r="H2113" s="24"/>
      <c r="I2113" s="24"/>
      <c r="J2113" s="24"/>
      <c r="K2113" s="24"/>
      <c r="L2113" s="24"/>
      <c r="M2113" s="24"/>
      <c r="N2113" s="24"/>
      <c r="O2113" s="24"/>
      <c r="P2113" s="24"/>
      <c r="Q2113" s="24"/>
      <c r="R2113" s="21"/>
    </row>
    <row r="2114" spans="1:18" x14ac:dyDescent="0.35">
      <c r="A2114" s="20"/>
      <c r="B2114" s="22"/>
      <c r="C2114" s="25"/>
      <c r="D2114" s="26"/>
      <c r="E2114" s="24"/>
      <c r="F2114" s="24"/>
      <c r="G2114" s="24"/>
      <c r="H2114" s="24"/>
      <c r="I2114" s="24"/>
      <c r="J2114" s="24"/>
      <c r="K2114" s="24"/>
      <c r="L2114" s="24"/>
      <c r="M2114" s="24"/>
      <c r="N2114" s="24"/>
      <c r="O2114" s="24"/>
      <c r="P2114" s="24"/>
      <c r="Q2114" s="24"/>
      <c r="R2114" s="21"/>
    </row>
    <row r="2115" spans="1:18" x14ac:dyDescent="0.35">
      <c r="A2115" s="20"/>
      <c r="B2115" s="22"/>
      <c r="C2115" s="25"/>
      <c r="D2115" s="26"/>
      <c r="E2115" s="24"/>
      <c r="F2115" s="24"/>
      <c r="G2115" s="24"/>
      <c r="H2115" s="24"/>
      <c r="I2115" s="24"/>
      <c r="J2115" s="24"/>
      <c r="K2115" s="24"/>
      <c r="L2115" s="24"/>
      <c r="M2115" s="24"/>
      <c r="N2115" s="24"/>
      <c r="O2115" s="24"/>
      <c r="P2115" s="24"/>
      <c r="Q2115" s="24"/>
      <c r="R2115" s="21"/>
    </row>
    <row r="2116" spans="1:18" x14ac:dyDescent="0.35">
      <c r="A2116" s="20"/>
      <c r="B2116" s="22"/>
      <c r="C2116" s="25"/>
      <c r="D2116" s="26"/>
      <c r="E2116" s="24"/>
      <c r="F2116" s="24"/>
      <c r="G2116" s="24"/>
      <c r="H2116" s="24"/>
      <c r="I2116" s="24"/>
      <c r="J2116" s="24"/>
      <c r="K2116" s="24"/>
      <c r="L2116" s="24"/>
      <c r="M2116" s="24"/>
      <c r="N2116" s="24"/>
      <c r="O2116" s="24"/>
      <c r="P2116" s="24"/>
      <c r="Q2116" s="24"/>
      <c r="R2116" s="21"/>
    </row>
    <row r="2117" spans="1:18" x14ac:dyDescent="0.35">
      <c r="A2117" s="20"/>
      <c r="B2117" s="22"/>
      <c r="C2117" s="25"/>
      <c r="D2117" s="26"/>
      <c r="E2117" s="24"/>
      <c r="F2117" s="24"/>
      <c r="G2117" s="24"/>
      <c r="H2117" s="24"/>
      <c r="I2117" s="24"/>
      <c r="J2117" s="24"/>
      <c r="K2117" s="24"/>
      <c r="L2117" s="24"/>
      <c r="M2117" s="24"/>
      <c r="N2117" s="24"/>
      <c r="O2117" s="24"/>
      <c r="P2117" s="24"/>
      <c r="Q2117" s="24"/>
      <c r="R2117" s="21"/>
    </row>
    <row r="2118" spans="1:18" x14ac:dyDescent="0.35">
      <c r="A2118" s="20"/>
      <c r="B2118" s="22"/>
      <c r="C2118" s="25"/>
      <c r="D2118" s="26"/>
      <c r="E2118" s="24"/>
      <c r="F2118" s="24"/>
      <c r="G2118" s="24"/>
      <c r="H2118" s="24"/>
      <c r="I2118" s="24"/>
      <c r="J2118" s="24"/>
      <c r="K2118" s="24"/>
      <c r="L2118" s="24"/>
      <c r="M2118" s="24"/>
      <c r="N2118" s="24"/>
      <c r="O2118" s="24"/>
      <c r="P2118" s="24"/>
      <c r="Q2118" s="24"/>
      <c r="R2118" s="21"/>
    </row>
    <row r="2119" spans="1:18" x14ac:dyDescent="0.35">
      <c r="A2119" s="15"/>
      <c r="B2119" s="22"/>
      <c r="C2119" s="25"/>
      <c r="D2119" s="26"/>
      <c r="E2119" s="24"/>
      <c r="F2119" s="24"/>
      <c r="G2119" s="24"/>
      <c r="H2119" s="24"/>
      <c r="I2119" s="24"/>
      <c r="J2119" s="24"/>
      <c r="K2119" s="24"/>
      <c r="L2119" s="24"/>
      <c r="M2119" s="24"/>
      <c r="N2119" s="24"/>
      <c r="O2119" s="24"/>
      <c r="P2119" s="24"/>
      <c r="Q2119" s="24"/>
      <c r="R2119" s="21"/>
    </row>
    <row r="2120" spans="1:18" x14ac:dyDescent="0.35">
      <c r="A2120" s="15"/>
      <c r="B2120" s="22"/>
      <c r="C2120" s="25"/>
      <c r="D2120" s="26"/>
      <c r="E2120" s="24"/>
      <c r="F2120" s="24"/>
      <c r="G2120" s="24"/>
      <c r="H2120" s="24"/>
      <c r="I2120" s="24"/>
      <c r="J2120" s="24"/>
      <c r="K2120" s="24"/>
      <c r="L2120" s="24"/>
      <c r="M2120" s="24"/>
      <c r="N2120" s="24"/>
      <c r="O2120" s="24"/>
      <c r="P2120" s="24"/>
      <c r="Q2120" s="24"/>
      <c r="R2120" s="21"/>
    </row>
    <row r="2121" spans="1:18" x14ac:dyDescent="0.35">
      <c r="A2121" s="15"/>
      <c r="B2121" s="22"/>
      <c r="C2121" s="25"/>
      <c r="D2121" s="26"/>
      <c r="E2121" s="24"/>
      <c r="F2121" s="24"/>
      <c r="G2121" s="24"/>
      <c r="H2121" s="24"/>
      <c r="I2121" s="24"/>
      <c r="J2121" s="24"/>
      <c r="K2121" s="24"/>
      <c r="L2121" s="24"/>
      <c r="M2121" s="24"/>
      <c r="N2121" s="24"/>
      <c r="O2121" s="24"/>
      <c r="P2121" s="24"/>
      <c r="Q2121" s="24"/>
      <c r="R2121" s="21"/>
    </row>
    <row r="2122" spans="1:18" x14ac:dyDescent="0.35">
      <c r="A2122" s="15"/>
      <c r="B2122" s="22"/>
      <c r="C2122" s="25"/>
      <c r="D2122" s="26"/>
      <c r="E2122" s="24"/>
      <c r="F2122" s="24"/>
      <c r="G2122" s="24"/>
      <c r="H2122" s="24"/>
      <c r="I2122" s="24"/>
      <c r="J2122" s="24"/>
      <c r="K2122" s="24"/>
      <c r="L2122" s="24"/>
      <c r="M2122" s="24"/>
      <c r="N2122" s="24"/>
      <c r="O2122" s="24"/>
      <c r="P2122" s="24"/>
      <c r="Q2122" s="24"/>
      <c r="R2122" s="21"/>
    </row>
    <row r="2123" spans="1:18" x14ac:dyDescent="0.35">
      <c r="A2123" s="15"/>
      <c r="B2123" s="22"/>
      <c r="C2123" s="25"/>
      <c r="D2123" s="26"/>
      <c r="E2123" s="24"/>
      <c r="F2123" s="24"/>
      <c r="G2123" s="24"/>
      <c r="H2123" s="24"/>
      <c r="I2123" s="24"/>
      <c r="J2123" s="24"/>
      <c r="K2123" s="24"/>
      <c r="L2123" s="24"/>
      <c r="M2123" s="24"/>
      <c r="N2123" s="24"/>
      <c r="O2123" s="24"/>
      <c r="P2123" s="24"/>
      <c r="Q2123" s="24"/>
      <c r="R2123" s="21"/>
    </row>
    <row r="2124" spans="1:18" x14ac:dyDescent="0.35">
      <c r="A2124" s="15"/>
      <c r="B2124" s="22"/>
      <c r="C2124" s="25"/>
      <c r="D2124" s="26"/>
      <c r="E2124" s="24"/>
      <c r="F2124" s="24"/>
      <c r="G2124" s="24"/>
      <c r="H2124" s="24"/>
      <c r="I2124" s="24"/>
      <c r="J2124" s="24"/>
      <c r="K2124" s="24"/>
      <c r="L2124" s="24"/>
      <c r="M2124" s="24"/>
      <c r="N2124" s="24"/>
      <c r="O2124" s="24"/>
      <c r="P2124" s="24"/>
      <c r="Q2124" s="24"/>
      <c r="R2124" s="21"/>
    </row>
    <row r="2125" spans="1:18" x14ac:dyDescent="0.35">
      <c r="A2125" s="15"/>
      <c r="B2125" s="22"/>
      <c r="C2125" s="25"/>
      <c r="D2125" s="26"/>
      <c r="E2125" s="24"/>
      <c r="F2125" s="24"/>
      <c r="G2125" s="24"/>
      <c r="H2125" s="24"/>
      <c r="I2125" s="24"/>
      <c r="J2125" s="24"/>
      <c r="K2125" s="24"/>
      <c r="L2125" s="24"/>
      <c r="M2125" s="24"/>
      <c r="N2125" s="24"/>
      <c r="O2125" s="24"/>
      <c r="P2125" s="24"/>
      <c r="Q2125" s="24"/>
      <c r="R2125" s="21"/>
    </row>
    <row r="2126" spans="1:18" x14ac:dyDescent="0.35">
      <c r="A2126" s="15"/>
      <c r="B2126" s="22"/>
      <c r="C2126" s="25"/>
      <c r="D2126" s="26"/>
      <c r="E2126" s="24"/>
      <c r="F2126" s="24"/>
      <c r="G2126" s="24"/>
      <c r="H2126" s="24"/>
      <c r="I2126" s="24"/>
      <c r="J2126" s="24"/>
      <c r="K2126" s="24"/>
      <c r="L2126" s="24"/>
      <c r="M2126" s="24"/>
      <c r="N2126" s="24"/>
      <c r="O2126" s="24"/>
      <c r="P2126" s="24"/>
      <c r="Q2126" s="24"/>
      <c r="R2126" s="21"/>
    </row>
    <row r="2127" spans="1:18" x14ac:dyDescent="0.35">
      <c r="A2127" s="15"/>
      <c r="B2127" s="22"/>
      <c r="C2127" s="25"/>
      <c r="D2127" s="26"/>
      <c r="E2127" s="24"/>
      <c r="F2127" s="24"/>
      <c r="G2127" s="24"/>
      <c r="H2127" s="24"/>
      <c r="I2127" s="24"/>
      <c r="J2127" s="24"/>
      <c r="K2127" s="24"/>
      <c r="L2127" s="24"/>
      <c r="M2127" s="24"/>
      <c r="N2127" s="24"/>
      <c r="O2127" s="24"/>
      <c r="P2127" s="24"/>
      <c r="Q2127" s="24"/>
      <c r="R2127" s="21"/>
    </row>
    <row r="2128" spans="1:18" x14ac:dyDescent="0.35">
      <c r="A2128" s="15"/>
      <c r="B2128" s="22"/>
      <c r="C2128" s="25"/>
      <c r="D2128" s="26"/>
      <c r="E2128" s="24"/>
      <c r="F2128" s="24"/>
      <c r="G2128" s="24"/>
      <c r="H2128" s="24"/>
      <c r="I2128" s="24"/>
      <c r="J2128" s="24"/>
      <c r="K2128" s="24"/>
      <c r="L2128" s="24"/>
      <c r="M2128" s="24"/>
      <c r="N2128" s="24"/>
      <c r="O2128" s="24"/>
      <c r="P2128" s="24"/>
      <c r="Q2128" s="24"/>
      <c r="R2128" s="21"/>
    </row>
    <row r="2129" spans="1:18" x14ac:dyDescent="0.35">
      <c r="A2129" s="15"/>
      <c r="B2129" s="22"/>
      <c r="C2129" s="25"/>
      <c r="D2129" s="26"/>
      <c r="E2129" s="24"/>
      <c r="F2129" s="24"/>
      <c r="G2129" s="24"/>
      <c r="H2129" s="24"/>
      <c r="I2129" s="24"/>
      <c r="J2129" s="24"/>
      <c r="K2129" s="24"/>
      <c r="L2129" s="24"/>
      <c r="M2129" s="24"/>
      <c r="N2129" s="24"/>
      <c r="O2129" s="24"/>
      <c r="P2129" s="24"/>
      <c r="Q2129" s="24"/>
      <c r="R2129" s="14"/>
    </row>
    <row r="2130" spans="1:18" x14ac:dyDescent="0.35">
      <c r="A2130" s="15"/>
      <c r="B2130" s="22"/>
      <c r="C2130" s="25"/>
      <c r="D2130" s="26"/>
      <c r="E2130" s="24"/>
      <c r="F2130" s="24"/>
      <c r="G2130" s="24"/>
      <c r="H2130" s="24"/>
      <c r="I2130" s="24"/>
      <c r="J2130" s="24"/>
      <c r="K2130" s="24"/>
      <c r="L2130" s="24"/>
      <c r="M2130" s="24"/>
      <c r="N2130" s="24"/>
      <c r="O2130" s="24"/>
      <c r="P2130" s="24"/>
      <c r="Q2130" s="24"/>
      <c r="R2130" s="14"/>
    </row>
    <row r="2131" spans="1:18" x14ac:dyDescent="0.35">
      <c r="A2131" s="15"/>
      <c r="B2131" s="22"/>
      <c r="C2131" s="25"/>
      <c r="D2131" s="26"/>
      <c r="E2131" s="24"/>
      <c r="F2131" s="24"/>
      <c r="G2131" s="24"/>
      <c r="H2131" s="24"/>
      <c r="I2131" s="24"/>
      <c r="J2131" s="24"/>
      <c r="K2131" s="24"/>
      <c r="L2131" s="24"/>
      <c r="M2131" s="24"/>
      <c r="N2131" s="24"/>
      <c r="O2131" s="24"/>
      <c r="P2131" s="24"/>
      <c r="Q2131" s="24"/>
      <c r="R2131" s="14"/>
    </row>
    <row r="2132" spans="1:18" x14ac:dyDescent="0.35">
      <c r="A2132" s="15"/>
      <c r="B2132" s="22"/>
      <c r="C2132" s="25"/>
      <c r="D2132" s="26"/>
      <c r="E2132" s="24"/>
      <c r="F2132" s="24"/>
      <c r="G2132" s="24"/>
      <c r="H2132" s="24"/>
      <c r="I2132" s="24"/>
      <c r="J2132" s="24"/>
      <c r="K2132" s="24"/>
      <c r="L2132" s="24"/>
      <c r="M2132" s="24"/>
      <c r="N2132" s="24"/>
      <c r="O2132" s="24"/>
      <c r="P2132" s="24"/>
      <c r="Q2132" s="24"/>
      <c r="R2132" s="14"/>
    </row>
    <row r="2133" spans="1:18" x14ac:dyDescent="0.35">
      <c r="A2133" s="15"/>
      <c r="B2133" s="22"/>
      <c r="C2133" s="25"/>
      <c r="D2133" s="26"/>
      <c r="E2133" s="24"/>
      <c r="F2133" s="24"/>
      <c r="G2133" s="24"/>
      <c r="H2133" s="24"/>
      <c r="I2133" s="24"/>
      <c r="J2133" s="24"/>
      <c r="K2133" s="24"/>
      <c r="L2133" s="24"/>
      <c r="M2133" s="24"/>
      <c r="N2133" s="24"/>
      <c r="O2133" s="24"/>
      <c r="P2133" s="24"/>
      <c r="Q2133" s="24"/>
      <c r="R2133" s="14"/>
    </row>
    <row r="2134" spans="1:18" x14ac:dyDescent="0.35">
      <c r="A2134" s="15"/>
      <c r="B2134" s="22"/>
      <c r="C2134" s="25"/>
      <c r="D2134" s="26"/>
      <c r="E2134" s="24"/>
      <c r="F2134" s="24"/>
      <c r="G2134" s="24"/>
      <c r="H2134" s="24"/>
      <c r="I2134" s="24"/>
      <c r="J2134" s="24"/>
      <c r="K2134" s="24"/>
      <c r="L2134" s="24"/>
      <c r="M2134" s="24"/>
      <c r="N2134" s="24"/>
      <c r="O2134" s="24"/>
      <c r="P2134" s="24"/>
      <c r="Q2134" s="24"/>
      <c r="R2134" s="14"/>
    </row>
    <row r="2135" spans="1:18" x14ac:dyDescent="0.35">
      <c r="A2135" s="15"/>
      <c r="B2135" s="22"/>
      <c r="C2135" s="25"/>
      <c r="D2135" s="26"/>
      <c r="E2135" s="24"/>
      <c r="F2135" s="24"/>
      <c r="G2135" s="24"/>
      <c r="H2135" s="24"/>
      <c r="I2135" s="24"/>
      <c r="J2135" s="24"/>
      <c r="K2135" s="24"/>
      <c r="L2135" s="24"/>
      <c r="M2135" s="24"/>
      <c r="N2135" s="24"/>
      <c r="O2135" s="24"/>
      <c r="P2135" s="24"/>
      <c r="Q2135" s="24"/>
      <c r="R2135" s="14"/>
    </row>
    <row r="2136" spans="1:18" x14ac:dyDescent="0.35">
      <c r="A2136" s="15"/>
      <c r="B2136" s="22"/>
      <c r="C2136" s="25"/>
      <c r="D2136" s="26"/>
      <c r="E2136" s="24"/>
      <c r="F2136" s="24"/>
      <c r="G2136" s="24"/>
      <c r="H2136" s="24"/>
      <c r="I2136" s="24"/>
      <c r="J2136" s="24"/>
      <c r="K2136" s="24"/>
      <c r="L2136" s="24"/>
      <c r="M2136" s="24"/>
      <c r="N2136" s="24"/>
      <c r="O2136" s="24"/>
      <c r="P2136" s="24"/>
      <c r="Q2136" s="24"/>
      <c r="R2136" s="21"/>
    </row>
    <row r="2137" spans="1:18" x14ac:dyDescent="0.35">
      <c r="A2137" s="15"/>
      <c r="B2137" s="22"/>
      <c r="C2137" s="25"/>
      <c r="D2137" s="26"/>
      <c r="E2137" s="24"/>
      <c r="F2137" s="24"/>
      <c r="G2137" s="24"/>
      <c r="H2137" s="24"/>
      <c r="I2137" s="24"/>
      <c r="J2137" s="24"/>
      <c r="K2137" s="24"/>
      <c r="L2137" s="24"/>
      <c r="M2137" s="24"/>
      <c r="N2137" s="24"/>
      <c r="O2137" s="24"/>
      <c r="P2137" s="24"/>
      <c r="Q2137" s="24"/>
      <c r="R2137" s="21"/>
    </row>
    <row r="2138" spans="1:18" x14ac:dyDescent="0.35">
      <c r="A2138" s="15"/>
      <c r="B2138" s="22"/>
      <c r="C2138" s="25"/>
      <c r="D2138" s="26"/>
      <c r="E2138" s="24"/>
      <c r="F2138" s="24"/>
      <c r="G2138" s="24"/>
      <c r="H2138" s="24"/>
      <c r="I2138" s="24"/>
      <c r="J2138" s="24"/>
      <c r="K2138" s="24"/>
      <c r="L2138" s="24"/>
      <c r="M2138" s="24"/>
      <c r="N2138" s="24"/>
      <c r="O2138" s="24"/>
      <c r="P2138" s="24"/>
      <c r="Q2138" s="24"/>
      <c r="R2138" s="21"/>
    </row>
    <row r="2139" spans="1:18" x14ac:dyDescent="0.35">
      <c r="A2139" s="15"/>
      <c r="B2139" s="22"/>
      <c r="C2139" s="25"/>
      <c r="D2139" s="26"/>
      <c r="E2139" s="24"/>
      <c r="F2139" s="24"/>
      <c r="G2139" s="24"/>
      <c r="H2139" s="24"/>
      <c r="I2139" s="24"/>
      <c r="J2139" s="24"/>
      <c r="K2139" s="24"/>
      <c r="L2139" s="24"/>
      <c r="M2139" s="24"/>
      <c r="N2139" s="24"/>
      <c r="O2139" s="24"/>
      <c r="P2139" s="24"/>
      <c r="Q2139" s="24"/>
      <c r="R2139" s="21"/>
    </row>
    <row r="2140" spans="1:18" x14ac:dyDescent="0.35">
      <c r="A2140" s="15"/>
      <c r="B2140" s="22"/>
      <c r="C2140" s="25"/>
      <c r="D2140" s="26"/>
      <c r="E2140" s="24"/>
      <c r="F2140" s="24"/>
      <c r="G2140" s="24"/>
      <c r="H2140" s="24"/>
      <c r="I2140" s="24"/>
      <c r="J2140" s="24"/>
      <c r="K2140" s="24"/>
      <c r="L2140" s="24"/>
      <c r="M2140" s="24"/>
      <c r="N2140" s="24"/>
      <c r="O2140" s="24"/>
      <c r="P2140" s="24"/>
      <c r="Q2140" s="24"/>
      <c r="R2140" s="21"/>
    </row>
    <row r="2141" spans="1:18" x14ac:dyDescent="0.35">
      <c r="A2141" s="15"/>
      <c r="B2141" s="22"/>
      <c r="C2141" s="25"/>
      <c r="D2141" s="26"/>
      <c r="E2141" s="24"/>
      <c r="F2141" s="24"/>
      <c r="G2141" s="24"/>
      <c r="H2141" s="24"/>
      <c r="I2141" s="24"/>
      <c r="J2141" s="24"/>
      <c r="K2141" s="24"/>
      <c r="L2141" s="24"/>
      <c r="M2141" s="24"/>
      <c r="N2141" s="24"/>
      <c r="O2141" s="24"/>
      <c r="P2141" s="24"/>
      <c r="Q2141" s="24"/>
      <c r="R2141" s="21"/>
    </row>
    <row r="2142" spans="1:18" x14ac:dyDescent="0.35">
      <c r="A2142" s="15"/>
      <c r="B2142" s="22"/>
      <c r="C2142" s="25"/>
      <c r="D2142" s="26"/>
      <c r="E2142" s="24"/>
      <c r="F2142" s="24"/>
      <c r="G2142" s="24"/>
      <c r="H2142" s="24"/>
      <c r="I2142" s="24"/>
      <c r="J2142" s="24"/>
      <c r="K2142" s="24"/>
      <c r="L2142" s="24"/>
      <c r="M2142" s="24"/>
      <c r="N2142" s="24"/>
      <c r="O2142" s="24"/>
      <c r="P2142" s="24"/>
      <c r="Q2142" s="24"/>
      <c r="R2142" s="21"/>
    </row>
    <row r="2143" spans="1:18" x14ac:dyDescent="0.35">
      <c r="A2143" s="15"/>
      <c r="B2143" s="22"/>
      <c r="C2143" s="25"/>
      <c r="D2143" s="26"/>
      <c r="E2143" s="24"/>
      <c r="F2143" s="24"/>
      <c r="G2143" s="24"/>
      <c r="H2143" s="24"/>
      <c r="I2143" s="24"/>
      <c r="J2143" s="24"/>
      <c r="K2143" s="24"/>
      <c r="L2143" s="24"/>
      <c r="M2143" s="24"/>
      <c r="N2143" s="24"/>
      <c r="O2143" s="24"/>
      <c r="P2143" s="24"/>
      <c r="Q2143" s="24"/>
      <c r="R2143" s="21"/>
    </row>
    <row r="2144" spans="1:18" x14ac:dyDescent="0.35">
      <c r="A2144" s="15"/>
      <c r="B2144" s="22"/>
      <c r="C2144" s="25"/>
      <c r="D2144" s="26"/>
      <c r="E2144" s="24"/>
      <c r="F2144" s="24"/>
      <c r="G2144" s="24"/>
      <c r="H2144" s="24"/>
      <c r="I2144" s="24"/>
      <c r="J2144" s="24"/>
      <c r="K2144" s="24"/>
      <c r="L2144" s="24"/>
      <c r="M2144" s="24"/>
      <c r="N2144" s="24"/>
      <c r="O2144" s="24"/>
      <c r="P2144" s="24"/>
      <c r="Q2144" s="24"/>
      <c r="R2144" s="21"/>
    </row>
    <row r="2145" spans="1:18" x14ac:dyDescent="0.35">
      <c r="A2145" s="15"/>
      <c r="B2145" s="22"/>
      <c r="C2145" s="25"/>
      <c r="D2145" s="26"/>
      <c r="E2145" s="24"/>
      <c r="F2145" s="24"/>
      <c r="G2145" s="24"/>
      <c r="H2145" s="24"/>
      <c r="I2145" s="24"/>
      <c r="J2145" s="24"/>
      <c r="K2145" s="24"/>
      <c r="L2145" s="24"/>
      <c r="M2145" s="24"/>
      <c r="N2145" s="24"/>
      <c r="O2145" s="24"/>
      <c r="P2145" s="24"/>
      <c r="Q2145" s="24"/>
      <c r="R2145" s="14"/>
    </row>
    <row r="2146" spans="1:18" x14ac:dyDescent="0.35">
      <c r="A2146" s="15"/>
      <c r="B2146" s="22"/>
      <c r="C2146" s="25"/>
      <c r="D2146" s="26"/>
      <c r="E2146" s="24"/>
      <c r="F2146" s="24"/>
      <c r="G2146" s="24"/>
      <c r="H2146" s="24"/>
      <c r="I2146" s="24"/>
      <c r="J2146" s="24"/>
      <c r="K2146" s="24"/>
      <c r="L2146" s="24"/>
      <c r="M2146" s="24"/>
      <c r="N2146" s="24"/>
      <c r="O2146" s="24"/>
      <c r="P2146" s="24"/>
      <c r="Q2146" s="24"/>
      <c r="R2146" s="14"/>
    </row>
    <row r="2147" spans="1:18" x14ac:dyDescent="0.35">
      <c r="A2147" s="15"/>
      <c r="B2147" s="22"/>
      <c r="C2147" s="25"/>
      <c r="D2147" s="26"/>
      <c r="E2147" s="24"/>
      <c r="F2147" s="24"/>
      <c r="G2147" s="24"/>
      <c r="H2147" s="24"/>
      <c r="I2147" s="24"/>
      <c r="J2147" s="24"/>
      <c r="K2147" s="24"/>
      <c r="L2147" s="24"/>
      <c r="M2147" s="24"/>
      <c r="N2147" s="24"/>
      <c r="O2147" s="24"/>
      <c r="P2147" s="24"/>
      <c r="Q2147" s="24"/>
      <c r="R2147" s="14"/>
    </row>
    <row r="2148" spans="1:18" x14ac:dyDescent="0.35">
      <c r="A2148" s="15"/>
      <c r="B2148" s="22"/>
      <c r="C2148" s="25"/>
      <c r="D2148" s="26"/>
      <c r="E2148" s="24"/>
      <c r="F2148" s="24"/>
      <c r="G2148" s="24"/>
      <c r="H2148" s="24"/>
      <c r="I2148" s="24"/>
      <c r="J2148" s="24"/>
      <c r="K2148" s="24"/>
      <c r="L2148" s="24"/>
      <c r="M2148" s="24"/>
      <c r="N2148" s="24"/>
      <c r="O2148" s="24"/>
      <c r="P2148" s="24"/>
      <c r="Q2148" s="24"/>
      <c r="R2148" s="14"/>
    </row>
    <row r="2149" spans="1:18" x14ac:dyDescent="0.35">
      <c r="A2149" s="15"/>
      <c r="B2149" s="22"/>
      <c r="C2149" s="25"/>
      <c r="D2149" s="26"/>
      <c r="E2149" s="24"/>
      <c r="F2149" s="24"/>
      <c r="G2149" s="24"/>
      <c r="H2149" s="24"/>
      <c r="I2149" s="24"/>
      <c r="J2149" s="24"/>
      <c r="K2149" s="24"/>
      <c r="L2149" s="24"/>
      <c r="M2149" s="24"/>
      <c r="N2149" s="24"/>
      <c r="O2149" s="24"/>
      <c r="P2149" s="24"/>
      <c r="Q2149" s="24"/>
      <c r="R2149" s="14"/>
    </row>
    <row r="2150" spans="1:18" x14ac:dyDescent="0.35">
      <c r="A2150" s="15"/>
      <c r="B2150" s="22"/>
      <c r="C2150" s="25"/>
      <c r="D2150" s="26"/>
      <c r="E2150" s="24"/>
      <c r="F2150" s="24"/>
      <c r="G2150" s="24"/>
      <c r="H2150" s="24"/>
      <c r="I2150" s="24"/>
      <c r="J2150" s="24"/>
      <c r="K2150" s="24"/>
      <c r="L2150" s="24"/>
      <c r="M2150" s="24"/>
      <c r="N2150" s="24"/>
      <c r="O2150" s="24"/>
      <c r="P2150" s="24"/>
      <c r="Q2150" s="24"/>
      <c r="R2150" s="14"/>
    </row>
    <row r="2151" spans="1:18" x14ac:dyDescent="0.35">
      <c r="A2151" s="15"/>
      <c r="B2151" s="22"/>
      <c r="C2151" s="25"/>
      <c r="D2151" s="26"/>
      <c r="E2151" s="24"/>
      <c r="F2151" s="24"/>
      <c r="G2151" s="24"/>
      <c r="H2151" s="24"/>
      <c r="I2151" s="24"/>
      <c r="J2151" s="24"/>
      <c r="K2151" s="24"/>
      <c r="L2151" s="24"/>
      <c r="M2151" s="24"/>
      <c r="N2151" s="24"/>
      <c r="O2151" s="24"/>
      <c r="P2151" s="24"/>
      <c r="Q2151" s="24"/>
      <c r="R2151" s="14"/>
    </row>
    <row r="2152" spans="1:18" x14ac:dyDescent="0.35">
      <c r="A2152" s="15"/>
      <c r="B2152" s="22"/>
      <c r="C2152" s="25"/>
      <c r="D2152" s="26"/>
      <c r="E2152" s="24"/>
      <c r="F2152" s="24"/>
      <c r="G2152" s="24"/>
      <c r="H2152" s="24"/>
      <c r="I2152" s="24"/>
      <c r="J2152" s="24"/>
      <c r="K2152" s="24"/>
      <c r="L2152" s="24"/>
      <c r="M2152" s="24"/>
      <c r="N2152" s="24"/>
      <c r="O2152" s="24"/>
      <c r="P2152" s="24"/>
      <c r="Q2152" s="24"/>
      <c r="R2152" s="14"/>
    </row>
    <row r="2153" spans="1:18" x14ac:dyDescent="0.35">
      <c r="A2153" s="15"/>
      <c r="B2153" s="22"/>
      <c r="C2153" s="25"/>
      <c r="D2153" s="26"/>
      <c r="E2153" s="24"/>
      <c r="F2153" s="24"/>
      <c r="G2153" s="24"/>
      <c r="H2153" s="24"/>
      <c r="I2153" s="24"/>
      <c r="J2153" s="24"/>
      <c r="K2153" s="24"/>
      <c r="L2153" s="24"/>
      <c r="M2153" s="24"/>
      <c r="N2153" s="24"/>
      <c r="O2153" s="24"/>
      <c r="P2153" s="24"/>
      <c r="Q2153" s="24"/>
      <c r="R2153" s="14"/>
    </row>
    <row r="2154" spans="1:18" x14ac:dyDescent="0.35">
      <c r="A2154" s="15"/>
      <c r="B2154" s="22"/>
      <c r="C2154" s="25"/>
      <c r="D2154" s="26"/>
      <c r="E2154" s="24"/>
      <c r="F2154" s="24"/>
      <c r="G2154" s="24"/>
      <c r="H2154" s="24"/>
      <c r="I2154" s="24"/>
      <c r="J2154" s="24"/>
      <c r="K2154" s="24"/>
      <c r="L2154" s="24"/>
      <c r="M2154" s="24"/>
      <c r="N2154" s="24"/>
      <c r="O2154" s="24"/>
      <c r="P2154" s="24"/>
      <c r="Q2154" s="24"/>
      <c r="R2154" s="14"/>
    </row>
    <row r="2155" spans="1:18" x14ac:dyDescent="0.35">
      <c r="A2155" s="15"/>
      <c r="B2155" s="22"/>
      <c r="C2155" s="25"/>
      <c r="D2155" s="26"/>
      <c r="E2155" s="24"/>
      <c r="F2155" s="24"/>
      <c r="G2155" s="24"/>
      <c r="H2155" s="24"/>
      <c r="I2155" s="24"/>
      <c r="J2155" s="24"/>
      <c r="K2155" s="24"/>
      <c r="L2155" s="24"/>
      <c r="M2155" s="24"/>
      <c r="N2155" s="24"/>
      <c r="O2155" s="24"/>
      <c r="P2155" s="24"/>
      <c r="Q2155" s="24"/>
      <c r="R2155" s="14"/>
    </row>
    <row r="2156" spans="1:18" x14ac:dyDescent="0.35">
      <c r="A2156" s="15"/>
      <c r="B2156" s="22"/>
      <c r="C2156" s="25"/>
      <c r="D2156" s="26"/>
      <c r="E2156" s="24"/>
      <c r="F2156" s="24"/>
      <c r="G2156" s="24"/>
      <c r="H2156" s="24"/>
      <c r="I2156" s="24"/>
      <c r="J2156" s="24"/>
      <c r="K2156" s="24"/>
      <c r="L2156" s="24"/>
      <c r="M2156" s="24"/>
      <c r="N2156" s="24"/>
      <c r="O2156" s="24"/>
      <c r="P2156" s="24"/>
      <c r="Q2156" s="24"/>
      <c r="R2156" s="14"/>
    </row>
    <row r="2157" spans="1:18" x14ac:dyDescent="0.35">
      <c r="A2157" s="15"/>
      <c r="B2157" s="22"/>
      <c r="C2157" s="25"/>
      <c r="D2157" s="26"/>
      <c r="E2157" s="24"/>
      <c r="F2157" s="24"/>
      <c r="G2157" s="24"/>
      <c r="H2157" s="24"/>
      <c r="I2157" s="24"/>
      <c r="J2157" s="24"/>
      <c r="K2157" s="24"/>
      <c r="L2157" s="24"/>
      <c r="M2157" s="24"/>
      <c r="N2157" s="24"/>
      <c r="O2157" s="24"/>
      <c r="P2157" s="24"/>
      <c r="Q2157" s="24"/>
      <c r="R2157" s="14"/>
    </row>
    <row r="2158" spans="1:18" x14ac:dyDescent="0.35">
      <c r="A2158" s="15"/>
      <c r="B2158" s="22"/>
      <c r="C2158" s="25"/>
      <c r="D2158" s="26"/>
      <c r="E2158" s="24"/>
      <c r="F2158" s="24"/>
      <c r="G2158" s="24"/>
      <c r="H2158" s="24"/>
      <c r="I2158" s="24"/>
      <c r="J2158" s="24"/>
      <c r="K2158" s="24"/>
      <c r="L2158" s="24"/>
      <c r="M2158" s="24"/>
      <c r="N2158" s="24"/>
      <c r="O2158" s="24"/>
      <c r="P2158" s="24"/>
      <c r="Q2158" s="24"/>
      <c r="R2158" s="14"/>
    </row>
    <row r="2159" spans="1:18" x14ac:dyDescent="0.35">
      <c r="A2159" s="15"/>
      <c r="B2159" s="22"/>
      <c r="C2159" s="25"/>
      <c r="D2159" s="26"/>
      <c r="E2159" s="24"/>
      <c r="F2159" s="24"/>
      <c r="G2159" s="24"/>
      <c r="H2159" s="24"/>
      <c r="I2159" s="24"/>
      <c r="J2159" s="24"/>
      <c r="K2159" s="24"/>
      <c r="L2159" s="24"/>
      <c r="M2159" s="24"/>
      <c r="N2159" s="24"/>
      <c r="O2159" s="24"/>
      <c r="P2159" s="24"/>
      <c r="Q2159" s="24"/>
      <c r="R2159" s="14"/>
    </row>
    <row r="2160" spans="1:18" x14ac:dyDescent="0.35">
      <c r="A2160" s="15"/>
      <c r="B2160" s="22"/>
      <c r="C2160" s="25"/>
      <c r="D2160" s="26"/>
      <c r="E2160" s="24"/>
      <c r="F2160" s="24"/>
      <c r="G2160" s="24"/>
      <c r="H2160" s="24"/>
      <c r="I2160" s="24"/>
      <c r="J2160" s="24"/>
      <c r="K2160" s="24"/>
      <c r="L2160" s="24"/>
      <c r="M2160" s="24"/>
      <c r="N2160" s="24"/>
      <c r="O2160" s="24"/>
      <c r="P2160" s="24"/>
      <c r="Q2160" s="24"/>
      <c r="R2160" s="21"/>
    </row>
    <row r="2161" spans="1:18" x14ac:dyDescent="0.35">
      <c r="A2161" s="15"/>
      <c r="B2161" s="22"/>
      <c r="C2161" s="25"/>
      <c r="D2161" s="26"/>
      <c r="E2161" s="24"/>
      <c r="F2161" s="24"/>
      <c r="G2161" s="24"/>
      <c r="H2161" s="24"/>
      <c r="I2161" s="24"/>
      <c r="J2161" s="24"/>
      <c r="K2161" s="24"/>
      <c r="L2161" s="24"/>
      <c r="M2161" s="24"/>
      <c r="N2161" s="24"/>
      <c r="O2161" s="24"/>
      <c r="P2161" s="24"/>
      <c r="Q2161" s="24"/>
      <c r="R2161" s="21"/>
    </row>
    <row r="2162" spans="1:18" x14ac:dyDescent="0.35">
      <c r="A2162" s="15"/>
      <c r="B2162" s="22"/>
      <c r="C2162" s="25"/>
      <c r="D2162" s="26"/>
      <c r="E2162" s="24"/>
      <c r="F2162" s="24"/>
      <c r="G2162" s="24"/>
      <c r="H2162" s="24"/>
      <c r="I2162" s="24"/>
      <c r="J2162" s="24"/>
      <c r="K2162" s="24"/>
      <c r="L2162" s="24"/>
      <c r="M2162" s="24"/>
      <c r="N2162" s="24"/>
      <c r="O2162" s="24"/>
      <c r="P2162" s="24"/>
      <c r="Q2162" s="24"/>
      <c r="R2162" s="21"/>
    </row>
    <row r="2163" spans="1:18" x14ac:dyDescent="0.35">
      <c r="A2163" s="15"/>
      <c r="B2163" s="22"/>
      <c r="C2163" s="25"/>
      <c r="D2163" s="26"/>
      <c r="E2163" s="24"/>
      <c r="F2163" s="24"/>
      <c r="G2163" s="24"/>
      <c r="H2163" s="24"/>
      <c r="I2163" s="24"/>
      <c r="J2163" s="24"/>
      <c r="K2163" s="24"/>
      <c r="L2163" s="24"/>
      <c r="M2163" s="24"/>
      <c r="N2163" s="24"/>
      <c r="O2163" s="24"/>
      <c r="P2163" s="24"/>
      <c r="Q2163" s="24"/>
      <c r="R2163" s="21"/>
    </row>
    <row r="2164" spans="1:18" x14ac:dyDescent="0.35">
      <c r="A2164" s="15"/>
      <c r="B2164" s="22"/>
      <c r="C2164" s="25"/>
      <c r="D2164" s="26"/>
      <c r="E2164" s="24"/>
      <c r="F2164" s="24"/>
      <c r="G2164" s="24"/>
      <c r="H2164" s="24"/>
      <c r="I2164" s="24"/>
      <c r="J2164" s="24"/>
      <c r="K2164" s="24"/>
      <c r="L2164" s="24"/>
      <c r="M2164" s="24"/>
      <c r="N2164" s="24"/>
      <c r="O2164" s="24"/>
      <c r="P2164" s="24"/>
      <c r="Q2164" s="24"/>
      <c r="R2164" s="21"/>
    </row>
    <row r="2165" spans="1:18" x14ac:dyDescent="0.35">
      <c r="A2165" s="15"/>
      <c r="B2165" s="22"/>
      <c r="C2165" s="25"/>
      <c r="D2165" s="26"/>
      <c r="E2165" s="24"/>
      <c r="F2165" s="24"/>
      <c r="G2165" s="24"/>
      <c r="H2165" s="24"/>
      <c r="I2165" s="24"/>
      <c r="J2165" s="24"/>
      <c r="K2165" s="24"/>
      <c r="L2165" s="24"/>
      <c r="M2165" s="24"/>
      <c r="N2165" s="24"/>
      <c r="O2165" s="24"/>
      <c r="P2165" s="24"/>
      <c r="Q2165" s="24"/>
      <c r="R2165" s="21"/>
    </row>
    <row r="2166" spans="1:18" x14ac:dyDescent="0.35">
      <c r="A2166" s="15"/>
      <c r="B2166" s="22"/>
      <c r="C2166" s="25"/>
      <c r="D2166" s="26"/>
      <c r="E2166" s="24"/>
      <c r="F2166" s="24"/>
      <c r="G2166" s="24"/>
      <c r="H2166" s="24"/>
      <c r="I2166" s="24"/>
      <c r="J2166" s="24"/>
      <c r="K2166" s="24"/>
      <c r="L2166" s="24"/>
      <c r="M2166" s="24"/>
      <c r="N2166" s="24"/>
      <c r="O2166" s="24"/>
      <c r="P2166" s="24"/>
      <c r="Q2166" s="24"/>
      <c r="R2166" s="21"/>
    </row>
    <row r="2167" spans="1:18" x14ac:dyDescent="0.35">
      <c r="A2167" s="20"/>
      <c r="B2167" s="22"/>
      <c r="C2167" s="25"/>
      <c r="D2167" s="26"/>
      <c r="E2167" s="24"/>
      <c r="F2167" s="24"/>
      <c r="G2167" s="24"/>
      <c r="H2167" s="24"/>
      <c r="I2167" s="24"/>
      <c r="J2167" s="24"/>
      <c r="K2167" s="24"/>
      <c r="L2167" s="24"/>
      <c r="M2167" s="24"/>
      <c r="N2167" s="24"/>
      <c r="O2167" s="24"/>
      <c r="P2167" s="24"/>
      <c r="Q2167" s="24"/>
      <c r="R2167" s="21"/>
    </row>
    <row r="2168" spans="1:18" x14ac:dyDescent="0.35">
      <c r="A2168" s="20"/>
      <c r="B2168" s="22"/>
      <c r="C2168" s="25"/>
      <c r="D2168" s="26"/>
      <c r="E2168" s="24"/>
      <c r="F2168" s="24"/>
      <c r="G2168" s="24"/>
      <c r="H2168" s="24"/>
      <c r="I2168" s="24"/>
      <c r="J2168" s="24"/>
      <c r="K2168" s="24"/>
      <c r="L2168" s="24"/>
      <c r="M2168" s="24"/>
      <c r="N2168" s="24"/>
      <c r="O2168" s="24"/>
      <c r="P2168" s="24"/>
      <c r="Q2168" s="24"/>
      <c r="R2168" s="21"/>
    </row>
    <row r="2169" spans="1:18" x14ac:dyDescent="0.35">
      <c r="A2169" s="20"/>
      <c r="B2169" s="22"/>
      <c r="C2169" s="25"/>
      <c r="D2169" s="26"/>
      <c r="E2169" s="24"/>
      <c r="F2169" s="24"/>
      <c r="G2169" s="24"/>
      <c r="H2169" s="24"/>
      <c r="I2169" s="24"/>
      <c r="J2169" s="24"/>
      <c r="K2169" s="24"/>
      <c r="L2169" s="24"/>
      <c r="M2169" s="24"/>
      <c r="N2169" s="24"/>
      <c r="O2169" s="24"/>
      <c r="P2169" s="24"/>
      <c r="Q2169" s="24"/>
      <c r="R2169" s="21"/>
    </row>
    <row r="2170" spans="1:18" x14ac:dyDescent="0.35">
      <c r="A2170" s="20"/>
      <c r="B2170" s="22"/>
      <c r="C2170" s="25"/>
      <c r="D2170" s="26"/>
      <c r="E2170" s="24"/>
      <c r="F2170" s="24"/>
      <c r="G2170" s="24"/>
      <c r="H2170" s="24"/>
      <c r="I2170" s="24"/>
      <c r="J2170" s="24"/>
      <c r="K2170" s="24"/>
      <c r="L2170" s="24"/>
      <c r="M2170" s="24"/>
      <c r="N2170" s="24"/>
      <c r="O2170" s="24"/>
      <c r="P2170" s="24"/>
      <c r="Q2170" s="24"/>
      <c r="R2170" s="21"/>
    </row>
    <row r="2171" spans="1:18" x14ac:dyDescent="0.35">
      <c r="A2171" s="20"/>
      <c r="B2171" s="22"/>
      <c r="C2171" s="25"/>
      <c r="D2171" s="26"/>
      <c r="E2171" s="24"/>
      <c r="F2171" s="24"/>
      <c r="G2171" s="24"/>
      <c r="H2171" s="24"/>
      <c r="I2171" s="24"/>
      <c r="J2171" s="24"/>
      <c r="K2171" s="24"/>
      <c r="L2171" s="24"/>
      <c r="M2171" s="24"/>
      <c r="N2171" s="24"/>
      <c r="O2171" s="24"/>
      <c r="P2171" s="24"/>
      <c r="Q2171" s="24"/>
      <c r="R2171" s="21"/>
    </row>
    <row r="2172" spans="1:18" x14ac:dyDescent="0.35">
      <c r="A2172" s="20"/>
      <c r="B2172" s="22"/>
      <c r="C2172" s="25"/>
      <c r="D2172" s="26"/>
      <c r="E2172" s="24"/>
      <c r="F2172" s="24"/>
      <c r="G2172" s="24"/>
      <c r="H2172" s="24"/>
      <c r="I2172" s="24"/>
      <c r="J2172" s="24"/>
      <c r="K2172" s="24"/>
      <c r="L2172" s="24"/>
      <c r="M2172" s="24"/>
      <c r="N2172" s="24"/>
      <c r="O2172" s="24"/>
      <c r="P2172" s="24"/>
      <c r="Q2172" s="24"/>
      <c r="R2172" s="21"/>
    </row>
    <row r="2173" spans="1:18" x14ac:dyDescent="0.35">
      <c r="A2173" s="20"/>
      <c r="B2173" s="22"/>
      <c r="C2173" s="25"/>
      <c r="D2173" s="26"/>
      <c r="E2173" s="24"/>
      <c r="F2173" s="24"/>
      <c r="G2173" s="24"/>
      <c r="H2173" s="24"/>
      <c r="I2173" s="24"/>
      <c r="J2173" s="24"/>
      <c r="K2173" s="24"/>
      <c r="L2173" s="24"/>
      <c r="M2173" s="24"/>
      <c r="N2173" s="24"/>
      <c r="O2173" s="24"/>
      <c r="P2173" s="24"/>
      <c r="Q2173" s="24"/>
      <c r="R2173" s="21"/>
    </row>
    <row r="2174" spans="1:18" x14ac:dyDescent="0.35">
      <c r="A2174" s="20"/>
      <c r="B2174" s="22"/>
      <c r="C2174" s="25"/>
      <c r="D2174" s="26"/>
      <c r="E2174" s="24"/>
      <c r="F2174" s="24"/>
      <c r="G2174" s="24"/>
      <c r="H2174" s="24"/>
      <c r="I2174" s="24"/>
      <c r="J2174" s="24"/>
      <c r="K2174" s="24"/>
      <c r="L2174" s="24"/>
      <c r="M2174" s="24"/>
      <c r="N2174" s="24"/>
      <c r="O2174" s="24"/>
      <c r="P2174" s="24"/>
      <c r="Q2174" s="24"/>
      <c r="R2174" s="21"/>
    </row>
    <row r="2175" spans="1:18" x14ac:dyDescent="0.35">
      <c r="A2175" s="20"/>
      <c r="B2175" s="22"/>
      <c r="C2175" s="25"/>
      <c r="D2175" s="26"/>
      <c r="E2175" s="24"/>
      <c r="F2175" s="24"/>
      <c r="G2175" s="24"/>
      <c r="H2175" s="24"/>
      <c r="I2175" s="24"/>
      <c r="J2175" s="24"/>
      <c r="K2175" s="24"/>
      <c r="L2175" s="24"/>
      <c r="M2175" s="24"/>
      <c r="N2175" s="24"/>
      <c r="O2175" s="24"/>
      <c r="P2175" s="24"/>
      <c r="Q2175" s="24"/>
      <c r="R2175" s="21"/>
    </row>
    <row r="2176" spans="1:18" x14ac:dyDescent="0.35">
      <c r="A2176" s="20"/>
      <c r="B2176" s="22"/>
      <c r="C2176" s="25"/>
      <c r="D2176" s="26"/>
      <c r="E2176" s="24"/>
      <c r="F2176" s="24"/>
      <c r="G2176" s="24"/>
      <c r="H2176" s="24"/>
      <c r="I2176" s="24"/>
      <c r="J2176" s="24"/>
      <c r="K2176" s="24"/>
      <c r="L2176" s="24"/>
      <c r="M2176" s="24"/>
      <c r="N2176" s="24"/>
      <c r="O2176" s="24"/>
      <c r="P2176" s="24"/>
      <c r="Q2176" s="24"/>
      <c r="R2176" s="14"/>
    </row>
    <row r="2177" spans="1:18" x14ac:dyDescent="0.35">
      <c r="A2177" s="20"/>
      <c r="B2177" s="22"/>
      <c r="C2177" s="25"/>
      <c r="D2177" s="26"/>
      <c r="E2177" s="24"/>
      <c r="F2177" s="24"/>
      <c r="G2177" s="24"/>
      <c r="H2177" s="24"/>
      <c r="I2177" s="24"/>
      <c r="J2177" s="24"/>
      <c r="K2177" s="24"/>
      <c r="L2177" s="24"/>
      <c r="M2177" s="24"/>
      <c r="N2177" s="24"/>
      <c r="O2177" s="24"/>
      <c r="P2177" s="24"/>
      <c r="Q2177" s="24"/>
      <c r="R2177" s="14"/>
    </row>
    <row r="2178" spans="1:18" x14ac:dyDescent="0.35">
      <c r="A2178" s="20"/>
      <c r="B2178" s="22"/>
      <c r="C2178" s="25"/>
      <c r="D2178" s="26"/>
      <c r="E2178" s="24"/>
      <c r="F2178" s="24"/>
      <c r="G2178" s="24"/>
      <c r="H2178" s="24"/>
      <c r="I2178" s="24"/>
      <c r="J2178" s="24"/>
      <c r="K2178" s="24"/>
      <c r="L2178" s="24"/>
      <c r="M2178" s="24"/>
      <c r="N2178" s="24"/>
      <c r="O2178" s="24"/>
      <c r="P2178" s="24"/>
      <c r="Q2178" s="24"/>
      <c r="R2178" s="14"/>
    </row>
    <row r="2179" spans="1:18" x14ac:dyDescent="0.35">
      <c r="A2179" s="20"/>
      <c r="B2179" s="22"/>
      <c r="C2179" s="25"/>
      <c r="D2179" s="26"/>
      <c r="E2179" s="24"/>
      <c r="F2179" s="24"/>
      <c r="G2179" s="24"/>
      <c r="H2179" s="24"/>
      <c r="I2179" s="24"/>
      <c r="J2179" s="24"/>
      <c r="K2179" s="24"/>
      <c r="L2179" s="24"/>
      <c r="M2179" s="24"/>
      <c r="N2179" s="24"/>
      <c r="O2179" s="24"/>
      <c r="P2179" s="24"/>
      <c r="Q2179" s="24"/>
      <c r="R2179" s="14"/>
    </row>
    <row r="2180" spans="1:18" x14ac:dyDescent="0.35">
      <c r="A2180" s="20"/>
      <c r="B2180" s="22"/>
      <c r="C2180" s="25"/>
      <c r="D2180" s="26"/>
      <c r="E2180" s="24"/>
      <c r="F2180" s="24"/>
      <c r="G2180" s="24"/>
      <c r="H2180" s="24"/>
      <c r="I2180" s="24"/>
      <c r="J2180" s="24"/>
      <c r="K2180" s="24"/>
      <c r="L2180" s="24"/>
      <c r="M2180" s="24"/>
      <c r="N2180" s="24"/>
      <c r="O2180" s="24"/>
      <c r="P2180" s="24"/>
      <c r="Q2180" s="24"/>
      <c r="R2180" s="14"/>
    </row>
    <row r="2181" spans="1:18" x14ac:dyDescent="0.35">
      <c r="A2181" s="20"/>
      <c r="B2181" s="22"/>
      <c r="C2181" s="25"/>
      <c r="D2181" s="26"/>
      <c r="E2181" s="24"/>
      <c r="F2181" s="24"/>
      <c r="G2181" s="24"/>
      <c r="H2181" s="24"/>
      <c r="I2181" s="24"/>
      <c r="J2181" s="24"/>
      <c r="K2181" s="24"/>
      <c r="L2181" s="24"/>
      <c r="M2181" s="24"/>
      <c r="N2181" s="24"/>
      <c r="O2181" s="24"/>
      <c r="P2181" s="24"/>
      <c r="Q2181" s="24"/>
      <c r="R2181" s="14"/>
    </row>
    <row r="2182" spans="1:18" x14ac:dyDescent="0.35">
      <c r="A2182" s="20"/>
      <c r="B2182" s="22"/>
      <c r="C2182" s="25"/>
      <c r="D2182" s="26"/>
      <c r="E2182" s="24"/>
      <c r="F2182" s="24"/>
      <c r="G2182" s="24"/>
      <c r="H2182" s="24"/>
      <c r="I2182" s="24"/>
      <c r="J2182" s="24"/>
      <c r="K2182" s="24"/>
      <c r="L2182" s="24"/>
      <c r="M2182" s="24"/>
      <c r="N2182" s="24"/>
      <c r="O2182" s="24"/>
      <c r="P2182" s="24"/>
      <c r="Q2182" s="24"/>
      <c r="R2182" s="14"/>
    </row>
    <row r="2183" spans="1:18" x14ac:dyDescent="0.35">
      <c r="A2183" s="20"/>
      <c r="B2183" s="22"/>
      <c r="C2183" s="25"/>
      <c r="D2183" s="26"/>
      <c r="E2183" s="24"/>
      <c r="F2183" s="24"/>
      <c r="G2183" s="24"/>
      <c r="H2183" s="24"/>
      <c r="I2183" s="24"/>
      <c r="J2183" s="24"/>
      <c r="K2183" s="24"/>
      <c r="L2183" s="24"/>
      <c r="M2183" s="24"/>
      <c r="N2183" s="24"/>
      <c r="O2183" s="24"/>
      <c r="P2183" s="24"/>
      <c r="Q2183" s="24"/>
      <c r="R2183" s="21"/>
    </row>
    <row r="2184" spans="1:18" x14ac:dyDescent="0.35">
      <c r="A2184" s="20"/>
      <c r="B2184" s="22"/>
      <c r="C2184" s="25"/>
      <c r="D2184" s="26"/>
      <c r="E2184" s="24"/>
      <c r="F2184" s="24"/>
      <c r="G2184" s="24"/>
      <c r="H2184" s="24"/>
      <c r="I2184" s="24"/>
      <c r="J2184" s="24"/>
      <c r="K2184" s="24"/>
      <c r="L2184" s="24"/>
      <c r="M2184" s="24"/>
      <c r="N2184" s="24"/>
      <c r="O2184" s="24"/>
      <c r="P2184" s="24"/>
      <c r="Q2184" s="24"/>
      <c r="R2184" s="21"/>
    </row>
    <row r="2185" spans="1:18" x14ac:dyDescent="0.35">
      <c r="A2185" s="20"/>
      <c r="B2185" s="22"/>
      <c r="C2185" s="25"/>
      <c r="D2185" s="26"/>
      <c r="E2185" s="24"/>
      <c r="F2185" s="24"/>
      <c r="G2185" s="24"/>
      <c r="H2185" s="24"/>
      <c r="I2185" s="24"/>
      <c r="J2185" s="24"/>
      <c r="K2185" s="24"/>
      <c r="L2185" s="24"/>
      <c r="M2185" s="24"/>
      <c r="N2185" s="24"/>
      <c r="O2185" s="24"/>
      <c r="P2185" s="24"/>
      <c r="Q2185" s="24"/>
      <c r="R2185" s="21"/>
    </row>
    <row r="2186" spans="1:18" x14ac:dyDescent="0.35">
      <c r="A2186" s="20"/>
      <c r="B2186" s="22"/>
      <c r="C2186" s="25"/>
      <c r="D2186" s="26"/>
      <c r="E2186" s="24"/>
      <c r="F2186" s="24"/>
      <c r="G2186" s="24"/>
      <c r="H2186" s="24"/>
      <c r="I2186" s="24"/>
      <c r="J2186" s="24"/>
      <c r="K2186" s="24"/>
      <c r="L2186" s="24"/>
      <c r="M2186" s="24"/>
      <c r="N2186" s="24"/>
      <c r="O2186" s="24"/>
      <c r="P2186" s="24"/>
      <c r="Q2186" s="24"/>
      <c r="R2186" s="21"/>
    </row>
    <row r="2187" spans="1:18" x14ac:dyDescent="0.35">
      <c r="A2187" s="20"/>
      <c r="B2187" s="22"/>
      <c r="C2187" s="25"/>
      <c r="D2187" s="26"/>
      <c r="E2187" s="24"/>
      <c r="F2187" s="24"/>
      <c r="G2187" s="24"/>
      <c r="H2187" s="24"/>
      <c r="I2187" s="24"/>
      <c r="J2187" s="24"/>
      <c r="K2187" s="24"/>
      <c r="L2187" s="24"/>
      <c r="M2187" s="24"/>
      <c r="N2187" s="24"/>
      <c r="O2187" s="24"/>
      <c r="P2187" s="24"/>
      <c r="Q2187" s="24"/>
      <c r="R2187" s="21"/>
    </row>
    <row r="2188" spans="1:18" x14ac:dyDescent="0.35">
      <c r="A2188" s="20"/>
      <c r="B2188" s="22"/>
      <c r="C2188" s="25"/>
      <c r="D2188" s="26"/>
      <c r="E2188" s="24"/>
      <c r="F2188" s="24"/>
      <c r="G2188" s="24"/>
      <c r="H2188" s="24"/>
      <c r="I2188" s="24"/>
      <c r="J2188" s="24"/>
      <c r="K2188" s="24"/>
      <c r="L2188" s="24"/>
      <c r="M2188" s="24"/>
      <c r="N2188" s="24"/>
      <c r="O2188" s="24"/>
      <c r="P2188" s="24"/>
      <c r="Q2188" s="24"/>
      <c r="R2188" s="21"/>
    </row>
    <row r="2189" spans="1:18" x14ac:dyDescent="0.35">
      <c r="A2189" s="20"/>
      <c r="B2189" s="22"/>
      <c r="C2189" s="25"/>
      <c r="D2189" s="26"/>
      <c r="E2189" s="24"/>
      <c r="F2189" s="24"/>
      <c r="G2189" s="24"/>
      <c r="H2189" s="24"/>
      <c r="I2189" s="24"/>
      <c r="J2189" s="24"/>
      <c r="K2189" s="24"/>
      <c r="L2189" s="24"/>
      <c r="M2189" s="24"/>
      <c r="N2189" s="24"/>
      <c r="O2189" s="24"/>
      <c r="P2189" s="24"/>
      <c r="Q2189" s="24"/>
      <c r="R2189" s="21"/>
    </row>
    <row r="2190" spans="1:18" x14ac:dyDescent="0.35">
      <c r="A2190" s="20"/>
      <c r="B2190" s="22"/>
      <c r="C2190" s="25"/>
      <c r="D2190" s="26"/>
      <c r="E2190" s="24"/>
      <c r="F2190" s="24"/>
      <c r="G2190" s="24"/>
      <c r="H2190" s="24"/>
      <c r="I2190" s="24"/>
      <c r="J2190" s="24"/>
      <c r="K2190" s="24"/>
      <c r="L2190" s="24"/>
      <c r="M2190" s="24"/>
      <c r="N2190" s="24"/>
      <c r="O2190" s="24"/>
      <c r="P2190" s="24"/>
      <c r="Q2190" s="24"/>
      <c r="R2190" s="21"/>
    </row>
    <row r="2191" spans="1:18" x14ac:dyDescent="0.35">
      <c r="A2191" s="20"/>
      <c r="B2191" s="22"/>
      <c r="C2191" s="25"/>
      <c r="D2191" s="26"/>
      <c r="E2191" s="24"/>
      <c r="F2191" s="24"/>
      <c r="G2191" s="24"/>
      <c r="H2191" s="24"/>
      <c r="I2191" s="24"/>
      <c r="J2191" s="24"/>
      <c r="K2191" s="24"/>
      <c r="L2191" s="24"/>
      <c r="M2191" s="24"/>
      <c r="N2191" s="24"/>
      <c r="O2191" s="24"/>
      <c r="P2191" s="24"/>
      <c r="Q2191" s="24"/>
      <c r="R2191" s="21"/>
    </row>
    <row r="2192" spans="1:18" x14ac:dyDescent="0.35">
      <c r="A2192" s="20"/>
      <c r="B2192" s="22"/>
      <c r="C2192" s="25"/>
      <c r="D2192" s="26"/>
      <c r="E2192" s="24"/>
      <c r="F2192" s="24"/>
      <c r="G2192" s="24"/>
      <c r="H2192" s="24"/>
      <c r="I2192" s="24"/>
      <c r="J2192" s="24"/>
      <c r="K2192" s="24"/>
      <c r="L2192" s="24"/>
      <c r="M2192" s="24"/>
      <c r="N2192" s="24"/>
      <c r="O2192" s="24"/>
      <c r="P2192" s="24"/>
      <c r="Q2192" s="24"/>
      <c r="R2192" s="14"/>
    </row>
    <row r="2193" spans="1:18" x14ac:dyDescent="0.35">
      <c r="A2193" s="20"/>
      <c r="B2193" s="22"/>
      <c r="C2193" s="25"/>
      <c r="D2193" s="26"/>
      <c r="E2193" s="24"/>
      <c r="F2193" s="24"/>
      <c r="G2193" s="24"/>
      <c r="H2193" s="24"/>
      <c r="I2193" s="24"/>
      <c r="J2193" s="24"/>
      <c r="K2193" s="24"/>
      <c r="L2193" s="24"/>
      <c r="M2193" s="24"/>
      <c r="N2193" s="24"/>
      <c r="O2193" s="24"/>
      <c r="P2193" s="24"/>
      <c r="Q2193" s="24"/>
      <c r="R2193" s="14"/>
    </row>
    <row r="2194" spans="1:18" x14ac:dyDescent="0.35">
      <c r="A2194" s="20"/>
      <c r="B2194" s="22"/>
      <c r="C2194" s="25"/>
      <c r="D2194" s="26"/>
      <c r="E2194" s="24"/>
      <c r="F2194" s="24"/>
      <c r="G2194" s="24"/>
      <c r="H2194" s="24"/>
      <c r="I2194" s="24"/>
      <c r="J2194" s="24"/>
      <c r="K2194" s="24"/>
      <c r="L2194" s="24"/>
      <c r="M2194" s="24"/>
      <c r="N2194" s="24"/>
      <c r="O2194" s="24"/>
      <c r="P2194" s="24"/>
      <c r="Q2194" s="24"/>
      <c r="R2194" s="14"/>
    </row>
    <row r="2195" spans="1:18" x14ac:dyDescent="0.35">
      <c r="A2195" s="20"/>
      <c r="B2195" s="22"/>
      <c r="C2195" s="25"/>
      <c r="D2195" s="26"/>
      <c r="E2195" s="24"/>
      <c r="F2195" s="24"/>
      <c r="G2195" s="24"/>
      <c r="H2195" s="24"/>
      <c r="I2195" s="24"/>
      <c r="J2195" s="24"/>
      <c r="K2195" s="24"/>
      <c r="L2195" s="24"/>
      <c r="M2195" s="24"/>
      <c r="N2195" s="24"/>
      <c r="O2195" s="24"/>
      <c r="P2195" s="24"/>
      <c r="Q2195" s="24"/>
      <c r="R2195" s="14"/>
    </row>
    <row r="2196" spans="1:18" x14ac:dyDescent="0.35">
      <c r="A2196" s="20"/>
      <c r="B2196" s="22"/>
      <c r="C2196" s="25"/>
      <c r="D2196" s="26"/>
      <c r="E2196" s="24"/>
      <c r="F2196" s="24"/>
      <c r="G2196" s="24"/>
      <c r="H2196" s="24"/>
      <c r="I2196" s="24"/>
      <c r="J2196" s="24"/>
      <c r="K2196" s="24"/>
      <c r="L2196" s="24"/>
      <c r="M2196" s="24"/>
      <c r="N2196" s="24"/>
      <c r="O2196" s="24"/>
      <c r="P2196" s="24"/>
      <c r="Q2196" s="24"/>
      <c r="R2196" s="14"/>
    </row>
    <row r="2197" spans="1:18" x14ac:dyDescent="0.35">
      <c r="A2197" s="20"/>
      <c r="B2197" s="22"/>
      <c r="C2197" s="25"/>
      <c r="D2197" s="26"/>
      <c r="E2197" s="24"/>
      <c r="F2197" s="24"/>
      <c r="G2197" s="24"/>
      <c r="H2197" s="24"/>
      <c r="I2197" s="24"/>
      <c r="J2197" s="24"/>
      <c r="K2197" s="24"/>
      <c r="L2197" s="24"/>
      <c r="M2197" s="24"/>
      <c r="N2197" s="24"/>
      <c r="O2197" s="24"/>
      <c r="P2197" s="24"/>
      <c r="Q2197" s="24"/>
      <c r="R2197" s="14"/>
    </row>
    <row r="2198" spans="1:18" x14ac:dyDescent="0.35">
      <c r="A2198" s="20"/>
      <c r="B2198" s="22"/>
      <c r="C2198" s="25"/>
      <c r="D2198" s="26"/>
      <c r="E2198" s="24"/>
      <c r="F2198" s="24"/>
      <c r="G2198" s="24"/>
      <c r="H2198" s="24"/>
      <c r="I2198" s="24"/>
      <c r="J2198" s="24"/>
      <c r="K2198" s="24"/>
      <c r="L2198" s="24"/>
      <c r="M2198" s="24"/>
      <c r="N2198" s="24"/>
      <c r="O2198" s="24"/>
      <c r="P2198" s="24"/>
      <c r="Q2198" s="24"/>
      <c r="R2198" s="14"/>
    </row>
    <row r="2199" spans="1:18" x14ac:dyDescent="0.35">
      <c r="A2199" s="20"/>
      <c r="B2199" s="22"/>
      <c r="C2199" s="25"/>
      <c r="D2199" s="26"/>
      <c r="E2199" s="24"/>
      <c r="F2199" s="24"/>
      <c r="G2199" s="24"/>
      <c r="H2199" s="24"/>
      <c r="I2199" s="24"/>
      <c r="J2199" s="24"/>
      <c r="K2199" s="24"/>
      <c r="L2199" s="24"/>
      <c r="M2199" s="24"/>
      <c r="N2199" s="24"/>
      <c r="O2199" s="24"/>
      <c r="P2199" s="24"/>
      <c r="Q2199" s="24"/>
      <c r="R2199" s="14"/>
    </row>
    <row r="2200" spans="1:18" x14ac:dyDescent="0.35">
      <c r="A2200" s="20"/>
      <c r="B2200" s="22"/>
      <c r="C2200" s="25"/>
      <c r="D2200" s="26"/>
      <c r="E2200" s="24"/>
      <c r="F2200" s="24"/>
      <c r="G2200" s="24"/>
      <c r="H2200" s="24"/>
      <c r="I2200" s="24"/>
      <c r="J2200" s="24"/>
      <c r="K2200" s="24"/>
      <c r="L2200" s="24"/>
      <c r="M2200" s="24"/>
      <c r="N2200" s="24"/>
      <c r="O2200" s="24"/>
      <c r="P2200" s="24"/>
      <c r="Q2200" s="24"/>
      <c r="R2200" s="14"/>
    </row>
    <row r="2201" spans="1:18" x14ac:dyDescent="0.35">
      <c r="A2201" s="20"/>
      <c r="B2201" s="22"/>
      <c r="C2201" s="25"/>
      <c r="D2201" s="26"/>
      <c r="E2201" s="24"/>
      <c r="F2201" s="24"/>
      <c r="G2201" s="24"/>
      <c r="H2201" s="24"/>
      <c r="I2201" s="24"/>
      <c r="J2201" s="24"/>
      <c r="K2201" s="24"/>
      <c r="L2201" s="24"/>
      <c r="M2201" s="24"/>
      <c r="N2201" s="24"/>
      <c r="O2201" s="24"/>
      <c r="P2201" s="24"/>
      <c r="Q2201" s="24"/>
      <c r="R2201" s="14"/>
    </row>
    <row r="2202" spans="1:18" x14ac:dyDescent="0.35">
      <c r="A2202" s="20"/>
      <c r="B2202" s="22"/>
      <c r="C2202" s="25"/>
      <c r="D2202" s="26"/>
      <c r="E2202" s="24"/>
      <c r="F2202" s="24"/>
      <c r="G2202" s="24"/>
      <c r="H2202" s="24"/>
      <c r="I2202" s="24"/>
      <c r="J2202" s="24"/>
      <c r="K2202" s="24"/>
      <c r="L2202" s="24"/>
      <c r="M2202" s="24"/>
      <c r="N2202" s="24"/>
      <c r="O2202" s="24"/>
      <c r="P2202" s="24"/>
      <c r="Q2202" s="24"/>
      <c r="R2202" s="14"/>
    </row>
    <row r="2203" spans="1:18" x14ac:dyDescent="0.35">
      <c r="A2203" s="20"/>
      <c r="B2203" s="22"/>
      <c r="C2203" s="25"/>
      <c r="D2203" s="26"/>
      <c r="E2203" s="24"/>
      <c r="F2203" s="24"/>
      <c r="G2203" s="24"/>
      <c r="H2203" s="24"/>
      <c r="I2203" s="24"/>
      <c r="J2203" s="24"/>
      <c r="K2203" s="24"/>
      <c r="L2203" s="24"/>
      <c r="M2203" s="24"/>
      <c r="N2203" s="24"/>
      <c r="O2203" s="24"/>
      <c r="P2203" s="24"/>
      <c r="Q2203" s="24"/>
      <c r="R2203" s="14"/>
    </row>
    <row r="2204" spans="1:18" x14ac:dyDescent="0.35">
      <c r="A2204" s="20"/>
      <c r="B2204" s="22"/>
      <c r="C2204" s="25"/>
      <c r="D2204" s="26"/>
      <c r="E2204" s="24"/>
      <c r="F2204" s="24"/>
      <c r="G2204" s="24"/>
      <c r="H2204" s="24"/>
      <c r="I2204" s="24"/>
      <c r="J2204" s="24"/>
      <c r="K2204" s="24"/>
      <c r="L2204" s="24"/>
      <c r="M2204" s="24"/>
      <c r="N2204" s="24"/>
      <c r="O2204" s="24"/>
      <c r="P2204" s="24"/>
      <c r="Q2204" s="24"/>
      <c r="R2204" s="14"/>
    </row>
    <row r="2205" spans="1:18" x14ac:dyDescent="0.35">
      <c r="A2205" s="20"/>
      <c r="B2205" s="22"/>
      <c r="C2205" s="25"/>
      <c r="D2205" s="26"/>
      <c r="E2205" s="24"/>
      <c r="F2205" s="24"/>
      <c r="G2205" s="24"/>
      <c r="H2205" s="24"/>
      <c r="I2205" s="24"/>
      <c r="J2205" s="24"/>
      <c r="K2205" s="24"/>
      <c r="L2205" s="24"/>
      <c r="M2205" s="24"/>
      <c r="N2205" s="24"/>
      <c r="O2205" s="24"/>
      <c r="P2205" s="24"/>
      <c r="Q2205" s="24"/>
      <c r="R2205" s="14"/>
    </row>
    <row r="2206" spans="1:18" x14ac:dyDescent="0.35">
      <c r="A2206" s="20"/>
      <c r="B2206" s="22"/>
      <c r="C2206" s="25"/>
      <c r="D2206" s="26"/>
      <c r="E2206" s="24"/>
      <c r="F2206" s="24"/>
      <c r="G2206" s="24"/>
      <c r="H2206" s="24"/>
      <c r="I2206" s="24"/>
      <c r="J2206" s="24"/>
      <c r="K2206" s="24"/>
      <c r="L2206" s="24"/>
      <c r="M2206" s="24"/>
      <c r="N2206" s="24"/>
      <c r="O2206" s="24"/>
      <c r="P2206" s="24"/>
      <c r="Q2206" s="24"/>
      <c r="R2206" s="14"/>
    </row>
    <row r="2207" spans="1:18" x14ac:dyDescent="0.35">
      <c r="A2207" s="20"/>
      <c r="B2207" s="22"/>
      <c r="C2207" s="25"/>
      <c r="D2207" s="26"/>
      <c r="E2207" s="24"/>
      <c r="F2207" s="24"/>
      <c r="G2207" s="24"/>
      <c r="H2207" s="24"/>
      <c r="I2207" s="24"/>
      <c r="J2207" s="24"/>
      <c r="K2207" s="24"/>
      <c r="L2207" s="24"/>
      <c r="M2207" s="24"/>
      <c r="N2207" s="24"/>
      <c r="O2207" s="24"/>
      <c r="P2207" s="24"/>
      <c r="Q2207" s="24"/>
      <c r="R2207" s="21"/>
    </row>
    <row r="2208" spans="1:18" x14ac:dyDescent="0.35">
      <c r="A2208" s="20"/>
      <c r="B2208" s="22"/>
      <c r="C2208" s="25"/>
      <c r="D2208" s="26"/>
      <c r="E2208" s="24"/>
      <c r="F2208" s="24"/>
      <c r="G2208" s="24"/>
      <c r="H2208" s="24"/>
      <c r="I2208" s="24"/>
      <c r="J2208" s="24"/>
      <c r="K2208" s="24"/>
      <c r="L2208" s="24"/>
      <c r="M2208" s="24"/>
      <c r="N2208" s="24"/>
      <c r="O2208" s="24"/>
      <c r="P2208" s="24"/>
      <c r="Q2208" s="24"/>
      <c r="R2208" s="21"/>
    </row>
    <row r="2209" spans="1:18" x14ac:dyDescent="0.35">
      <c r="A2209" s="20"/>
      <c r="B2209" s="22"/>
      <c r="C2209" s="25"/>
      <c r="D2209" s="26"/>
      <c r="E2209" s="24"/>
      <c r="F2209" s="24"/>
      <c r="G2209" s="24"/>
      <c r="H2209" s="24"/>
      <c r="I2209" s="24"/>
      <c r="J2209" s="24"/>
      <c r="K2209" s="24"/>
      <c r="L2209" s="24"/>
      <c r="M2209" s="24"/>
      <c r="N2209" s="24"/>
      <c r="O2209" s="24"/>
      <c r="P2209" s="24"/>
      <c r="Q2209" s="24"/>
      <c r="R2209" s="21"/>
    </row>
    <row r="2210" spans="1:18" x14ac:dyDescent="0.35">
      <c r="A2210" s="20"/>
      <c r="B2210" s="22"/>
      <c r="C2210" s="25"/>
      <c r="D2210" s="26"/>
      <c r="E2210" s="24"/>
      <c r="F2210" s="24"/>
      <c r="G2210" s="24"/>
      <c r="H2210" s="24"/>
      <c r="I2210" s="24"/>
      <c r="J2210" s="24"/>
      <c r="K2210" s="24"/>
      <c r="L2210" s="24"/>
      <c r="M2210" s="24"/>
      <c r="N2210" s="24"/>
      <c r="O2210" s="24"/>
      <c r="P2210" s="24"/>
      <c r="Q2210" s="24"/>
      <c r="R2210" s="21"/>
    </row>
    <row r="2211" spans="1:18" x14ac:dyDescent="0.35">
      <c r="A2211" s="20"/>
      <c r="B2211" s="22"/>
      <c r="C2211" s="25"/>
      <c r="D2211" s="26"/>
      <c r="E2211" s="24"/>
      <c r="F2211" s="24"/>
      <c r="G2211" s="24"/>
      <c r="H2211" s="24"/>
      <c r="I2211" s="24"/>
      <c r="J2211" s="24"/>
      <c r="K2211" s="24"/>
      <c r="L2211" s="24"/>
      <c r="M2211" s="24"/>
      <c r="N2211" s="24"/>
      <c r="O2211" s="24"/>
      <c r="P2211" s="24"/>
      <c r="Q2211" s="24"/>
      <c r="R2211" s="21"/>
    </row>
    <row r="2212" spans="1:18" x14ac:dyDescent="0.35">
      <c r="A2212" s="20"/>
      <c r="B2212" s="22"/>
      <c r="C2212" s="25"/>
      <c r="D2212" s="26"/>
      <c r="E2212" s="24"/>
      <c r="F2212" s="24"/>
      <c r="G2212" s="24"/>
      <c r="H2212" s="24"/>
      <c r="I2212" s="24"/>
      <c r="J2212" s="24"/>
      <c r="K2212" s="24"/>
      <c r="L2212" s="24"/>
      <c r="M2212" s="24"/>
      <c r="N2212" s="24"/>
      <c r="O2212" s="24"/>
      <c r="P2212" s="24"/>
      <c r="Q2212" s="24"/>
      <c r="R2212" s="21"/>
    </row>
    <row r="2213" spans="1:18" x14ac:dyDescent="0.35">
      <c r="A2213" s="20"/>
      <c r="B2213" s="22"/>
      <c r="C2213" s="25"/>
      <c r="D2213" s="26"/>
      <c r="E2213" s="24"/>
      <c r="F2213" s="24"/>
      <c r="G2213" s="24"/>
      <c r="H2213" s="24"/>
      <c r="I2213" s="24"/>
      <c r="J2213" s="24"/>
      <c r="K2213" s="24"/>
      <c r="L2213" s="24"/>
      <c r="M2213" s="24"/>
      <c r="N2213" s="24"/>
      <c r="O2213" s="24"/>
      <c r="P2213" s="24"/>
      <c r="Q2213" s="24"/>
      <c r="R2213" s="21"/>
    </row>
    <row r="2214" spans="1:18" x14ac:dyDescent="0.35">
      <c r="A2214" s="20"/>
      <c r="B2214" s="22"/>
      <c r="C2214" s="25"/>
      <c r="D2214" s="26"/>
      <c r="E2214" s="24"/>
      <c r="F2214" s="24"/>
      <c r="G2214" s="24"/>
      <c r="H2214" s="24"/>
      <c r="I2214" s="24"/>
      <c r="J2214" s="24"/>
      <c r="K2214" s="24"/>
      <c r="L2214" s="24"/>
      <c r="M2214" s="24"/>
      <c r="N2214" s="24"/>
      <c r="O2214" s="24"/>
      <c r="P2214" s="24"/>
      <c r="Q2214" s="24"/>
      <c r="R2214" s="21"/>
    </row>
    <row r="2215" spans="1:18" x14ac:dyDescent="0.35">
      <c r="A2215" s="20"/>
      <c r="B2215" s="17"/>
      <c r="C2215" s="18"/>
      <c r="D2215" s="21"/>
      <c r="E2215" s="21"/>
      <c r="F2215" s="21"/>
      <c r="G2215" s="21"/>
      <c r="H2215" s="21"/>
      <c r="I2215" s="21"/>
      <c r="J2215" s="21"/>
      <c r="K2215" s="21"/>
      <c r="L2215" s="21"/>
      <c r="M2215" s="21"/>
      <c r="N2215" s="21"/>
      <c r="O2215" s="21"/>
      <c r="P2215" s="21"/>
      <c r="Q2215" s="21"/>
      <c r="R2215" s="21"/>
    </row>
    <row r="2216" spans="1:18" x14ac:dyDescent="0.35">
      <c r="A2216" s="20"/>
      <c r="B2216" s="17"/>
      <c r="C2216" s="18"/>
      <c r="D2216" s="21"/>
      <c r="E2216" s="21"/>
      <c r="F2216" s="21"/>
      <c r="G2216" s="21"/>
      <c r="H2216" s="21"/>
      <c r="I2216" s="21"/>
      <c r="J2216" s="21"/>
      <c r="K2216" s="21"/>
      <c r="L2216" s="21"/>
      <c r="M2216" s="21"/>
      <c r="N2216" s="21"/>
      <c r="O2216" s="21"/>
      <c r="P2216" s="21"/>
      <c r="Q2216" s="21"/>
      <c r="R2216" s="21"/>
    </row>
    <row r="2217" spans="1:18" x14ac:dyDescent="0.35">
      <c r="A2217" s="20"/>
      <c r="B2217" s="17"/>
      <c r="C2217" s="18"/>
      <c r="D2217" s="21"/>
      <c r="E2217" s="21"/>
      <c r="F2217" s="21"/>
      <c r="G2217" s="21"/>
      <c r="H2217" s="21"/>
      <c r="I2217" s="21"/>
      <c r="J2217" s="21"/>
      <c r="K2217" s="21"/>
      <c r="L2217" s="21"/>
      <c r="M2217" s="21"/>
      <c r="N2217" s="21"/>
      <c r="O2217" s="21"/>
      <c r="P2217" s="21"/>
      <c r="Q2217" s="21"/>
      <c r="R2217" s="21"/>
    </row>
    <row r="2218" spans="1:18" x14ac:dyDescent="0.35">
      <c r="A2218" s="20"/>
      <c r="B2218" s="17"/>
      <c r="C2218" s="18"/>
      <c r="D2218" s="21"/>
      <c r="E2218" s="21"/>
      <c r="F2218" s="21"/>
      <c r="G2218" s="21"/>
      <c r="H2218" s="21"/>
      <c r="I2218" s="21"/>
      <c r="J2218" s="21"/>
      <c r="K2218" s="21"/>
      <c r="L2218" s="21"/>
      <c r="M2218" s="21"/>
      <c r="N2218" s="21"/>
      <c r="O2218" s="21"/>
      <c r="P2218" s="21"/>
      <c r="Q2218" s="21"/>
      <c r="R2218" s="21"/>
    </row>
    <row r="2219" spans="1:18" x14ac:dyDescent="0.35">
      <c r="A2219" s="20"/>
      <c r="B2219" s="17"/>
      <c r="C2219" s="18"/>
      <c r="D2219" s="21"/>
      <c r="E2219" s="21"/>
      <c r="F2219" s="21"/>
      <c r="G2219" s="21"/>
      <c r="H2219" s="21"/>
      <c r="I2219" s="21"/>
      <c r="J2219" s="21"/>
      <c r="K2219" s="21"/>
      <c r="L2219" s="21"/>
      <c r="M2219" s="21"/>
      <c r="N2219" s="21"/>
      <c r="O2219" s="21"/>
      <c r="P2219" s="21"/>
      <c r="Q2219" s="21"/>
      <c r="R2219" s="21"/>
    </row>
    <row r="2220" spans="1:18" x14ac:dyDescent="0.35">
      <c r="A2220" s="20"/>
      <c r="B2220" s="17"/>
      <c r="C2220" s="18"/>
      <c r="D2220" s="21"/>
      <c r="E2220" s="21"/>
      <c r="F2220" s="21"/>
      <c r="G2220" s="21"/>
      <c r="H2220" s="21"/>
      <c r="I2220" s="21"/>
      <c r="J2220" s="21"/>
      <c r="K2220" s="21"/>
      <c r="L2220" s="21"/>
      <c r="M2220" s="21"/>
      <c r="N2220" s="21"/>
      <c r="O2220" s="21"/>
      <c r="P2220" s="21"/>
      <c r="Q2220" s="21"/>
      <c r="R2220" s="21"/>
    </row>
    <row r="2221" spans="1:18" x14ac:dyDescent="0.35">
      <c r="A2221" s="20"/>
      <c r="B2221" s="17"/>
      <c r="C2221" s="18"/>
      <c r="D2221" s="21"/>
      <c r="E2221" s="21"/>
      <c r="F2221" s="21"/>
      <c r="G2221" s="21"/>
      <c r="H2221" s="21"/>
      <c r="I2221" s="21"/>
      <c r="J2221" s="21"/>
      <c r="K2221" s="21"/>
      <c r="L2221" s="21"/>
      <c r="M2221" s="21"/>
      <c r="N2221" s="21"/>
      <c r="O2221" s="21"/>
      <c r="P2221" s="21"/>
      <c r="Q2221" s="21"/>
      <c r="R2221" s="21"/>
    </row>
    <row r="2222" spans="1:18" x14ac:dyDescent="0.35">
      <c r="A2222" s="20"/>
      <c r="B2222" s="17"/>
      <c r="C2222" s="18"/>
      <c r="D2222" s="21"/>
      <c r="E2222" s="21"/>
      <c r="F2222" s="21"/>
      <c r="G2222" s="21"/>
      <c r="H2222" s="21"/>
      <c r="I2222" s="21"/>
      <c r="J2222" s="21"/>
      <c r="K2222" s="21"/>
      <c r="L2222" s="21"/>
      <c r="M2222" s="21"/>
      <c r="N2222" s="21"/>
      <c r="O2222" s="21"/>
      <c r="P2222" s="21"/>
      <c r="Q2222" s="21"/>
      <c r="R2222" s="21"/>
    </row>
    <row r="2223" spans="1:18" x14ac:dyDescent="0.35">
      <c r="A2223" s="20"/>
      <c r="B2223" s="17"/>
      <c r="C2223" s="13"/>
      <c r="D2223" s="14"/>
      <c r="E2223" s="14"/>
      <c r="F2223" s="14"/>
      <c r="G2223" s="14"/>
      <c r="H2223" s="14"/>
      <c r="I2223" s="14"/>
      <c r="J2223" s="14"/>
      <c r="K2223" s="14"/>
      <c r="L2223" s="14"/>
      <c r="M2223" s="14"/>
      <c r="N2223" s="14"/>
      <c r="O2223" s="14"/>
      <c r="P2223" s="14"/>
      <c r="Q2223" s="14"/>
      <c r="R2223" s="14"/>
    </row>
    <row r="2224" spans="1:18" x14ac:dyDescent="0.35">
      <c r="A2224" s="20"/>
      <c r="B2224" s="17"/>
      <c r="C2224" s="13"/>
      <c r="D2224" s="14"/>
      <c r="E2224" s="14"/>
      <c r="F2224" s="14"/>
      <c r="G2224" s="14"/>
      <c r="H2224" s="14"/>
      <c r="I2224" s="14"/>
      <c r="J2224" s="14"/>
      <c r="K2224" s="14"/>
      <c r="L2224" s="14"/>
      <c r="M2224" s="14"/>
      <c r="N2224" s="14"/>
      <c r="O2224" s="14"/>
      <c r="P2224" s="14"/>
      <c r="Q2224" s="14"/>
      <c r="R2224" s="14"/>
    </row>
    <row r="2225" spans="1:18" x14ac:dyDescent="0.35">
      <c r="A2225" s="20"/>
      <c r="B2225" s="17"/>
      <c r="C2225" s="13"/>
      <c r="D2225" s="14"/>
      <c r="E2225" s="14"/>
      <c r="F2225" s="14"/>
      <c r="G2225" s="14"/>
      <c r="H2225" s="14"/>
      <c r="I2225" s="14"/>
      <c r="J2225" s="14"/>
      <c r="K2225" s="14"/>
      <c r="L2225" s="14"/>
      <c r="M2225" s="14"/>
      <c r="N2225" s="14"/>
      <c r="O2225" s="14"/>
      <c r="P2225" s="14"/>
      <c r="Q2225" s="14"/>
      <c r="R2225" s="14"/>
    </row>
    <row r="2226" spans="1:18" x14ac:dyDescent="0.35">
      <c r="A2226" s="20"/>
      <c r="B2226" s="17"/>
      <c r="C2226" s="13"/>
      <c r="D2226" s="14"/>
      <c r="E2226" s="14"/>
      <c r="F2226" s="14"/>
      <c r="G2226" s="14"/>
      <c r="H2226" s="14"/>
      <c r="I2226" s="14"/>
      <c r="J2226" s="14"/>
      <c r="K2226" s="14"/>
      <c r="L2226" s="14"/>
      <c r="M2226" s="14"/>
      <c r="N2226" s="14"/>
      <c r="O2226" s="14"/>
      <c r="P2226" s="14"/>
      <c r="Q2226" s="14"/>
      <c r="R2226" s="14"/>
    </row>
    <row r="2227" spans="1:18" x14ac:dyDescent="0.35">
      <c r="A2227" s="20"/>
      <c r="B2227" s="17"/>
      <c r="C2227" s="13"/>
      <c r="D2227" s="14"/>
      <c r="E2227" s="14"/>
      <c r="F2227" s="14"/>
      <c r="G2227" s="14"/>
      <c r="H2227" s="14"/>
      <c r="I2227" s="14"/>
      <c r="J2227" s="14"/>
      <c r="K2227" s="14"/>
      <c r="L2227" s="14"/>
      <c r="M2227" s="14"/>
      <c r="N2227" s="14"/>
      <c r="O2227" s="14"/>
      <c r="P2227" s="14"/>
      <c r="Q2227" s="14"/>
      <c r="R2227" s="14"/>
    </row>
    <row r="2228" spans="1:18" x14ac:dyDescent="0.35">
      <c r="A2228" s="20"/>
      <c r="B2228" s="17"/>
      <c r="C2228" s="13"/>
      <c r="D2228" s="14"/>
      <c r="E2228" s="14"/>
      <c r="F2228" s="14"/>
      <c r="G2228" s="14"/>
      <c r="H2228" s="14"/>
      <c r="I2228" s="14"/>
      <c r="J2228" s="14"/>
      <c r="K2228" s="14"/>
      <c r="L2228" s="14"/>
      <c r="M2228" s="14"/>
      <c r="N2228" s="14"/>
      <c r="O2228" s="14"/>
      <c r="P2228" s="14"/>
      <c r="Q2228" s="14"/>
      <c r="R2228" s="14"/>
    </row>
    <row r="2229" spans="1:18" x14ac:dyDescent="0.35">
      <c r="A2229" s="20"/>
      <c r="B2229" s="17"/>
      <c r="C2229" s="13"/>
      <c r="D2229" s="14"/>
      <c r="E2229" s="14"/>
      <c r="F2229" s="14"/>
      <c r="G2229" s="14"/>
      <c r="H2229" s="14"/>
      <c r="I2229" s="14"/>
      <c r="J2229" s="14"/>
      <c r="K2229" s="14"/>
      <c r="L2229" s="14"/>
      <c r="M2229" s="14"/>
      <c r="N2229" s="14"/>
      <c r="O2229" s="14"/>
      <c r="P2229" s="14"/>
      <c r="Q2229" s="14"/>
      <c r="R2229" s="14"/>
    </row>
    <row r="2230" spans="1:18" x14ac:dyDescent="0.35">
      <c r="A2230" s="20"/>
      <c r="B2230" s="17"/>
      <c r="D2230" s="14"/>
      <c r="E2230" s="14"/>
      <c r="F2230" s="14"/>
      <c r="G2230" s="14"/>
      <c r="H2230" s="14"/>
      <c r="I2230" s="14"/>
      <c r="J2230" s="14"/>
      <c r="K2230" s="14"/>
      <c r="L2230" s="14"/>
      <c r="M2230" s="14"/>
      <c r="N2230" s="14"/>
      <c r="O2230" s="14"/>
      <c r="P2230" s="14"/>
      <c r="Q2230" s="14"/>
      <c r="R2230" s="14"/>
    </row>
    <row r="2231" spans="1:18" x14ac:dyDescent="0.35">
      <c r="A2231" s="20"/>
      <c r="B2231" s="17"/>
      <c r="D2231" s="14"/>
      <c r="E2231" s="14"/>
      <c r="F2231" s="14"/>
      <c r="G2231" s="14"/>
      <c r="H2231" s="14"/>
      <c r="I2231" s="14"/>
      <c r="J2231" s="14"/>
      <c r="K2231" s="14"/>
      <c r="L2231" s="14"/>
      <c r="M2231" s="14"/>
      <c r="N2231" s="14"/>
      <c r="O2231" s="14"/>
      <c r="P2231" s="14"/>
      <c r="Q2231" s="14"/>
      <c r="R2231" s="14"/>
    </row>
    <row r="2232" spans="1:18" x14ac:dyDescent="0.35">
      <c r="A2232" s="20"/>
      <c r="B2232" s="17"/>
      <c r="D2232" s="14"/>
      <c r="E2232" s="14"/>
      <c r="F2232" s="14"/>
      <c r="G2232" s="14"/>
      <c r="H2232" s="14"/>
      <c r="I2232" s="14"/>
      <c r="J2232" s="14"/>
      <c r="K2232" s="14"/>
      <c r="L2232" s="14"/>
      <c r="M2232" s="14"/>
      <c r="N2232" s="14"/>
      <c r="O2232" s="14"/>
      <c r="P2232" s="14"/>
      <c r="Q2232" s="14"/>
      <c r="R2232" s="14"/>
    </row>
    <row r="2233" spans="1:18" x14ac:dyDescent="0.35">
      <c r="A2233" s="20"/>
      <c r="B2233" s="17"/>
      <c r="D2233" s="14"/>
      <c r="E2233" s="14"/>
      <c r="F2233" s="14"/>
      <c r="G2233" s="14"/>
      <c r="H2233" s="14"/>
      <c r="I2233" s="14"/>
      <c r="J2233" s="14"/>
      <c r="K2233" s="14"/>
      <c r="L2233" s="14"/>
      <c r="M2233" s="14"/>
      <c r="N2233" s="14"/>
      <c r="O2233" s="14"/>
      <c r="P2233" s="14"/>
      <c r="Q2233" s="14"/>
      <c r="R2233" s="14"/>
    </row>
    <row r="2234" spans="1:18" x14ac:dyDescent="0.35">
      <c r="A2234" s="20"/>
      <c r="B2234" s="17"/>
      <c r="D2234" s="14"/>
      <c r="E2234" s="14"/>
      <c r="F2234" s="14"/>
      <c r="G2234" s="14"/>
      <c r="H2234" s="14"/>
      <c r="I2234" s="14"/>
      <c r="J2234" s="14"/>
      <c r="K2234" s="14"/>
      <c r="L2234" s="14"/>
      <c r="M2234" s="14"/>
      <c r="N2234" s="14"/>
      <c r="O2234" s="14"/>
      <c r="P2234" s="14"/>
      <c r="Q2234" s="14"/>
      <c r="R2234" s="14"/>
    </row>
    <row r="2235" spans="1:18" x14ac:dyDescent="0.35">
      <c r="A2235" s="20"/>
      <c r="B2235" s="17"/>
      <c r="D2235" s="14"/>
      <c r="E2235" s="14"/>
      <c r="F2235" s="14"/>
      <c r="G2235" s="14"/>
      <c r="H2235" s="14"/>
      <c r="I2235" s="14"/>
      <c r="J2235" s="14"/>
      <c r="K2235" s="14"/>
      <c r="L2235" s="14"/>
      <c r="M2235" s="14"/>
      <c r="N2235" s="14"/>
      <c r="O2235" s="14"/>
      <c r="P2235" s="14"/>
      <c r="Q2235" s="14"/>
      <c r="R2235" s="14"/>
    </row>
    <row r="2236" spans="1:18" x14ac:dyDescent="0.35">
      <c r="A2236" s="20"/>
      <c r="B2236" s="17"/>
      <c r="D2236" s="14"/>
      <c r="E2236" s="14"/>
      <c r="F2236" s="14"/>
      <c r="G2236" s="14"/>
      <c r="H2236" s="14"/>
      <c r="I2236" s="14"/>
      <c r="J2236" s="14"/>
      <c r="K2236" s="14"/>
      <c r="L2236" s="14"/>
      <c r="M2236" s="14"/>
      <c r="N2236" s="14"/>
      <c r="O2236" s="14"/>
      <c r="P2236" s="14"/>
      <c r="Q2236" s="14"/>
      <c r="R2236" s="14"/>
    </row>
    <row r="2237" spans="1:18" x14ac:dyDescent="0.35">
      <c r="B2237" s="17"/>
      <c r="C2237" s="18"/>
      <c r="D2237" s="21"/>
      <c r="E2237" s="21"/>
      <c r="F2237" s="21"/>
      <c r="G2237" s="21"/>
      <c r="H2237" s="21"/>
      <c r="I2237" s="21"/>
      <c r="J2237" s="21"/>
      <c r="K2237" s="21"/>
      <c r="L2237" s="21"/>
      <c r="M2237" s="21"/>
      <c r="N2237" s="21"/>
      <c r="O2237" s="21"/>
      <c r="P2237" s="21"/>
      <c r="Q2237" s="21"/>
      <c r="R2237" s="21"/>
    </row>
    <row r="2238" spans="1:18" x14ac:dyDescent="0.35">
      <c r="B2238" s="17"/>
      <c r="C2238" s="18"/>
      <c r="D2238" s="21"/>
      <c r="E2238" s="21"/>
      <c r="F2238" s="21"/>
      <c r="G2238" s="21"/>
      <c r="H2238" s="21"/>
      <c r="I2238" s="21"/>
      <c r="J2238" s="21"/>
      <c r="K2238" s="21"/>
      <c r="L2238" s="21"/>
      <c r="M2238" s="21"/>
      <c r="N2238" s="21"/>
      <c r="O2238" s="21"/>
      <c r="P2238" s="21"/>
      <c r="Q2238" s="21"/>
      <c r="R2238" s="21"/>
    </row>
    <row r="2239" spans="1:18" x14ac:dyDescent="0.35">
      <c r="B2239" s="17"/>
      <c r="C2239" s="18"/>
      <c r="D2239" s="21"/>
      <c r="E2239" s="21"/>
      <c r="F2239" s="21"/>
      <c r="G2239" s="21"/>
      <c r="H2239" s="21"/>
      <c r="I2239" s="21"/>
      <c r="J2239" s="21"/>
      <c r="K2239" s="21"/>
      <c r="L2239" s="21"/>
      <c r="M2239" s="21"/>
      <c r="N2239" s="21"/>
      <c r="O2239" s="21"/>
      <c r="P2239" s="21"/>
      <c r="Q2239" s="21"/>
      <c r="R2239" s="21"/>
    </row>
    <row r="2240" spans="1:18" x14ac:dyDescent="0.35">
      <c r="B2240" s="17"/>
      <c r="C2240" s="18"/>
      <c r="D2240" s="21"/>
      <c r="E2240" s="21"/>
      <c r="F2240" s="21"/>
      <c r="G2240" s="21"/>
      <c r="H2240" s="21"/>
      <c r="I2240" s="21"/>
      <c r="J2240" s="21"/>
      <c r="K2240" s="21"/>
      <c r="L2240" s="21"/>
      <c r="M2240" s="21"/>
      <c r="N2240" s="21"/>
      <c r="O2240" s="21"/>
      <c r="P2240" s="21"/>
      <c r="Q2240" s="21"/>
      <c r="R2240" s="21"/>
    </row>
    <row r="2241" spans="2:18" x14ac:dyDescent="0.35">
      <c r="B2241" s="17"/>
      <c r="C2241" s="18"/>
      <c r="D2241" s="21"/>
      <c r="E2241" s="21"/>
      <c r="F2241" s="21"/>
      <c r="G2241" s="21"/>
      <c r="H2241" s="21"/>
      <c r="I2241" s="21"/>
      <c r="J2241" s="21"/>
      <c r="K2241" s="21"/>
      <c r="L2241" s="21"/>
      <c r="M2241" s="21"/>
      <c r="N2241" s="21"/>
      <c r="O2241" s="21"/>
      <c r="P2241" s="21"/>
      <c r="Q2241" s="21"/>
      <c r="R2241" s="21"/>
    </row>
    <row r="2242" spans="2:18" x14ac:dyDescent="0.35">
      <c r="B2242" s="17"/>
      <c r="C2242" s="19"/>
      <c r="D2242" s="21"/>
      <c r="E2242" s="21"/>
      <c r="F2242" s="21"/>
      <c r="G2242" s="21"/>
      <c r="H2242" s="21"/>
      <c r="I2242" s="21"/>
      <c r="J2242" s="21"/>
      <c r="K2242" s="21"/>
      <c r="L2242" s="21"/>
      <c r="M2242" s="21"/>
      <c r="N2242" s="21"/>
      <c r="O2242" s="21"/>
      <c r="P2242" s="21"/>
      <c r="Q2242" s="21"/>
      <c r="R2242" s="21"/>
    </row>
    <row r="2243" spans="2:18" x14ac:dyDescent="0.35">
      <c r="B2243" s="17"/>
      <c r="C2243" s="19"/>
      <c r="D2243" s="21"/>
      <c r="E2243" s="21"/>
      <c r="F2243" s="21"/>
      <c r="G2243" s="21"/>
      <c r="H2243" s="21"/>
      <c r="I2243" s="21"/>
      <c r="J2243" s="21"/>
      <c r="K2243" s="21"/>
      <c r="L2243" s="21"/>
      <c r="M2243" s="21"/>
      <c r="N2243" s="21"/>
      <c r="O2243" s="21"/>
      <c r="P2243" s="21"/>
      <c r="Q2243" s="21"/>
      <c r="R2243" s="21"/>
    </row>
    <row r="2244" spans="2:18" x14ac:dyDescent="0.35">
      <c r="B2244" s="17"/>
      <c r="C2244" s="19"/>
      <c r="D2244" s="21"/>
      <c r="E2244" s="21"/>
      <c r="F2244" s="21"/>
      <c r="G2244" s="21"/>
      <c r="H2244" s="21"/>
      <c r="I2244" s="21"/>
      <c r="J2244" s="21"/>
      <c r="K2244" s="21"/>
      <c r="L2244" s="21"/>
      <c r="M2244" s="21"/>
      <c r="N2244" s="21"/>
      <c r="O2244" s="21"/>
      <c r="P2244" s="21"/>
      <c r="Q2244" s="21"/>
      <c r="R2244" s="21"/>
    </row>
    <row r="2245" spans="2:18" x14ac:dyDescent="0.35">
      <c r="B2245" s="17"/>
      <c r="C2245" s="19"/>
      <c r="D2245" s="21"/>
      <c r="E2245" s="21"/>
      <c r="F2245" s="21"/>
      <c r="G2245" s="21"/>
      <c r="H2245" s="21"/>
      <c r="I2245" s="21"/>
      <c r="J2245" s="21"/>
      <c r="K2245" s="21"/>
      <c r="L2245" s="21"/>
      <c r="M2245" s="21"/>
      <c r="N2245" s="21"/>
      <c r="O2245" s="21"/>
      <c r="P2245" s="21"/>
      <c r="Q2245" s="21"/>
      <c r="R2245" s="21"/>
    </row>
    <row r="2246" spans="2:18" x14ac:dyDescent="0.35">
      <c r="B2246" s="17"/>
      <c r="C2246" s="13"/>
      <c r="D2246" s="14"/>
      <c r="E2246" s="14"/>
      <c r="F2246" s="14"/>
      <c r="G2246" s="14"/>
      <c r="H2246" s="14"/>
      <c r="I2246" s="14"/>
      <c r="J2246" s="14"/>
      <c r="K2246" s="14"/>
      <c r="L2246" s="14"/>
      <c r="M2246" s="14"/>
      <c r="N2246" s="14"/>
      <c r="O2246" s="14"/>
      <c r="P2246" s="14"/>
      <c r="Q2246" s="14"/>
      <c r="R2246" s="14"/>
    </row>
    <row r="2247" spans="2:18" x14ac:dyDescent="0.35">
      <c r="B2247" s="17"/>
      <c r="C2247" s="13"/>
      <c r="D2247" s="14"/>
      <c r="E2247" s="14"/>
      <c r="F2247" s="14"/>
      <c r="G2247" s="14"/>
      <c r="H2247" s="14"/>
      <c r="I2247" s="14"/>
      <c r="J2247" s="14"/>
      <c r="K2247" s="14"/>
      <c r="L2247" s="14"/>
      <c r="M2247" s="14"/>
      <c r="N2247" s="14"/>
      <c r="O2247" s="14"/>
      <c r="P2247" s="14"/>
      <c r="Q2247" s="14"/>
      <c r="R2247" s="14"/>
    </row>
    <row r="2248" spans="2:18" x14ac:dyDescent="0.35">
      <c r="B2248" s="17"/>
      <c r="C2248" s="13"/>
      <c r="D2248" s="14"/>
      <c r="E2248" s="14"/>
      <c r="F2248" s="14"/>
      <c r="G2248" s="14"/>
      <c r="H2248" s="14"/>
      <c r="I2248" s="14"/>
      <c r="J2248" s="14"/>
      <c r="K2248" s="14"/>
      <c r="L2248" s="14"/>
      <c r="M2248" s="14"/>
      <c r="N2248" s="14"/>
      <c r="O2248" s="14"/>
      <c r="P2248" s="14"/>
      <c r="Q2248" s="14"/>
      <c r="R2248" s="14"/>
    </row>
    <row r="2249" spans="2:18" x14ac:dyDescent="0.35">
      <c r="B2249" s="17"/>
      <c r="C2249" s="13"/>
      <c r="D2249" s="14"/>
      <c r="E2249" s="14"/>
      <c r="F2249" s="14"/>
      <c r="G2249" s="14"/>
      <c r="H2249" s="14"/>
      <c r="I2249" s="14"/>
      <c r="J2249" s="14"/>
      <c r="K2249" s="14"/>
      <c r="L2249" s="14"/>
      <c r="M2249" s="14"/>
      <c r="N2249" s="14"/>
      <c r="O2249" s="14"/>
      <c r="P2249" s="14"/>
      <c r="Q2249" s="14"/>
      <c r="R2249" s="14"/>
    </row>
    <row r="2250" spans="2:18" x14ac:dyDescent="0.35">
      <c r="B2250" s="17"/>
      <c r="C2250" s="13"/>
      <c r="D2250" s="14"/>
      <c r="E2250" s="14"/>
      <c r="F2250" s="14"/>
      <c r="G2250" s="14"/>
      <c r="H2250" s="14"/>
      <c r="I2250" s="14"/>
      <c r="J2250" s="14"/>
      <c r="K2250" s="14"/>
      <c r="L2250" s="14"/>
      <c r="M2250" s="14"/>
      <c r="N2250" s="14"/>
      <c r="O2250" s="14"/>
      <c r="P2250" s="14"/>
      <c r="Q2250" s="14"/>
      <c r="R2250" s="14"/>
    </row>
    <row r="2251" spans="2:18" x14ac:dyDescent="0.35">
      <c r="B2251" s="17"/>
      <c r="C2251" s="13"/>
      <c r="D2251" s="14"/>
      <c r="E2251" s="14"/>
      <c r="F2251" s="14"/>
      <c r="G2251" s="14"/>
      <c r="H2251" s="14"/>
      <c r="I2251" s="14"/>
      <c r="J2251" s="14"/>
      <c r="K2251" s="14"/>
      <c r="L2251" s="14"/>
      <c r="M2251" s="14"/>
      <c r="N2251" s="14"/>
      <c r="O2251" s="14"/>
      <c r="P2251" s="14"/>
      <c r="Q2251" s="14"/>
      <c r="R2251" s="14"/>
    </row>
    <row r="2252" spans="2:18" x14ac:dyDescent="0.35">
      <c r="B2252" s="17"/>
      <c r="C2252" s="13"/>
      <c r="D2252" s="14"/>
      <c r="E2252" s="14"/>
      <c r="F2252" s="14"/>
      <c r="G2252" s="14"/>
      <c r="H2252" s="14"/>
      <c r="I2252" s="14"/>
      <c r="J2252" s="14"/>
      <c r="K2252" s="14"/>
      <c r="L2252" s="14"/>
      <c r="M2252" s="14"/>
      <c r="N2252" s="14"/>
      <c r="O2252" s="14"/>
      <c r="P2252" s="14"/>
      <c r="Q2252" s="14"/>
      <c r="R2252" s="14"/>
    </row>
    <row r="2253" spans="2:18" x14ac:dyDescent="0.35">
      <c r="B2253" s="17"/>
      <c r="C2253" s="13"/>
      <c r="D2253" s="14"/>
      <c r="E2253" s="14"/>
      <c r="F2253" s="14"/>
      <c r="G2253" s="14"/>
      <c r="H2253" s="14"/>
      <c r="I2253" s="14"/>
      <c r="J2253" s="14"/>
      <c r="K2253" s="14"/>
      <c r="L2253" s="14"/>
      <c r="M2253" s="14"/>
      <c r="N2253" s="14"/>
      <c r="O2253" s="14"/>
      <c r="P2253" s="14"/>
      <c r="Q2253" s="14"/>
      <c r="R2253" s="14"/>
    </row>
    <row r="2254" spans="2:18" x14ac:dyDescent="0.35">
      <c r="B2254" s="17"/>
      <c r="C2254" s="13"/>
      <c r="D2254" s="14"/>
      <c r="E2254" s="14"/>
      <c r="F2254" s="14"/>
      <c r="G2254" s="14"/>
      <c r="H2254" s="14"/>
      <c r="I2254" s="14"/>
      <c r="J2254" s="14"/>
      <c r="K2254" s="14"/>
      <c r="L2254" s="14"/>
      <c r="M2254" s="14"/>
      <c r="N2254" s="14"/>
      <c r="O2254" s="14"/>
      <c r="P2254" s="14"/>
      <c r="Q2254" s="14"/>
      <c r="R2254" s="14"/>
    </row>
    <row r="2255" spans="2:18" x14ac:dyDescent="0.35">
      <c r="B2255" s="17"/>
      <c r="C2255" s="13"/>
      <c r="D2255" s="14"/>
      <c r="E2255" s="14"/>
      <c r="F2255" s="14"/>
      <c r="G2255" s="14"/>
      <c r="H2255" s="14"/>
      <c r="I2255" s="14"/>
      <c r="J2255" s="14"/>
      <c r="K2255" s="14"/>
      <c r="L2255" s="14"/>
      <c r="M2255" s="14"/>
      <c r="N2255" s="14"/>
      <c r="O2255" s="14"/>
      <c r="P2255" s="14"/>
      <c r="Q2255" s="14"/>
      <c r="R2255" s="14"/>
    </row>
    <row r="2256" spans="2:18" x14ac:dyDescent="0.35">
      <c r="B2256" s="17"/>
      <c r="C2256" s="13"/>
      <c r="D2256" s="14"/>
      <c r="E2256" s="14"/>
      <c r="F2256" s="14"/>
      <c r="G2256" s="14"/>
      <c r="H2256" s="14"/>
      <c r="I2256" s="14"/>
      <c r="J2256" s="14"/>
      <c r="K2256" s="14"/>
      <c r="L2256" s="14"/>
      <c r="M2256" s="14"/>
      <c r="N2256" s="14"/>
      <c r="O2256" s="14"/>
      <c r="P2256" s="14"/>
      <c r="Q2256" s="14"/>
      <c r="R2256" s="14"/>
    </row>
    <row r="2257" spans="2:18" x14ac:dyDescent="0.35">
      <c r="B2257" s="17"/>
      <c r="C2257" s="13"/>
      <c r="D2257" s="14"/>
      <c r="E2257" s="14"/>
      <c r="F2257" s="14"/>
      <c r="G2257" s="14"/>
      <c r="H2257" s="14"/>
      <c r="I2257" s="14"/>
      <c r="J2257" s="14"/>
      <c r="K2257" s="14"/>
      <c r="L2257" s="14"/>
      <c r="M2257" s="14"/>
      <c r="N2257" s="14"/>
      <c r="O2257" s="14"/>
      <c r="P2257" s="14"/>
      <c r="Q2257" s="14"/>
      <c r="R2257" s="14"/>
    </row>
    <row r="2258" spans="2:18" x14ac:dyDescent="0.35">
      <c r="B2258" s="17"/>
      <c r="C2258" s="13"/>
      <c r="D2258" s="14"/>
      <c r="E2258" s="14"/>
      <c r="F2258" s="14"/>
      <c r="G2258" s="14"/>
      <c r="H2258" s="14"/>
      <c r="I2258" s="14"/>
      <c r="J2258" s="14"/>
      <c r="K2258" s="14"/>
      <c r="L2258" s="14"/>
      <c r="M2258" s="14"/>
      <c r="N2258" s="14"/>
      <c r="O2258" s="14"/>
      <c r="P2258" s="14"/>
      <c r="Q2258" s="14"/>
      <c r="R2258" s="14"/>
    </row>
    <row r="2259" spans="2:18" x14ac:dyDescent="0.35">
      <c r="B2259" s="17"/>
      <c r="C2259" s="13"/>
      <c r="D2259" s="14"/>
      <c r="E2259" s="14"/>
      <c r="F2259" s="14"/>
      <c r="G2259" s="14"/>
      <c r="H2259" s="14"/>
      <c r="I2259" s="14"/>
      <c r="J2259" s="14"/>
      <c r="K2259" s="14"/>
      <c r="L2259" s="14"/>
      <c r="M2259" s="14"/>
      <c r="N2259" s="14"/>
      <c r="O2259" s="14"/>
      <c r="P2259" s="14"/>
      <c r="Q2259" s="14"/>
      <c r="R2259" s="14"/>
    </row>
    <row r="2260" spans="2:18" x14ac:dyDescent="0.35">
      <c r="B2260" s="17"/>
      <c r="C2260" s="13"/>
      <c r="D2260" s="14"/>
      <c r="E2260" s="14"/>
      <c r="F2260" s="14"/>
      <c r="G2260" s="14"/>
      <c r="H2260" s="14"/>
      <c r="I2260" s="14"/>
      <c r="J2260" s="14"/>
      <c r="K2260" s="14"/>
      <c r="L2260" s="14"/>
      <c r="M2260" s="14"/>
      <c r="N2260" s="14"/>
      <c r="O2260" s="14"/>
      <c r="P2260" s="14"/>
      <c r="Q2260" s="14"/>
      <c r="R2260" s="14"/>
    </row>
    <row r="2261" spans="2:18" x14ac:dyDescent="0.35">
      <c r="B2261" s="17"/>
      <c r="C2261" s="18"/>
      <c r="D2261" s="21"/>
      <c r="E2261" s="21"/>
      <c r="F2261" s="21"/>
      <c r="G2261" s="21"/>
      <c r="H2261" s="21"/>
      <c r="I2261" s="21"/>
      <c r="J2261" s="21"/>
      <c r="K2261" s="21"/>
      <c r="L2261" s="21"/>
      <c r="M2261" s="21"/>
      <c r="N2261" s="21"/>
      <c r="O2261" s="21"/>
      <c r="P2261" s="21"/>
      <c r="Q2261" s="21"/>
      <c r="R2261" s="21"/>
    </row>
    <row r="2262" spans="2:18" x14ac:dyDescent="0.35">
      <c r="B2262" s="17"/>
      <c r="C2262" s="18"/>
      <c r="D2262" s="21"/>
      <c r="E2262" s="21"/>
      <c r="F2262" s="21"/>
      <c r="G2262" s="21"/>
      <c r="H2262" s="21"/>
      <c r="I2262" s="21"/>
      <c r="J2262" s="21"/>
      <c r="K2262" s="21"/>
      <c r="L2262" s="21"/>
      <c r="M2262" s="21"/>
      <c r="N2262" s="21"/>
      <c r="O2262" s="21"/>
      <c r="P2262" s="21"/>
      <c r="Q2262" s="21"/>
      <c r="R2262" s="21"/>
    </row>
    <row r="2263" spans="2:18" x14ac:dyDescent="0.35">
      <c r="B2263" s="17"/>
      <c r="C2263" s="18"/>
      <c r="D2263" s="21"/>
      <c r="E2263" s="21"/>
      <c r="F2263" s="21"/>
      <c r="G2263" s="21"/>
      <c r="H2263" s="21"/>
      <c r="I2263" s="21"/>
      <c r="J2263" s="21"/>
      <c r="K2263" s="21"/>
      <c r="L2263" s="21"/>
      <c r="M2263" s="21"/>
      <c r="N2263" s="21"/>
      <c r="O2263" s="21"/>
      <c r="P2263" s="21"/>
      <c r="Q2263" s="21"/>
      <c r="R2263" s="21"/>
    </row>
    <row r="2264" spans="2:18" x14ac:dyDescent="0.35">
      <c r="B2264" s="17"/>
      <c r="C2264" s="18"/>
      <c r="D2264" s="21"/>
      <c r="E2264" s="21"/>
      <c r="F2264" s="21"/>
      <c r="G2264" s="21"/>
      <c r="H2264" s="21"/>
      <c r="I2264" s="21"/>
      <c r="J2264" s="21"/>
      <c r="K2264" s="21"/>
      <c r="L2264" s="21"/>
      <c r="M2264" s="21"/>
      <c r="N2264" s="21"/>
      <c r="O2264" s="21"/>
      <c r="P2264" s="21"/>
      <c r="Q2264" s="21"/>
      <c r="R2264" s="21"/>
    </row>
    <row r="2265" spans="2:18" x14ac:dyDescent="0.35">
      <c r="B2265" s="17"/>
      <c r="C2265" s="18"/>
      <c r="D2265" s="21"/>
      <c r="E2265" s="21"/>
      <c r="F2265" s="21"/>
      <c r="G2265" s="21"/>
      <c r="H2265" s="21"/>
      <c r="I2265" s="21"/>
      <c r="J2265" s="21"/>
      <c r="K2265" s="21"/>
      <c r="L2265" s="21"/>
      <c r="M2265" s="21"/>
      <c r="N2265" s="21"/>
      <c r="O2265" s="21"/>
      <c r="P2265" s="21"/>
      <c r="Q2265" s="21"/>
      <c r="R2265" s="21"/>
    </row>
    <row r="2266" spans="2:18" x14ac:dyDescent="0.35">
      <c r="B2266" s="17"/>
      <c r="C2266" s="18"/>
      <c r="D2266" s="21"/>
      <c r="E2266" s="21"/>
      <c r="F2266" s="21"/>
      <c r="G2266" s="21"/>
      <c r="H2266" s="21"/>
      <c r="I2266" s="21"/>
      <c r="J2266" s="21"/>
      <c r="K2266" s="21"/>
      <c r="L2266" s="21"/>
      <c r="M2266" s="21"/>
      <c r="N2266" s="21"/>
      <c r="O2266" s="21"/>
      <c r="P2266" s="21"/>
      <c r="Q2266" s="21"/>
      <c r="R2266" s="21"/>
    </row>
    <row r="2267" spans="2:18" x14ac:dyDescent="0.35">
      <c r="B2267" s="17"/>
      <c r="C2267" s="18"/>
      <c r="D2267" s="21"/>
      <c r="E2267" s="21"/>
      <c r="F2267" s="21"/>
      <c r="G2267" s="21"/>
      <c r="H2267" s="21"/>
      <c r="I2267" s="21"/>
      <c r="J2267" s="21"/>
      <c r="K2267" s="21"/>
      <c r="L2267" s="21"/>
      <c r="M2267" s="21"/>
      <c r="N2267" s="21"/>
      <c r="O2267" s="21"/>
      <c r="P2267" s="21"/>
      <c r="Q2267" s="21"/>
      <c r="R2267" s="21"/>
    </row>
    <row r="2268" spans="2:18" x14ac:dyDescent="0.35">
      <c r="B2268" s="17"/>
      <c r="C2268" s="18"/>
      <c r="D2268" s="21"/>
      <c r="E2268" s="21"/>
      <c r="F2268" s="21"/>
      <c r="G2268" s="21"/>
      <c r="H2268" s="21"/>
      <c r="I2268" s="21"/>
      <c r="J2268" s="21"/>
      <c r="K2268" s="21"/>
      <c r="L2268" s="21"/>
      <c r="M2268" s="21"/>
      <c r="N2268" s="21"/>
      <c r="O2268" s="21"/>
      <c r="P2268" s="21"/>
      <c r="Q2268" s="21"/>
      <c r="R2268" s="21"/>
    </row>
    <row r="2269" spans="2:18" x14ac:dyDescent="0.35">
      <c r="B2269" s="17"/>
      <c r="C2269" s="18"/>
      <c r="D2269" s="21"/>
      <c r="E2269" s="21"/>
      <c r="F2269" s="21"/>
      <c r="G2269" s="21"/>
      <c r="H2269" s="21"/>
      <c r="I2269" s="21"/>
      <c r="J2269" s="21"/>
      <c r="K2269" s="21"/>
      <c r="L2269" s="21"/>
      <c r="M2269" s="21"/>
      <c r="N2269" s="21"/>
      <c r="O2269" s="21"/>
      <c r="P2269" s="21"/>
      <c r="Q2269" s="21"/>
      <c r="R2269" s="21"/>
    </row>
    <row r="2270" spans="2:18" x14ac:dyDescent="0.35">
      <c r="B2270" s="17"/>
      <c r="C2270" s="18"/>
      <c r="D2270" s="21"/>
      <c r="E2270" s="21"/>
      <c r="F2270" s="21"/>
      <c r="G2270" s="21"/>
      <c r="H2270" s="21"/>
      <c r="I2270" s="21"/>
      <c r="J2270" s="21"/>
      <c r="K2270" s="21"/>
      <c r="L2270" s="21"/>
      <c r="M2270" s="21"/>
      <c r="N2270" s="21"/>
      <c r="O2270" s="21"/>
      <c r="P2270" s="21"/>
      <c r="Q2270" s="21"/>
      <c r="R2270" s="21"/>
    </row>
    <row r="2271" spans="2:18" x14ac:dyDescent="0.35">
      <c r="B2271" s="17"/>
      <c r="C2271" s="18"/>
      <c r="D2271" s="21"/>
      <c r="E2271" s="21"/>
      <c r="F2271" s="21"/>
      <c r="G2271" s="21"/>
      <c r="H2271" s="21"/>
      <c r="I2271" s="21"/>
      <c r="J2271" s="21"/>
      <c r="K2271" s="21"/>
      <c r="L2271" s="21"/>
      <c r="M2271" s="21"/>
      <c r="N2271" s="21"/>
      <c r="O2271" s="21"/>
      <c r="P2271" s="21"/>
      <c r="Q2271" s="21"/>
      <c r="R2271" s="21"/>
    </row>
    <row r="2272" spans="2:18" x14ac:dyDescent="0.35">
      <c r="B2272" s="17"/>
      <c r="C2272" s="18"/>
      <c r="D2272" s="21"/>
      <c r="E2272" s="21"/>
      <c r="F2272" s="21"/>
      <c r="G2272" s="21"/>
      <c r="H2272" s="21"/>
      <c r="I2272" s="21"/>
      <c r="J2272" s="21"/>
      <c r="K2272" s="21"/>
      <c r="L2272" s="21"/>
      <c r="M2272" s="21"/>
      <c r="N2272" s="21"/>
      <c r="O2272" s="21"/>
      <c r="P2272" s="21"/>
      <c r="Q2272" s="21"/>
      <c r="R2272" s="21"/>
    </row>
    <row r="2273" spans="2:18" x14ac:dyDescent="0.35">
      <c r="B2273" s="17"/>
      <c r="C2273" s="18"/>
      <c r="D2273" s="21"/>
      <c r="E2273" s="21"/>
      <c r="F2273" s="21"/>
      <c r="G2273" s="21"/>
      <c r="H2273" s="21"/>
      <c r="I2273" s="21"/>
      <c r="J2273" s="21"/>
      <c r="K2273" s="21"/>
      <c r="L2273" s="21"/>
      <c r="M2273" s="21"/>
      <c r="N2273" s="21"/>
      <c r="O2273" s="21"/>
      <c r="P2273" s="21"/>
      <c r="Q2273" s="21"/>
      <c r="R2273" s="21"/>
    </row>
    <row r="2274" spans="2:18" x14ac:dyDescent="0.35">
      <c r="B2274" s="17"/>
      <c r="C2274" s="18"/>
      <c r="D2274" s="21"/>
      <c r="E2274" s="21"/>
      <c r="F2274" s="21"/>
      <c r="G2274" s="21"/>
      <c r="H2274" s="21"/>
      <c r="I2274" s="21"/>
      <c r="J2274" s="21"/>
      <c r="K2274" s="21"/>
      <c r="L2274" s="21"/>
      <c r="M2274" s="21"/>
      <c r="N2274" s="21"/>
      <c r="O2274" s="21"/>
      <c r="P2274" s="21"/>
      <c r="Q2274" s="21"/>
      <c r="R2274" s="21"/>
    </row>
    <row r="2275" spans="2:18" x14ac:dyDescent="0.35">
      <c r="B2275" s="17"/>
      <c r="C2275" s="18"/>
      <c r="D2275" s="21"/>
      <c r="E2275" s="21"/>
      <c r="F2275" s="21"/>
      <c r="G2275" s="21"/>
      <c r="H2275" s="21"/>
      <c r="I2275" s="21"/>
      <c r="J2275" s="21"/>
      <c r="K2275" s="21"/>
      <c r="L2275" s="21"/>
      <c r="M2275" s="21"/>
      <c r="N2275" s="21"/>
      <c r="O2275" s="21"/>
      <c r="P2275" s="21"/>
      <c r="Q2275" s="21"/>
      <c r="R2275" s="21"/>
    </row>
    <row r="2276" spans="2:18" x14ac:dyDescent="0.35">
      <c r="B2276" s="17"/>
      <c r="C2276" s="18"/>
      <c r="D2276" s="21"/>
      <c r="E2276" s="21"/>
      <c r="F2276" s="21"/>
      <c r="G2276" s="21"/>
      <c r="H2276" s="21"/>
      <c r="I2276" s="21"/>
      <c r="J2276" s="21"/>
      <c r="K2276" s="21"/>
      <c r="L2276" s="21"/>
      <c r="M2276" s="21"/>
      <c r="N2276" s="21"/>
      <c r="O2276" s="21"/>
      <c r="P2276" s="21"/>
      <c r="Q2276" s="21"/>
      <c r="R2276" s="21"/>
    </row>
    <row r="2277" spans="2:18" x14ac:dyDescent="0.35">
      <c r="B2277" s="17"/>
      <c r="C2277" s="13"/>
      <c r="D2277" s="14"/>
      <c r="E2277" s="14"/>
      <c r="F2277" s="14"/>
      <c r="G2277" s="14"/>
      <c r="H2277" s="14"/>
      <c r="I2277" s="14"/>
      <c r="J2277" s="14"/>
      <c r="K2277" s="14"/>
      <c r="L2277" s="14"/>
      <c r="M2277" s="14"/>
      <c r="N2277" s="14"/>
      <c r="O2277" s="14"/>
      <c r="P2277" s="14"/>
      <c r="Q2277" s="14"/>
      <c r="R2277" s="14"/>
    </row>
    <row r="2278" spans="2:18" x14ac:dyDescent="0.35">
      <c r="B2278" s="17"/>
      <c r="C2278" s="13"/>
      <c r="D2278" s="14"/>
      <c r="E2278" s="14"/>
      <c r="F2278" s="14"/>
      <c r="G2278" s="14"/>
      <c r="H2278" s="14"/>
      <c r="I2278" s="14"/>
      <c r="J2278" s="14"/>
      <c r="K2278" s="14"/>
      <c r="L2278" s="14"/>
      <c r="M2278" s="14"/>
      <c r="N2278" s="14"/>
      <c r="O2278" s="14"/>
      <c r="P2278" s="14"/>
      <c r="Q2278" s="14"/>
      <c r="R2278" s="14"/>
    </row>
    <row r="2279" spans="2:18" x14ac:dyDescent="0.35">
      <c r="B2279" s="17"/>
      <c r="C2279" s="13"/>
      <c r="D2279" s="14"/>
      <c r="E2279" s="14"/>
      <c r="F2279" s="14"/>
      <c r="G2279" s="14"/>
      <c r="H2279" s="14"/>
      <c r="I2279" s="14"/>
      <c r="J2279" s="14"/>
      <c r="K2279" s="14"/>
      <c r="L2279" s="14"/>
      <c r="M2279" s="14"/>
      <c r="N2279" s="14"/>
      <c r="O2279" s="14"/>
      <c r="P2279" s="14"/>
      <c r="Q2279" s="14"/>
      <c r="R2279" s="14"/>
    </row>
    <row r="2280" spans="2:18" x14ac:dyDescent="0.35">
      <c r="B2280" s="17"/>
      <c r="C2280" s="13"/>
      <c r="D2280" s="14"/>
      <c r="E2280" s="14"/>
      <c r="F2280" s="14"/>
      <c r="G2280" s="14"/>
      <c r="H2280" s="14"/>
      <c r="I2280" s="14"/>
      <c r="J2280" s="14"/>
      <c r="K2280" s="14"/>
      <c r="L2280" s="14"/>
      <c r="M2280" s="14"/>
      <c r="N2280" s="14"/>
      <c r="O2280" s="14"/>
      <c r="P2280" s="14"/>
      <c r="Q2280" s="14"/>
      <c r="R2280" s="14"/>
    </row>
    <row r="2281" spans="2:18" x14ac:dyDescent="0.35">
      <c r="B2281" s="17"/>
      <c r="C2281" s="13"/>
      <c r="D2281" s="14"/>
      <c r="E2281" s="14"/>
      <c r="F2281" s="14"/>
      <c r="G2281" s="14"/>
      <c r="H2281" s="14"/>
      <c r="I2281" s="14"/>
      <c r="J2281" s="14"/>
      <c r="K2281" s="14"/>
      <c r="L2281" s="14"/>
      <c r="M2281" s="14"/>
      <c r="N2281" s="14"/>
      <c r="O2281" s="14"/>
      <c r="P2281" s="14"/>
      <c r="Q2281" s="14"/>
      <c r="R2281" s="14"/>
    </row>
    <row r="2282" spans="2:18" x14ac:dyDescent="0.35">
      <c r="B2282" s="17"/>
      <c r="C2282" s="13"/>
      <c r="D2282" s="14"/>
      <c r="E2282" s="14"/>
      <c r="F2282" s="14"/>
      <c r="G2282" s="14"/>
      <c r="H2282" s="14"/>
      <c r="I2282" s="14"/>
      <c r="J2282" s="14"/>
      <c r="K2282" s="14"/>
      <c r="L2282" s="14"/>
      <c r="M2282" s="14"/>
      <c r="N2282" s="14"/>
      <c r="O2282" s="14"/>
      <c r="P2282" s="14"/>
      <c r="Q2282" s="14"/>
      <c r="R2282" s="14"/>
    </row>
    <row r="2283" spans="2:18" x14ac:dyDescent="0.35">
      <c r="B2283" s="17"/>
      <c r="C2283" s="13"/>
      <c r="D2283" s="14"/>
      <c r="E2283" s="14"/>
      <c r="F2283" s="14"/>
      <c r="G2283" s="14"/>
      <c r="H2283" s="14"/>
      <c r="I2283" s="14"/>
      <c r="J2283" s="14"/>
      <c r="K2283" s="14"/>
      <c r="L2283" s="14"/>
      <c r="M2283" s="14"/>
      <c r="N2283" s="14"/>
      <c r="O2283" s="14"/>
      <c r="P2283" s="14"/>
      <c r="Q2283" s="14"/>
      <c r="R2283" s="14"/>
    </row>
    <row r="2284" spans="2:18" x14ac:dyDescent="0.35">
      <c r="B2284" s="17"/>
      <c r="C2284" s="18"/>
      <c r="D2284" s="21"/>
      <c r="E2284" s="21"/>
      <c r="F2284" s="21"/>
      <c r="G2284" s="21"/>
      <c r="H2284" s="21"/>
      <c r="I2284" s="21"/>
      <c r="J2284" s="21"/>
      <c r="K2284" s="21"/>
      <c r="L2284" s="21"/>
      <c r="M2284" s="21"/>
      <c r="N2284" s="21"/>
      <c r="O2284" s="21"/>
      <c r="P2284" s="21"/>
      <c r="Q2284" s="21"/>
      <c r="R2284" s="21"/>
    </row>
    <row r="2285" spans="2:18" x14ac:dyDescent="0.35">
      <c r="B2285" s="17"/>
      <c r="C2285" s="18"/>
      <c r="D2285" s="21"/>
      <c r="E2285" s="21"/>
      <c r="F2285" s="21"/>
      <c r="G2285" s="21"/>
      <c r="H2285" s="21"/>
      <c r="I2285" s="21"/>
      <c r="J2285" s="21"/>
      <c r="K2285" s="21"/>
      <c r="L2285" s="21"/>
      <c r="M2285" s="21"/>
      <c r="N2285" s="21"/>
      <c r="O2285" s="21"/>
      <c r="P2285" s="21"/>
      <c r="Q2285" s="21"/>
      <c r="R2285" s="21"/>
    </row>
    <row r="2286" spans="2:18" x14ac:dyDescent="0.35">
      <c r="B2286" s="17"/>
      <c r="C2286" s="18"/>
      <c r="D2286" s="21"/>
      <c r="E2286" s="21"/>
      <c r="F2286" s="21"/>
      <c r="G2286" s="21"/>
      <c r="H2286" s="21"/>
      <c r="I2286" s="21"/>
      <c r="J2286" s="21"/>
      <c r="K2286" s="21"/>
      <c r="L2286" s="21"/>
      <c r="M2286" s="21"/>
      <c r="N2286" s="21"/>
      <c r="O2286" s="21"/>
      <c r="P2286" s="21"/>
      <c r="Q2286" s="21"/>
      <c r="R2286" s="21"/>
    </row>
    <row r="2287" spans="2:18" x14ac:dyDescent="0.35">
      <c r="B2287" s="17"/>
      <c r="C2287" s="18"/>
      <c r="D2287" s="21"/>
      <c r="E2287" s="21"/>
      <c r="F2287" s="21"/>
      <c r="G2287" s="21"/>
      <c r="H2287" s="21"/>
      <c r="I2287" s="21"/>
      <c r="J2287" s="21"/>
      <c r="K2287" s="21"/>
      <c r="L2287" s="21"/>
      <c r="M2287" s="21"/>
      <c r="N2287" s="21"/>
      <c r="O2287" s="21"/>
      <c r="P2287" s="21"/>
      <c r="Q2287" s="21"/>
      <c r="R2287" s="21"/>
    </row>
    <row r="2288" spans="2:18" x14ac:dyDescent="0.35">
      <c r="B2288" s="17"/>
      <c r="C2288" s="18"/>
      <c r="D2288" s="21"/>
      <c r="E2288" s="21"/>
      <c r="F2288" s="21"/>
      <c r="G2288" s="21"/>
      <c r="H2288" s="21"/>
      <c r="I2288" s="21"/>
      <c r="J2288" s="21"/>
      <c r="K2288" s="21"/>
      <c r="L2288" s="21"/>
      <c r="M2288" s="21"/>
      <c r="N2288" s="21"/>
      <c r="O2288" s="21"/>
      <c r="P2288" s="21"/>
      <c r="Q2288" s="21"/>
      <c r="R2288" s="21"/>
    </row>
    <row r="2289" spans="2:18" x14ac:dyDescent="0.35">
      <c r="B2289" s="17"/>
      <c r="C2289" s="19"/>
      <c r="D2289" s="21"/>
      <c r="E2289" s="21"/>
      <c r="F2289" s="21"/>
      <c r="G2289" s="21"/>
      <c r="H2289" s="21"/>
      <c r="I2289" s="21"/>
      <c r="J2289" s="21"/>
      <c r="K2289" s="21"/>
      <c r="L2289" s="21"/>
      <c r="M2289" s="21"/>
      <c r="N2289" s="21"/>
      <c r="O2289" s="21"/>
      <c r="P2289" s="21"/>
      <c r="Q2289" s="21"/>
      <c r="R2289" s="21"/>
    </row>
    <row r="2290" spans="2:18" x14ac:dyDescent="0.35">
      <c r="B2290" s="17"/>
      <c r="C2290" s="19"/>
      <c r="D2290" s="21"/>
      <c r="E2290" s="21"/>
      <c r="F2290" s="21"/>
      <c r="G2290" s="21"/>
      <c r="H2290" s="21"/>
      <c r="I2290" s="21"/>
      <c r="J2290" s="21"/>
      <c r="K2290" s="21"/>
      <c r="L2290" s="21"/>
      <c r="M2290" s="21"/>
      <c r="N2290" s="21"/>
      <c r="O2290" s="21"/>
      <c r="P2290" s="21"/>
      <c r="Q2290" s="21"/>
      <c r="R2290" s="21"/>
    </row>
    <row r="2291" spans="2:18" x14ac:dyDescent="0.35">
      <c r="B2291" s="17"/>
      <c r="C2291" s="19"/>
      <c r="D2291" s="21"/>
      <c r="E2291" s="21"/>
      <c r="F2291" s="21"/>
      <c r="G2291" s="21"/>
      <c r="H2291" s="21"/>
      <c r="I2291" s="21"/>
      <c r="J2291" s="21"/>
      <c r="K2291" s="21"/>
      <c r="L2291" s="21"/>
      <c r="M2291" s="21"/>
      <c r="N2291" s="21"/>
      <c r="O2291" s="21"/>
      <c r="P2291" s="21"/>
      <c r="Q2291" s="21"/>
      <c r="R2291" s="21"/>
    </row>
    <row r="2292" spans="2:18" x14ac:dyDescent="0.35">
      <c r="B2292" s="17"/>
      <c r="C2292" s="19"/>
      <c r="D2292" s="21"/>
      <c r="E2292" s="21"/>
      <c r="F2292" s="21"/>
      <c r="G2292" s="21"/>
      <c r="H2292" s="21"/>
      <c r="I2292" s="21"/>
      <c r="J2292" s="21"/>
      <c r="K2292" s="21"/>
      <c r="L2292" s="21"/>
      <c r="M2292" s="21"/>
      <c r="N2292" s="21"/>
      <c r="O2292" s="21"/>
      <c r="P2292" s="21"/>
      <c r="Q2292" s="21"/>
      <c r="R2292" s="21"/>
    </row>
    <row r="2293" spans="2:18" x14ac:dyDescent="0.35">
      <c r="B2293" s="17"/>
      <c r="C2293" s="13"/>
      <c r="D2293" s="14"/>
      <c r="E2293" s="14"/>
      <c r="F2293" s="14"/>
      <c r="G2293" s="14"/>
      <c r="H2293" s="14"/>
      <c r="I2293" s="14"/>
      <c r="J2293" s="14"/>
      <c r="K2293" s="14"/>
      <c r="L2293" s="14"/>
      <c r="M2293" s="14"/>
      <c r="N2293" s="14"/>
      <c r="O2293" s="14"/>
      <c r="P2293" s="14"/>
      <c r="Q2293" s="14"/>
      <c r="R2293" s="14"/>
    </row>
    <row r="2294" spans="2:18" x14ac:dyDescent="0.35">
      <c r="B2294" s="17"/>
      <c r="C2294" s="13"/>
      <c r="D2294" s="14"/>
      <c r="E2294" s="14"/>
      <c r="F2294" s="14"/>
      <c r="G2294" s="14"/>
      <c r="H2294" s="14"/>
      <c r="I2294" s="14"/>
      <c r="J2294" s="14"/>
      <c r="K2294" s="14"/>
      <c r="L2294" s="14"/>
      <c r="M2294" s="14"/>
      <c r="N2294" s="14"/>
      <c r="O2294" s="14"/>
      <c r="P2294" s="14"/>
      <c r="Q2294" s="14"/>
      <c r="R2294" s="14"/>
    </row>
    <row r="2295" spans="2:18" x14ac:dyDescent="0.35">
      <c r="B2295" s="17"/>
      <c r="C2295" s="13"/>
      <c r="D2295" s="14"/>
      <c r="E2295" s="14"/>
      <c r="F2295" s="14"/>
      <c r="G2295" s="14"/>
      <c r="H2295" s="14"/>
      <c r="I2295" s="14"/>
      <c r="J2295" s="14"/>
      <c r="K2295" s="14"/>
      <c r="L2295" s="14"/>
      <c r="M2295" s="14"/>
      <c r="N2295" s="14"/>
      <c r="O2295" s="14"/>
      <c r="P2295" s="14"/>
      <c r="Q2295" s="14"/>
      <c r="R2295" s="14"/>
    </row>
    <row r="2296" spans="2:18" x14ac:dyDescent="0.35">
      <c r="B2296" s="17"/>
      <c r="C2296" s="13"/>
      <c r="D2296" s="14"/>
      <c r="E2296" s="14"/>
      <c r="F2296" s="14"/>
      <c r="G2296" s="14"/>
      <c r="H2296" s="14"/>
      <c r="I2296" s="14"/>
      <c r="J2296" s="14"/>
      <c r="K2296" s="14"/>
      <c r="L2296" s="14"/>
      <c r="M2296" s="14"/>
      <c r="N2296" s="14"/>
      <c r="O2296" s="14"/>
      <c r="P2296" s="14"/>
      <c r="Q2296" s="14"/>
      <c r="R2296" s="14"/>
    </row>
    <row r="2297" spans="2:18" x14ac:dyDescent="0.35">
      <c r="B2297" s="17"/>
      <c r="C2297" s="13"/>
      <c r="D2297" s="14"/>
      <c r="E2297" s="14"/>
      <c r="F2297" s="14"/>
      <c r="G2297" s="14"/>
      <c r="H2297" s="14"/>
      <c r="I2297" s="14"/>
      <c r="J2297" s="14"/>
      <c r="K2297" s="14"/>
      <c r="L2297" s="14"/>
      <c r="M2297" s="14"/>
      <c r="N2297" s="14"/>
      <c r="O2297" s="14"/>
      <c r="P2297" s="14"/>
      <c r="Q2297" s="14"/>
      <c r="R2297" s="14"/>
    </row>
    <row r="2298" spans="2:18" x14ac:dyDescent="0.35">
      <c r="B2298" s="17"/>
      <c r="C2298" s="13"/>
      <c r="D2298" s="14"/>
      <c r="E2298" s="14"/>
      <c r="F2298" s="14"/>
      <c r="G2298" s="14"/>
      <c r="H2298" s="14"/>
      <c r="I2298" s="14"/>
      <c r="J2298" s="14"/>
      <c r="K2298" s="14"/>
      <c r="L2298" s="14"/>
      <c r="M2298" s="14"/>
      <c r="N2298" s="14"/>
      <c r="O2298" s="14"/>
      <c r="P2298" s="14"/>
      <c r="Q2298" s="14"/>
      <c r="R2298" s="14"/>
    </row>
    <row r="2299" spans="2:18" x14ac:dyDescent="0.35">
      <c r="B2299" s="17"/>
      <c r="C2299" s="13"/>
      <c r="D2299" s="14"/>
      <c r="E2299" s="14"/>
      <c r="F2299" s="14"/>
      <c r="G2299" s="14"/>
      <c r="H2299" s="14"/>
      <c r="I2299" s="14"/>
      <c r="J2299" s="14"/>
      <c r="K2299" s="14"/>
      <c r="L2299" s="14"/>
      <c r="M2299" s="14"/>
      <c r="N2299" s="14"/>
      <c r="O2299" s="14"/>
      <c r="P2299" s="14"/>
      <c r="Q2299" s="14"/>
      <c r="R2299" s="14"/>
    </row>
    <row r="2300" spans="2:18" x14ac:dyDescent="0.35">
      <c r="B2300" s="17"/>
      <c r="C2300" s="13"/>
      <c r="D2300" s="14"/>
      <c r="E2300" s="14"/>
      <c r="F2300" s="14"/>
      <c r="G2300" s="14"/>
      <c r="H2300" s="14"/>
      <c r="I2300" s="14"/>
      <c r="J2300" s="14"/>
      <c r="K2300" s="14"/>
      <c r="L2300" s="14"/>
      <c r="M2300" s="14"/>
      <c r="N2300" s="14"/>
      <c r="O2300" s="14"/>
      <c r="P2300" s="14"/>
      <c r="Q2300" s="14"/>
      <c r="R2300" s="14"/>
    </row>
    <row r="2301" spans="2:18" x14ac:dyDescent="0.35">
      <c r="B2301" s="17"/>
      <c r="C2301" s="13"/>
      <c r="D2301" s="14"/>
      <c r="E2301" s="14"/>
      <c r="F2301" s="14"/>
      <c r="G2301" s="14"/>
      <c r="H2301" s="14"/>
      <c r="I2301" s="14"/>
      <c r="J2301" s="14"/>
      <c r="K2301" s="14"/>
      <c r="L2301" s="14"/>
      <c r="M2301" s="14"/>
      <c r="N2301" s="14"/>
      <c r="O2301" s="14"/>
      <c r="P2301" s="14"/>
      <c r="Q2301" s="14"/>
      <c r="R2301" s="14"/>
    </row>
    <row r="2302" spans="2:18" x14ac:dyDescent="0.35">
      <c r="B2302" s="17"/>
      <c r="C2302" s="13"/>
      <c r="D2302" s="14"/>
      <c r="E2302" s="14"/>
      <c r="F2302" s="14"/>
      <c r="G2302" s="14"/>
      <c r="H2302" s="14"/>
      <c r="I2302" s="14"/>
      <c r="J2302" s="14"/>
      <c r="K2302" s="14"/>
      <c r="L2302" s="14"/>
      <c r="M2302" s="14"/>
      <c r="N2302" s="14"/>
      <c r="O2302" s="14"/>
      <c r="P2302" s="14"/>
      <c r="Q2302" s="14"/>
      <c r="R2302" s="14"/>
    </row>
    <row r="2303" spans="2:18" x14ac:dyDescent="0.35">
      <c r="B2303" s="17"/>
      <c r="C2303" s="13"/>
      <c r="D2303" s="14"/>
      <c r="E2303" s="14"/>
      <c r="F2303" s="14"/>
      <c r="G2303" s="14"/>
      <c r="H2303" s="14"/>
      <c r="I2303" s="14"/>
      <c r="J2303" s="14"/>
      <c r="K2303" s="14"/>
      <c r="L2303" s="14"/>
      <c r="M2303" s="14"/>
      <c r="N2303" s="14"/>
      <c r="O2303" s="14"/>
      <c r="P2303" s="14"/>
      <c r="Q2303" s="14"/>
      <c r="R2303" s="14"/>
    </row>
    <row r="2304" spans="2:18" x14ac:dyDescent="0.35">
      <c r="B2304" s="17"/>
      <c r="C2304" s="13"/>
      <c r="D2304" s="14"/>
      <c r="E2304" s="14"/>
      <c r="F2304" s="14"/>
      <c r="G2304" s="14"/>
      <c r="H2304" s="14"/>
      <c r="I2304" s="14"/>
      <c r="J2304" s="14"/>
      <c r="K2304" s="14"/>
      <c r="L2304" s="14"/>
      <c r="M2304" s="14"/>
      <c r="N2304" s="14"/>
      <c r="O2304" s="14"/>
      <c r="P2304" s="14"/>
      <c r="Q2304" s="14"/>
      <c r="R2304" s="14"/>
    </row>
    <row r="2305" spans="2:18" x14ac:dyDescent="0.35">
      <c r="B2305" s="17"/>
      <c r="C2305" s="13"/>
      <c r="D2305" s="14"/>
      <c r="E2305" s="14"/>
      <c r="F2305" s="14"/>
      <c r="G2305" s="14"/>
      <c r="H2305" s="14"/>
      <c r="I2305" s="14"/>
      <c r="J2305" s="14"/>
      <c r="K2305" s="14"/>
      <c r="L2305" s="14"/>
      <c r="M2305" s="14"/>
      <c r="N2305" s="14"/>
      <c r="O2305" s="14"/>
      <c r="P2305" s="14"/>
      <c r="Q2305" s="14"/>
      <c r="R2305" s="14"/>
    </row>
    <row r="2306" spans="2:18" x14ac:dyDescent="0.35">
      <c r="B2306" s="17"/>
      <c r="C2306" s="13"/>
      <c r="D2306" s="14"/>
      <c r="E2306" s="14"/>
      <c r="F2306" s="14"/>
      <c r="G2306" s="14"/>
      <c r="H2306" s="14"/>
      <c r="I2306" s="14"/>
      <c r="J2306" s="14"/>
      <c r="K2306" s="14"/>
      <c r="L2306" s="14"/>
      <c r="M2306" s="14"/>
      <c r="N2306" s="14"/>
      <c r="O2306" s="14"/>
      <c r="P2306" s="14"/>
      <c r="Q2306" s="14"/>
      <c r="R2306" s="14"/>
    </row>
    <row r="2307" spans="2:18" x14ac:dyDescent="0.35">
      <c r="B2307" s="17"/>
      <c r="C2307" s="13"/>
      <c r="D2307" s="14"/>
      <c r="E2307" s="14"/>
      <c r="F2307" s="14"/>
      <c r="G2307" s="14"/>
      <c r="H2307" s="14"/>
      <c r="I2307" s="14"/>
      <c r="J2307" s="14"/>
      <c r="K2307" s="14"/>
      <c r="L2307" s="14"/>
      <c r="M2307" s="14"/>
      <c r="N2307" s="14"/>
      <c r="O2307" s="14"/>
      <c r="P2307" s="14"/>
      <c r="Q2307" s="14"/>
      <c r="R2307" s="14"/>
    </row>
    <row r="2308" spans="2:18" x14ac:dyDescent="0.35">
      <c r="B2308" s="17"/>
      <c r="C2308" s="18"/>
      <c r="D2308" s="21"/>
      <c r="E2308" s="21"/>
      <c r="F2308" s="21"/>
      <c r="G2308" s="21"/>
      <c r="H2308" s="21"/>
      <c r="I2308" s="21"/>
      <c r="J2308" s="21"/>
      <c r="K2308" s="21"/>
      <c r="L2308" s="21"/>
      <c r="M2308" s="21"/>
      <c r="N2308" s="21"/>
      <c r="O2308" s="21"/>
      <c r="P2308" s="21"/>
      <c r="Q2308" s="21"/>
      <c r="R2308" s="21"/>
    </row>
    <row r="2309" spans="2:18" x14ac:dyDescent="0.35">
      <c r="B2309" s="17"/>
      <c r="C2309" s="18"/>
      <c r="D2309" s="21"/>
      <c r="E2309" s="21"/>
      <c r="F2309" s="21"/>
      <c r="G2309" s="21"/>
      <c r="H2309" s="21"/>
      <c r="I2309" s="21"/>
      <c r="J2309" s="21"/>
      <c r="K2309" s="21"/>
      <c r="L2309" s="21"/>
      <c r="M2309" s="21"/>
      <c r="N2309" s="21"/>
      <c r="O2309" s="21"/>
      <c r="P2309" s="21"/>
      <c r="Q2309" s="21"/>
      <c r="R2309" s="21"/>
    </row>
    <row r="2310" spans="2:18" x14ac:dyDescent="0.35">
      <c r="B2310" s="17"/>
      <c r="C2310" s="18"/>
      <c r="D2310" s="21"/>
      <c r="E2310" s="21"/>
      <c r="F2310" s="21"/>
      <c r="G2310" s="21"/>
      <c r="H2310" s="21"/>
      <c r="I2310" s="21"/>
      <c r="J2310" s="21"/>
      <c r="K2310" s="21"/>
      <c r="L2310" s="21"/>
      <c r="M2310" s="21"/>
      <c r="N2310" s="21"/>
      <c r="O2310" s="21"/>
      <c r="P2310" s="21"/>
      <c r="Q2310" s="21"/>
      <c r="R2310" s="21"/>
    </row>
    <row r="2311" spans="2:18" x14ac:dyDescent="0.35">
      <c r="B2311" s="17"/>
      <c r="C2311" s="18"/>
      <c r="D2311" s="21"/>
      <c r="E2311" s="21"/>
      <c r="F2311" s="21"/>
      <c r="G2311" s="21"/>
      <c r="H2311" s="21"/>
      <c r="I2311" s="21"/>
      <c r="J2311" s="21"/>
      <c r="K2311" s="21"/>
      <c r="L2311" s="21"/>
      <c r="M2311" s="21"/>
      <c r="N2311" s="21"/>
      <c r="O2311" s="21"/>
      <c r="P2311" s="21"/>
      <c r="Q2311" s="21"/>
      <c r="R2311" s="21"/>
    </row>
    <row r="2312" spans="2:18" x14ac:dyDescent="0.35">
      <c r="B2312" s="17"/>
      <c r="C2312" s="18"/>
      <c r="D2312" s="21"/>
      <c r="E2312" s="21"/>
      <c r="F2312" s="21"/>
      <c r="G2312" s="21"/>
      <c r="H2312" s="21"/>
      <c r="I2312" s="21"/>
      <c r="J2312" s="21"/>
      <c r="K2312" s="21"/>
      <c r="L2312" s="21"/>
      <c r="M2312" s="21"/>
      <c r="N2312" s="21"/>
      <c r="O2312" s="21"/>
      <c r="P2312" s="21"/>
      <c r="Q2312" s="21"/>
      <c r="R2312" s="21"/>
    </row>
    <row r="2313" spans="2:18" x14ac:dyDescent="0.35">
      <c r="B2313" s="17"/>
      <c r="C2313" s="18"/>
      <c r="D2313" s="21"/>
      <c r="E2313" s="21"/>
      <c r="F2313" s="21"/>
      <c r="G2313" s="21"/>
      <c r="H2313" s="21"/>
      <c r="I2313" s="21"/>
      <c r="J2313" s="21"/>
      <c r="K2313" s="21"/>
      <c r="L2313" s="21"/>
      <c r="M2313" s="21"/>
      <c r="N2313" s="21"/>
      <c r="O2313" s="21"/>
      <c r="P2313" s="21"/>
      <c r="Q2313" s="21"/>
      <c r="R2313" s="21"/>
    </row>
    <row r="2314" spans="2:18" x14ac:dyDescent="0.35">
      <c r="B2314" s="17"/>
      <c r="C2314" s="18"/>
      <c r="D2314" s="21"/>
      <c r="E2314" s="21"/>
      <c r="F2314" s="21"/>
      <c r="G2314" s="21"/>
      <c r="H2314" s="21"/>
      <c r="I2314" s="21"/>
      <c r="J2314" s="21"/>
      <c r="K2314" s="21"/>
      <c r="L2314" s="21"/>
      <c r="M2314" s="21"/>
      <c r="N2314" s="21"/>
      <c r="O2314" s="21"/>
      <c r="P2314" s="21"/>
      <c r="Q2314" s="21"/>
      <c r="R2314" s="21"/>
    </row>
    <row r="2315" spans="2:18" x14ac:dyDescent="0.35">
      <c r="B2315" s="17"/>
      <c r="C2315" s="18"/>
      <c r="D2315" s="21"/>
      <c r="E2315" s="21"/>
      <c r="F2315" s="21"/>
      <c r="G2315" s="21"/>
      <c r="H2315" s="21"/>
      <c r="I2315" s="21"/>
      <c r="J2315" s="21"/>
      <c r="K2315" s="21"/>
      <c r="L2315" s="21"/>
      <c r="M2315" s="21"/>
      <c r="N2315" s="21"/>
      <c r="O2315" s="21"/>
      <c r="P2315" s="21"/>
      <c r="Q2315" s="21"/>
      <c r="R2315" s="21"/>
    </row>
    <row r="2316" spans="2:18" x14ac:dyDescent="0.35">
      <c r="B2316" s="17"/>
      <c r="C2316" s="18"/>
      <c r="D2316" s="21"/>
      <c r="E2316" s="21"/>
      <c r="F2316" s="21"/>
      <c r="G2316" s="21"/>
      <c r="H2316" s="21"/>
      <c r="I2316" s="21"/>
      <c r="J2316" s="21"/>
      <c r="K2316" s="21"/>
      <c r="L2316" s="21"/>
      <c r="M2316" s="21"/>
      <c r="N2316" s="21"/>
      <c r="O2316" s="21"/>
      <c r="P2316" s="21"/>
      <c r="Q2316" s="21"/>
      <c r="R2316" s="21"/>
    </row>
    <row r="2317" spans="2:18" x14ac:dyDescent="0.35">
      <c r="B2317" s="17"/>
      <c r="C2317" s="18"/>
      <c r="D2317" s="21"/>
      <c r="E2317" s="21"/>
      <c r="F2317" s="21"/>
      <c r="G2317" s="21"/>
      <c r="H2317" s="21"/>
      <c r="I2317" s="21"/>
      <c r="J2317" s="21"/>
      <c r="K2317" s="21"/>
      <c r="L2317" s="21"/>
      <c r="M2317" s="21"/>
      <c r="N2317" s="21"/>
      <c r="O2317" s="21"/>
      <c r="P2317" s="21"/>
      <c r="Q2317" s="21"/>
      <c r="R2317" s="21"/>
    </row>
    <row r="2318" spans="2:18" x14ac:dyDescent="0.35">
      <c r="B2318" s="17"/>
      <c r="C2318" s="18"/>
      <c r="D2318" s="21"/>
      <c r="E2318" s="21"/>
      <c r="F2318" s="21"/>
      <c r="G2318" s="21"/>
      <c r="H2318" s="21"/>
      <c r="I2318" s="21"/>
      <c r="J2318" s="21"/>
      <c r="K2318" s="21"/>
      <c r="L2318" s="21"/>
      <c r="M2318" s="21"/>
      <c r="N2318" s="21"/>
      <c r="O2318" s="21"/>
      <c r="P2318" s="21"/>
      <c r="Q2318" s="21"/>
      <c r="R2318" s="21"/>
    </row>
    <row r="2319" spans="2:18" x14ac:dyDescent="0.35">
      <c r="B2319" s="17"/>
      <c r="C2319" s="18"/>
      <c r="D2319" s="21"/>
      <c r="E2319" s="21"/>
      <c r="F2319" s="21"/>
      <c r="G2319" s="21"/>
      <c r="H2319" s="21"/>
      <c r="I2319" s="21"/>
      <c r="J2319" s="21"/>
      <c r="K2319" s="21"/>
      <c r="L2319" s="21"/>
      <c r="M2319" s="21"/>
      <c r="N2319" s="21"/>
      <c r="O2319" s="21"/>
      <c r="P2319" s="21"/>
      <c r="Q2319" s="21"/>
      <c r="R2319" s="21"/>
    </row>
    <row r="2320" spans="2:18" x14ac:dyDescent="0.35">
      <c r="B2320" s="17"/>
      <c r="C2320" s="18"/>
      <c r="D2320" s="21"/>
      <c r="E2320" s="21"/>
      <c r="F2320" s="21"/>
      <c r="G2320" s="21"/>
      <c r="H2320" s="21"/>
      <c r="I2320" s="21"/>
      <c r="J2320" s="21"/>
      <c r="K2320" s="21"/>
      <c r="L2320" s="21"/>
      <c r="M2320" s="21"/>
      <c r="N2320" s="21"/>
      <c r="O2320" s="21"/>
      <c r="P2320" s="21"/>
      <c r="Q2320" s="21"/>
      <c r="R2320" s="21"/>
    </row>
    <row r="2321" spans="2:18" x14ac:dyDescent="0.35">
      <c r="B2321" s="17"/>
      <c r="C2321" s="18"/>
      <c r="D2321" s="21"/>
      <c r="E2321" s="21"/>
      <c r="F2321" s="21"/>
      <c r="G2321" s="21"/>
      <c r="H2321" s="21"/>
      <c r="I2321" s="21"/>
      <c r="J2321" s="21"/>
      <c r="K2321" s="21"/>
      <c r="L2321" s="21"/>
      <c r="M2321" s="21"/>
      <c r="N2321" s="21"/>
      <c r="O2321" s="21"/>
      <c r="P2321" s="21"/>
      <c r="Q2321" s="21"/>
      <c r="R2321" s="21"/>
    </row>
    <row r="2322" spans="2:18" x14ac:dyDescent="0.35">
      <c r="B2322" s="17"/>
      <c r="C2322" s="18"/>
      <c r="D2322" s="21"/>
      <c r="E2322" s="21"/>
      <c r="F2322" s="21"/>
      <c r="G2322" s="21"/>
      <c r="H2322" s="21"/>
      <c r="I2322" s="21"/>
      <c r="J2322" s="21"/>
      <c r="K2322" s="21"/>
      <c r="L2322" s="21"/>
      <c r="M2322" s="21"/>
      <c r="N2322" s="21"/>
      <c r="O2322" s="21"/>
      <c r="P2322" s="21"/>
      <c r="Q2322" s="21"/>
      <c r="R2322" s="21"/>
    </row>
    <row r="2323" spans="2:18" x14ac:dyDescent="0.35">
      <c r="B2323" s="17"/>
      <c r="C2323" s="18"/>
      <c r="D2323" s="21"/>
      <c r="E2323" s="21"/>
      <c r="F2323" s="21"/>
      <c r="G2323" s="21"/>
      <c r="H2323" s="21"/>
      <c r="I2323" s="21"/>
      <c r="J2323" s="21"/>
      <c r="K2323" s="21"/>
      <c r="L2323" s="21"/>
      <c r="M2323" s="21"/>
      <c r="N2323" s="21"/>
      <c r="O2323" s="21"/>
      <c r="P2323" s="21"/>
      <c r="Q2323" s="21"/>
      <c r="R2323" s="21"/>
    </row>
    <row r="2324" spans="2:18" x14ac:dyDescent="0.35">
      <c r="B2324" s="17"/>
      <c r="C2324" s="13"/>
      <c r="D2324" s="14"/>
      <c r="E2324" s="14"/>
      <c r="F2324" s="14"/>
      <c r="G2324" s="14"/>
      <c r="H2324" s="14"/>
      <c r="I2324" s="14"/>
      <c r="J2324" s="14"/>
      <c r="K2324" s="14"/>
      <c r="L2324" s="14"/>
      <c r="M2324" s="14"/>
      <c r="N2324" s="14"/>
      <c r="O2324" s="14"/>
      <c r="P2324" s="14"/>
      <c r="Q2324" s="14"/>
      <c r="R2324" s="14"/>
    </row>
    <row r="2325" spans="2:18" x14ac:dyDescent="0.35">
      <c r="B2325" s="17"/>
      <c r="C2325" s="13"/>
      <c r="D2325" s="14"/>
      <c r="E2325" s="14"/>
      <c r="F2325" s="14"/>
      <c r="G2325" s="14"/>
      <c r="H2325" s="14"/>
      <c r="I2325" s="14"/>
      <c r="J2325" s="14"/>
      <c r="K2325" s="14"/>
      <c r="L2325" s="14"/>
      <c r="M2325" s="14"/>
      <c r="N2325" s="14"/>
      <c r="O2325" s="14"/>
      <c r="P2325" s="14"/>
      <c r="Q2325" s="14"/>
      <c r="R2325" s="14"/>
    </row>
    <row r="2326" spans="2:18" x14ac:dyDescent="0.35">
      <c r="B2326" s="17"/>
      <c r="C2326" s="13"/>
      <c r="D2326" s="14"/>
      <c r="E2326" s="14"/>
      <c r="F2326" s="14"/>
      <c r="G2326" s="14"/>
      <c r="H2326" s="14"/>
      <c r="I2326" s="14"/>
      <c r="J2326" s="14"/>
      <c r="K2326" s="14"/>
      <c r="L2326" s="14"/>
      <c r="M2326" s="14"/>
      <c r="N2326" s="14"/>
      <c r="O2326" s="14"/>
      <c r="P2326" s="14"/>
      <c r="Q2326" s="14"/>
      <c r="R2326" s="14"/>
    </row>
    <row r="2327" spans="2:18" x14ac:dyDescent="0.35">
      <c r="B2327" s="17"/>
      <c r="C2327" s="13"/>
      <c r="D2327" s="14"/>
      <c r="E2327" s="14"/>
      <c r="F2327" s="14"/>
      <c r="G2327" s="14"/>
      <c r="H2327" s="14"/>
      <c r="I2327" s="14"/>
      <c r="J2327" s="14"/>
      <c r="K2327" s="14"/>
      <c r="L2327" s="14"/>
      <c r="M2327" s="14"/>
      <c r="N2327" s="14"/>
      <c r="O2327" s="14"/>
      <c r="P2327" s="14"/>
      <c r="Q2327" s="14"/>
      <c r="R2327" s="14"/>
    </row>
    <row r="2328" spans="2:18" x14ac:dyDescent="0.35">
      <c r="B2328" s="17"/>
      <c r="C2328" s="13"/>
      <c r="D2328" s="14"/>
      <c r="E2328" s="14"/>
      <c r="F2328" s="14"/>
      <c r="G2328" s="14"/>
      <c r="H2328" s="14"/>
      <c r="I2328" s="14"/>
      <c r="J2328" s="14"/>
      <c r="K2328" s="14"/>
      <c r="L2328" s="14"/>
      <c r="M2328" s="14"/>
      <c r="N2328" s="14"/>
      <c r="O2328" s="14"/>
      <c r="P2328" s="14"/>
      <c r="Q2328" s="14"/>
      <c r="R2328" s="14"/>
    </row>
    <row r="2329" spans="2:18" x14ac:dyDescent="0.35">
      <c r="B2329" s="17"/>
      <c r="C2329" s="13"/>
      <c r="D2329" s="14"/>
      <c r="E2329" s="14"/>
      <c r="F2329" s="14"/>
      <c r="G2329" s="14"/>
      <c r="H2329" s="14"/>
      <c r="I2329" s="14"/>
      <c r="J2329" s="14"/>
      <c r="K2329" s="14"/>
      <c r="L2329" s="14"/>
      <c r="M2329" s="14"/>
      <c r="N2329" s="14"/>
      <c r="O2329" s="14"/>
      <c r="P2329" s="14"/>
      <c r="Q2329" s="14"/>
      <c r="R2329" s="14"/>
    </row>
    <row r="2330" spans="2:18" x14ac:dyDescent="0.35">
      <c r="B2330" s="17"/>
      <c r="C2330" s="13"/>
      <c r="D2330" s="14"/>
      <c r="E2330" s="14"/>
      <c r="F2330" s="14"/>
      <c r="G2330" s="14"/>
      <c r="H2330" s="14"/>
      <c r="I2330" s="14"/>
      <c r="J2330" s="14"/>
      <c r="K2330" s="14"/>
      <c r="L2330" s="14"/>
      <c r="M2330" s="14"/>
      <c r="N2330" s="14"/>
      <c r="O2330" s="14"/>
      <c r="P2330" s="14"/>
      <c r="Q2330" s="14"/>
      <c r="R2330" s="14"/>
    </row>
    <row r="2331" spans="2:18" x14ac:dyDescent="0.35">
      <c r="B2331" s="17"/>
      <c r="C2331" s="18"/>
      <c r="D2331" s="21"/>
      <c r="E2331" s="21"/>
      <c r="F2331" s="21"/>
      <c r="G2331" s="21"/>
      <c r="H2331" s="21"/>
      <c r="I2331" s="21"/>
      <c r="J2331" s="21"/>
      <c r="K2331" s="21"/>
      <c r="L2331" s="21"/>
      <c r="M2331" s="21"/>
      <c r="N2331" s="21"/>
      <c r="O2331" s="21"/>
      <c r="P2331" s="21"/>
      <c r="Q2331" s="21"/>
      <c r="R2331" s="21"/>
    </row>
    <row r="2332" spans="2:18" x14ac:dyDescent="0.35">
      <c r="B2332" s="17"/>
      <c r="C2332" s="18"/>
      <c r="D2332" s="21"/>
      <c r="E2332" s="21"/>
      <c r="F2332" s="21"/>
      <c r="G2332" s="21"/>
      <c r="H2332" s="21"/>
      <c r="I2332" s="21"/>
      <c r="J2332" s="21"/>
      <c r="K2332" s="21"/>
      <c r="L2332" s="21"/>
      <c r="M2332" s="21"/>
      <c r="N2332" s="21"/>
      <c r="O2332" s="21"/>
      <c r="P2332" s="21"/>
      <c r="Q2332" s="21"/>
      <c r="R2332" s="21"/>
    </row>
    <row r="2333" spans="2:18" x14ac:dyDescent="0.35">
      <c r="B2333" s="17"/>
      <c r="C2333" s="18"/>
      <c r="D2333" s="21"/>
      <c r="E2333" s="21"/>
      <c r="F2333" s="21"/>
      <c r="G2333" s="21"/>
      <c r="H2333" s="21"/>
      <c r="I2333" s="21"/>
      <c r="J2333" s="21"/>
      <c r="K2333" s="21"/>
      <c r="L2333" s="21"/>
      <c r="M2333" s="21"/>
      <c r="N2333" s="21"/>
      <c r="O2333" s="21"/>
      <c r="P2333" s="21"/>
      <c r="Q2333" s="21"/>
      <c r="R2333" s="21"/>
    </row>
    <row r="2334" spans="2:18" x14ac:dyDescent="0.35">
      <c r="B2334" s="17"/>
      <c r="C2334" s="18"/>
      <c r="D2334" s="21"/>
      <c r="E2334" s="21"/>
      <c r="F2334" s="21"/>
      <c r="G2334" s="21"/>
      <c r="H2334" s="21"/>
      <c r="I2334" s="21"/>
      <c r="J2334" s="21"/>
      <c r="K2334" s="21"/>
      <c r="L2334" s="21"/>
      <c r="M2334" s="21"/>
      <c r="N2334" s="21"/>
      <c r="O2334" s="21"/>
      <c r="P2334" s="21"/>
      <c r="Q2334" s="21"/>
      <c r="R2334" s="21"/>
    </row>
    <row r="2335" spans="2:18" x14ac:dyDescent="0.35">
      <c r="B2335" s="17"/>
      <c r="C2335" s="18"/>
      <c r="D2335" s="21"/>
      <c r="E2335" s="21"/>
      <c r="F2335" s="21"/>
      <c r="G2335" s="21"/>
      <c r="H2335" s="21"/>
      <c r="I2335" s="21"/>
      <c r="J2335" s="21"/>
      <c r="K2335" s="21"/>
      <c r="L2335" s="21"/>
      <c r="M2335" s="21"/>
      <c r="N2335" s="21"/>
      <c r="O2335" s="21"/>
      <c r="P2335" s="21"/>
      <c r="Q2335" s="21"/>
      <c r="R2335" s="21"/>
    </row>
    <row r="2336" spans="2:18" x14ac:dyDescent="0.35">
      <c r="B2336" s="17"/>
      <c r="C2336" s="19"/>
      <c r="D2336" s="21"/>
      <c r="E2336" s="21"/>
      <c r="F2336" s="21"/>
      <c r="G2336" s="21"/>
      <c r="H2336" s="21"/>
      <c r="I2336" s="21"/>
      <c r="J2336" s="21"/>
      <c r="K2336" s="21"/>
      <c r="L2336" s="21"/>
      <c r="M2336" s="21"/>
      <c r="N2336" s="21"/>
      <c r="O2336" s="21"/>
      <c r="P2336" s="21"/>
      <c r="Q2336" s="21"/>
      <c r="R2336" s="21"/>
    </row>
    <row r="2337" spans="2:18" x14ac:dyDescent="0.35">
      <c r="B2337" s="17"/>
      <c r="C2337" s="19"/>
      <c r="D2337" s="21"/>
      <c r="E2337" s="21"/>
      <c r="F2337" s="21"/>
      <c r="G2337" s="21"/>
      <c r="H2337" s="21"/>
      <c r="I2337" s="21"/>
      <c r="J2337" s="21"/>
      <c r="K2337" s="21"/>
      <c r="L2337" s="21"/>
      <c r="M2337" s="21"/>
      <c r="N2337" s="21"/>
      <c r="O2337" s="21"/>
      <c r="P2337" s="21"/>
      <c r="Q2337" s="21"/>
      <c r="R2337" s="21"/>
    </row>
    <row r="2338" spans="2:18" x14ac:dyDescent="0.35">
      <c r="B2338" s="17"/>
      <c r="C2338" s="19"/>
      <c r="D2338" s="21"/>
      <c r="E2338" s="21"/>
      <c r="F2338" s="21"/>
      <c r="G2338" s="21"/>
      <c r="H2338" s="21"/>
      <c r="I2338" s="21"/>
      <c r="J2338" s="21"/>
      <c r="K2338" s="21"/>
      <c r="L2338" s="21"/>
      <c r="M2338" s="21"/>
      <c r="N2338" s="21"/>
      <c r="O2338" s="21"/>
      <c r="P2338" s="21"/>
      <c r="Q2338" s="21"/>
      <c r="R2338" s="21"/>
    </row>
    <row r="2339" spans="2:18" x14ac:dyDescent="0.35">
      <c r="B2339" s="17"/>
      <c r="C2339" s="19"/>
      <c r="D2339" s="21"/>
      <c r="E2339" s="21"/>
      <c r="F2339" s="21"/>
      <c r="G2339" s="21"/>
      <c r="H2339" s="21"/>
      <c r="I2339" s="21"/>
      <c r="J2339" s="21"/>
      <c r="K2339" s="21"/>
      <c r="L2339" s="21"/>
      <c r="M2339" s="21"/>
      <c r="N2339" s="21"/>
      <c r="O2339" s="21"/>
      <c r="P2339" s="21"/>
      <c r="Q2339" s="21"/>
      <c r="R2339" s="21"/>
    </row>
    <row r="2340" spans="2:18" x14ac:dyDescent="0.35">
      <c r="B2340" s="17"/>
      <c r="C2340" s="13"/>
      <c r="D2340" s="14"/>
      <c r="E2340" s="14"/>
      <c r="F2340" s="14"/>
      <c r="G2340" s="14"/>
      <c r="H2340" s="14"/>
      <c r="I2340" s="14"/>
      <c r="J2340" s="14"/>
      <c r="K2340" s="14"/>
      <c r="L2340" s="14"/>
      <c r="M2340" s="14"/>
      <c r="N2340" s="14"/>
      <c r="O2340" s="14"/>
      <c r="P2340" s="14"/>
      <c r="Q2340" s="14"/>
      <c r="R2340" s="14"/>
    </row>
    <row r="2341" spans="2:18" x14ac:dyDescent="0.35">
      <c r="B2341" s="17"/>
      <c r="C2341" s="13"/>
      <c r="D2341" s="14"/>
      <c r="E2341" s="14"/>
      <c r="F2341" s="14"/>
      <c r="G2341" s="14"/>
      <c r="H2341" s="14"/>
      <c r="I2341" s="14"/>
      <c r="J2341" s="14"/>
      <c r="K2341" s="14"/>
      <c r="L2341" s="14"/>
      <c r="M2341" s="14"/>
      <c r="N2341" s="14"/>
      <c r="O2341" s="14"/>
      <c r="P2341" s="14"/>
      <c r="Q2341" s="14"/>
      <c r="R2341" s="14"/>
    </row>
    <row r="2342" spans="2:18" x14ac:dyDescent="0.35">
      <c r="B2342" s="17"/>
      <c r="C2342" s="13"/>
      <c r="D2342" s="14"/>
      <c r="E2342" s="14"/>
      <c r="F2342" s="14"/>
      <c r="G2342" s="14"/>
      <c r="H2342" s="14"/>
      <c r="I2342" s="14"/>
      <c r="J2342" s="14"/>
      <c r="K2342" s="14"/>
      <c r="L2342" s="14"/>
      <c r="M2342" s="14"/>
      <c r="N2342" s="14"/>
      <c r="O2342" s="14"/>
      <c r="P2342" s="14"/>
      <c r="Q2342" s="14"/>
      <c r="R2342" s="14"/>
    </row>
    <row r="2343" spans="2:18" x14ac:dyDescent="0.35">
      <c r="B2343" s="17"/>
      <c r="C2343" s="13"/>
      <c r="D2343" s="14"/>
      <c r="E2343" s="14"/>
      <c r="F2343" s="14"/>
      <c r="G2343" s="14"/>
      <c r="H2343" s="14"/>
      <c r="I2343" s="14"/>
      <c r="J2343" s="14"/>
      <c r="K2343" s="14"/>
      <c r="L2343" s="14"/>
      <c r="M2343" s="14"/>
      <c r="N2343" s="14"/>
      <c r="O2343" s="14"/>
      <c r="P2343" s="14"/>
      <c r="Q2343" s="14"/>
      <c r="R2343" s="14"/>
    </row>
    <row r="2344" spans="2:18" x14ac:dyDescent="0.35">
      <c r="B2344" s="17"/>
      <c r="C2344" s="13"/>
      <c r="D2344" s="14"/>
      <c r="E2344" s="14"/>
      <c r="F2344" s="14"/>
      <c r="G2344" s="14"/>
      <c r="H2344" s="14"/>
      <c r="I2344" s="14"/>
      <c r="J2344" s="14"/>
      <c r="K2344" s="14"/>
      <c r="L2344" s="14"/>
      <c r="M2344" s="14"/>
      <c r="N2344" s="14"/>
      <c r="O2344" s="14"/>
      <c r="P2344" s="14"/>
      <c r="Q2344" s="14"/>
      <c r="R2344" s="14"/>
    </row>
    <row r="2345" spans="2:18" x14ac:dyDescent="0.35">
      <c r="B2345" s="17"/>
      <c r="C2345" s="13"/>
      <c r="D2345" s="14"/>
      <c r="E2345" s="14"/>
      <c r="F2345" s="14"/>
      <c r="G2345" s="14"/>
      <c r="H2345" s="14"/>
      <c r="I2345" s="14"/>
      <c r="J2345" s="14"/>
      <c r="K2345" s="14"/>
      <c r="L2345" s="14"/>
      <c r="M2345" s="14"/>
      <c r="N2345" s="14"/>
      <c r="O2345" s="14"/>
      <c r="P2345" s="14"/>
      <c r="Q2345" s="14"/>
      <c r="R2345" s="14"/>
    </row>
    <row r="2346" spans="2:18" x14ac:dyDescent="0.35">
      <c r="B2346" s="17"/>
      <c r="C2346" s="13"/>
      <c r="D2346" s="14"/>
      <c r="E2346" s="14"/>
      <c r="F2346" s="14"/>
      <c r="G2346" s="14"/>
      <c r="H2346" s="14"/>
      <c r="I2346" s="14"/>
      <c r="J2346" s="14"/>
      <c r="K2346" s="14"/>
      <c r="L2346" s="14"/>
      <c r="M2346" s="14"/>
      <c r="N2346" s="14"/>
      <c r="O2346" s="14"/>
      <c r="P2346" s="14"/>
      <c r="Q2346" s="14"/>
      <c r="R2346" s="14"/>
    </row>
    <row r="2347" spans="2:18" x14ac:dyDescent="0.35">
      <c r="B2347" s="17"/>
      <c r="C2347" s="13"/>
      <c r="D2347" s="14"/>
      <c r="E2347" s="14"/>
      <c r="F2347" s="14"/>
      <c r="G2347" s="14"/>
      <c r="H2347" s="14"/>
      <c r="I2347" s="14"/>
      <c r="J2347" s="14"/>
      <c r="K2347" s="14"/>
      <c r="L2347" s="14"/>
      <c r="M2347" s="14"/>
      <c r="N2347" s="14"/>
      <c r="O2347" s="14"/>
      <c r="P2347" s="14"/>
      <c r="Q2347" s="14"/>
      <c r="R2347" s="14"/>
    </row>
    <row r="2348" spans="2:18" x14ac:dyDescent="0.35">
      <c r="B2348" s="17"/>
      <c r="C2348" s="13"/>
      <c r="D2348" s="14"/>
      <c r="E2348" s="14"/>
      <c r="F2348" s="14"/>
      <c r="G2348" s="14"/>
      <c r="H2348" s="14"/>
      <c r="I2348" s="14"/>
      <c r="J2348" s="14"/>
      <c r="K2348" s="14"/>
      <c r="L2348" s="14"/>
      <c r="M2348" s="14"/>
      <c r="N2348" s="14"/>
      <c r="O2348" s="14"/>
      <c r="P2348" s="14"/>
      <c r="Q2348" s="14"/>
      <c r="R2348" s="14"/>
    </row>
    <row r="2349" spans="2:18" x14ac:dyDescent="0.35">
      <c r="B2349" s="17"/>
      <c r="C2349" s="13"/>
      <c r="D2349" s="14"/>
      <c r="E2349" s="14"/>
      <c r="F2349" s="14"/>
      <c r="G2349" s="14"/>
      <c r="H2349" s="14"/>
      <c r="I2349" s="14"/>
      <c r="J2349" s="14"/>
      <c r="K2349" s="14"/>
      <c r="L2349" s="14"/>
      <c r="M2349" s="14"/>
      <c r="N2349" s="14"/>
      <c r="O2349" s="14"/>
      <c r="P2349" s="14"/>
      <c r="Q2349" s="14"/>
      <c r="R2349" s="14"/>
    </row>
    <row r="2350" spans="2:18" x14ac:dyDescent="0.35">
      <c r="B2350" s="17"/>
      <c r="C2350" s="13"/>
      <c r="D2350" s="14"/>
      <c r="E2350" s="14"/>
      <c r="F2350" s="14"/>
      <c r="G2350" s="14"/>
      <c r="H2350" s="14"/>
      <c r="I2350" s="14"/>
      <c r="J2350" s="14"/>
      <c r="K2350" s="14"/>
      <c r="L2350" s="14"/>
      <c r="M2350" s="14"/>
      <c r="N2350" s="14"/>
      <c r="O2350" s="14"/>
      <c r="P2350" s="14"/>
      <c r="Q2350" s="14"/>
      <c r="R2350" s="14"/>
    </row>
    <row r="2351" spans="2:18" x14ac:dyDescent="0.35">
      <c r="B2351" s="17"/>
      <c r="C2351" s="13"/>
      <c r="D2351" s="14"/>
      <c r="E2351" s="14"/>
      <c r="F2351" s="14"/>
      <c r="G2351" s="14"/>
      <c r="H2351" s="14"/>
      <c r="I2351" s="14"/>
      <c r="J2351" s="14"/>
      <c r="K2351" s="14"/>
      <c r="L2351" s="14"/>
      <c r="M2351" s="14"/>
      <c r="N2351" s="14"/>
      <c r="O2351" s="14"/>
      <c r="P2351" s="14"/>
      <c r="Q2351" s="14"/>
      <c r="R2351" s="14"/>
    </row>
    <row r="2352" spans="2:18" x14ac:dyDescent="0.35">
      <c r="B2352" s="17"/>
      <c r="C2352" s="13"/>
      <c r="D2352" s="14"/>
      <c r="E2352" s="14"/>
      <c r="F2352" s="14"/>
      <c r="G2352" s="14"/>
      <c r="H2352" s="14"/>
      <c r="I2352" s="14"/>
      <c r="J2352" s="14"/>
      <c r="K2352" s="14"/>
      <c r="L2352" s="14"/>
      <c r="M2352" s="14"/>
      <c r="N2352" s="14"/>
      <c r="O2352" s="14"/>
      <c r="P2352" s="14"/>
      <c r="Q2352" s="14"/>
      <c r="R2352" s="14"/>
    </row>
    <row r="2353" spans="2:18" x14ac:dyDescent="0.35">
      <c r="B2353" s="17"/>
      <c r="C2353" s="13"/>
      <c r="D2353" s="14"/>
      <c r="E2353" s="14"/>
      <c r="F2353" s="14"/>
      <c r="G2353" s="14"/>
      <c r="H2353" s="14"/>
      <c r="I2353" s="14"/>
      <c r="J2353" s="14"/>
      <c r="K2353" s="14"/>
      <c r="L2353" s="14"/>
      <c r="M2353" s="14"/>
      <c r="N2353" s="14"/>
      <c r="O2353" s="14"/>
      <c r="P2353" s="14"/>
      <c r="Q2353" s="14"/>
      <c r="R2353" s="14"/>
    </row>
    <row r="2354" spans="2:18" x14ac:dyDescent="0.35">
      <c r="B2354" s="17"/>
      <c r="C2354" s="13"/>
      <c r="D2354" s="14"/>
      <c r="E2354" s="14"/>
      <c r="F2354" s="14"/>
      <c r="G2354" s="14"/>
      <c r="H2354" s="14"/>
      <c r="I2354" s="14"/>
      <c r="J2354" s="14"/>
      <c r="K2354" s="14"/>
      <c r="L2354" s="14"/>
      <c r="M2354" s="14"/>
      <c r="N2354" s="14"/>
      <c r="O2354" s="14"/>
      <c r="P2354" s="14"/>
      <c r="Q2354" s="14"/>
      <c r="R2354" s="14"/>
    </row>
    <row r="2355" spans="2:18" x14ac:dyDescent="0.35">
      <c r="B2355" s="17"/>
      <c r="C2355" s="18"/>
      <c r="D2355" s="21"/>
      <c r="E2355" s="21"/>
      <c r="F2355" s="21"/>
      <c r="G2355" s="21"/>
      <c r="H2355" s="21"/>
      <c r="I2355" s="21"/>
      <c r="J2355" s="21"/>
      <c r="K2355" s="21"/>
      <c r="L2355" s="21"/>
      <c r="M2355" s="21"/>
      <c r="N2355" s="21"/>
      <c r="O2355" s="21"/>
      <c r="P2355" s="21"/>
      <c r="Q2355" s="21"/>
      <c r="R2355" s="21"/>
    </row>
    <row r="2356" spans="2:18" x14ac:dyDescent="0.35">
      <c r="B2356" s="17"/>
      <c r="C2356" s="18"/>
      <c r="D2356" s="21"/>
      <c r="E2356" s="21"/>
      <c r="F2356" s="21"/>
      <c r="G2356" s="21"/>
      <c r="H2356" s="21"/>
      <c r="I2356" s="21"/>
      <c r="J2356" s="21"/>
      <c r="K2356" s="21"/>
      <c r="L2356" s="21"/>
      <c r="M2356" s="21"/>
      <c r="N2356" s="21"/>
      <c r="O2356" s="21"/>
      <c r="P2356" s="21"/>
      <c r="Q2356" s="21"/>
      <c r="R2356" s="21"/>
    </row>
    <row r="2357" spans="2:18" x14ac:dyDescent="0.35">
      <c r="B2357" s="17"/>
      <c r="C2357" s="18"/>
      <c r="D2357" s="21"/>
      <c r="E2357" s="21"/>
      <c r="F2357" s="21"/>
      <c r="G2357" s="21"/>
      <c r="H2357" s="21"/>
      <c r="I2357" s="21"/>
      <c r="J2357" s="21"/>
      <c r="K2357" s="21"/>
      <c r="L2357" s="21"/>
      <c r="M2357" s="21"/>
      <c r="N2357" s="21"/>
      <c r="O2357" s="21"/>
      <c r="P2357" s="21"/>
      <c r="Q2357" s="21"/>
      <c r="R2357" s="21"/>
    </row>
    <row r="2358" spans="2:18" x14ac:dyDescent="0.35">
      <c r="B2358" s="17"/>
      <c r="C2358" s="18"/>
      <c r="D2358" s="21"/>
      <c r="E2358" s="21"/>
      <c r="F2358" s="21"/>
      <c r="G2358" s="21"/>
      <c r="H2358" s="21"/>
      <c r="I2358" s="21"/>
      <c r="J2358" s="21"/>
      <c r="K2358" s="21"/>
      <c r="L2358" s="21"/>
      <c r="M2358" s="21"/>
      <c r="N2358" s="21"/>
      <c r="O2358" s="21"/>
      <c r="P2358" s="21"/>
      <c r="Q2358" s="21"/>
      <c r="R2358" s="21"/>
    </row>
    <row r="2359" spans="2:18" x14ac:dyDescent="0.35">
      <c r="B2359" s="17"/>
      <c r="C2359" s="18"/>
      <c r="D2359" s="21"/>
      <c r="E2359" s="21"/>
      <c r="F2359" s="21"/>
      <c r="G2359" s="21"/>
      <c r="H2359" s="21"/>
      <c r="I2359" s="21"/>
      <c r="J2359" s="21"/>
      <c r="K2359" s="21"/>
      <c r="L2359" s="21"/>
      <c r="M2359" s="21"/>
      <c r="N2359" s="21"/>
      <c r="O2359" s="21"/>
      <c r="P2359" s="21"/>
      <c r="Q2359" s="21"/>
      <c r="R2359" s="21"/>
    </row>
    <row r="2360" spans="2:18" x14ac:dyDescent="0.35">
      <c r="B2360" s="17"/>
      <c r="C2360" s="18"/>
      <c r="D2360" s="21"/>
      <c r="E2360" s="21"/>
      <c r="F2360" s="21"/>
      <c r="G2360" s="21"/>
      <c r="H2360" s="21"/>
      <c r="I2360" s="21"/>
      <c r="J2360" s="21"/>
      <c r="K2360" s="21"/>
      <c r="L2360" s="21"/>
      <c r="M2360" s="21"/>
      <c r="N2360" s="21"/>
      <c r="O2360" s="21"/>
      <c r="P2360" s="21"/>
      <c r="Q2360" s="21"/>
      <c r="R2360" s="21"/>
    </row>
    <row r="2361" spans="2:18" x14ac:dyDescent="0.35">
      <c r="B2361" s="17"/>
      <c r="C2361" s="18"/>
      <c r="D2361" s="21"/>
      <c r="E2361" s="21"/>
      <c r="F2361" s="21"/>
      <c r="G2361" s="21"/>
      <c r="H2361" s="21"/>
      <c r="I2361" s="21"/>
      <c r="J2361" s="21"/>
      <c r="K2361" s="21"/>
      <c r="L2361" s="21"/>
      <c r="M2361" s="21"/>
      <c r="N2361" s="21"/>
      <c r="O2361" s="21"/>
      <c r="P2361" s="21"/>
      <c r="Q2361" s="21"/>
      <c r="R2361" s="21"/>
    </row>
    <row r="2362" spans="2:18" x14ac:dyDescent="0.35">
      <c r="B2362" s="17"/>
      <c r="C2362" s="18"/>
      <c r="D2362" s="21"/>
      <c r="E2362" s="21"/>
      <c r="F2362" s="21"/>
      <c r="G2362" s="21"/>
      <c r="H2362" s="21"/>
      <c r="I2362" s="21"/>
      <c r="J2362" s="21"/>
      <c r="K2362" s="21"/>
      <c r="L2362" s="21"/>
      <c r="M2362" s="21"/>
      <c r="N2362" s="21"/>
      <c r="O2362" s="21"/>
      <c r="P2362" s="21"/>
      <c r="Q2362" s="21"/>
      <c r="R2362" s="21"/>
    </row>
    <row r="2363" spans="2:18" x14ac:dyDescent="0.35">
      <c r="B2363" s="17"/>
      <c r="C2363" s="18"/>
      <c r="D2363" s="21"/>
      <c r="E2363" s="21"/>
      <c r="F2363" s="21"/>
      <c r="G2363" s="21"/>
      <c r="H2363" s="21"/>
      <c r="I2363" s="21"/>
      <c r="J2363" s="21"/>
      <c r="K2363" s="21"/>
      <c r="L2363" s="21"/>
      <c r="M2363" s="21"/>
      <c r="N2363" s="21"/>
      <c r="O2363" s="21"/>
      <c r="P2363" s="21"/>
      <c r="Q2363" s="21"/>
      <c r="R2363" s="21"/>
    </row>
    <row r="2364" spans="2:18" x14ac:dyDescent="0.35">
      <c r="B2364" s="17"/>
      <c r="C2364" s="18"/>
      <c r="D2364" s="21"/>
      <c r="E2364" s="21"/>
      <c r="F2364" s="21"/>
      <c r="G2364" s="21"/>
      <c r="H2364" s="21"/>
      <c r="I2364" s="21"/>
      <c r="J2364" s="21"/>
      <c r="K2364" s="21"/>
      <c r="L2364" s="21"/>
      <c r="M2364" s="21"/>
      <c r="N2364" s="21"/>
      <c r="O2364" s="21"/>
      <c r="P2364" s="21"/>
      <c r="Q2364" s="21"/>
      <c r="R2364" s="21"/>
    </row>
    <row r="2365" spans="2:18" x14ac:dyDescent="0.35">
      <c r="B2365" s="17"/>
      <c r="C2365" s="18"/>
      <c r="D2365" s="21"/>
      <c r="E2365" s="21"/>
      <c r="F2365" s="21"/>
      <c r="G2365" s="21"/>
      <c r="H2365" s="21"/>
      <c r="I2365" s="21"/>
      <c r="J2365" s="21"/>
      <c r="K2365" s="21"/>
      <c r="L2365" s="21"/>
      <c r="M2365" s="21"/>
      <c r="N2365" s="21"/>
      <c r="O2365" s="21"/>
      <c r="P2365" s="21"/>
      <c r="Q2365" s="21"/>
      <c r="R2365" s="21"/>
    </row>
    <row r="2366" spans="2:18" x14ac:dyDescent="0.35">
      <c r="B2366" s="17"/>
      <c r="C2366" s="18"/>
      <c r="D2366" s="21"/>
      <c r="E2366" s="21"/>
      <c r="F2366" s="21"/>
      <c r="G2366" s="21"/>
      <c r="H2366" s="21"/>
      <c r="I2366" s="21"/>
      <c r="J2366" s="21"/>
      <c r="K2366" s="21"/>
      <c r="L2366" s="21"/>
      <c r="M2366" s="21"/>
      <c r="N2366" s="21"/>
      <c r="O2366" s="21"/>
      <c r="P2366" s="21"/>
      <c r="Q2366" s="21"/>
      <c r="R2366" s="21"/>
    </row>
    <row r="2367" spans="2:18" x14ac:dyDescent="0.35">
      <c r="B2367" s="17"/>
      <c r="C2367" s="18"/>
      <c r="D2367" s="21"/>
      <c r="E2367" s="21"/>
      <c r="F2367" s="21"/>
      <c r="G2367" s="21"/>
      <c r="H2367" s="21"/>
      <c r="I2367" s="21"/>
      <c r="J2367" s="21"/>
      <c r="K2367" s="21"/>
      <c r="L2367" s="21"/>
      <c r="M2367" s="21"/>
      <c r="N2367" s="21"/>
      <c r="O2367" s="21"/>
      <c r="P2367" s="21"/>
      <c r="Q2367" s="21"/>
      <c r="R2367" s="21"/>
    </row>
    <row r="2368" spans="2:18" x14ac:dyDescent="0.35">
      <c r="B2368" s="17"/>
      <c r="C2368" s="18"/>
      <c r="D2368" s="21"/>
      <c r="E2368" s="21"/>
      <c r="F2368" s="21"/>
      <c r="G2368" s="21"/>
      <c r="H2368" s="21"/>
      <c r="I2368" s="21"/>
      <c r="J2368" s="21"/>
      <c r="K2368" s="21"/>
      <c r="L2368" s="21"/>
      <c r="M2368" s="21"/>
      <c r="N2368" s="21"/>
      <c r="O2368" s="21"/>
      <c r="P2368" s="21"/>
      <c r="Q2368" s="21"/>
      <c r="R2368" s="21"/>
    </row>
    <row r="2369" spans="2:18" x14ac:dyDescent="0.35">
      <c r="B2369" s="17"/>
      <c r="C2369" s="18"/>
      <c r="D2369" s="21"/>
      <c r="E2369" s="21"/>
      <c r="F2369" s="21"/>
      <c r="G2369" s="21"/>
      <c r="H2369" s="21"/>
      <c r="I2369" s="21"/>
      <c r="J2369" s="21"/>
      <c r="K2369" s="21"/>
      <c r="L2369" s="21"/>
      <c r="M2369" s="21"/>
      <c r="N2369" s="21"/>
      <c r="O2369" s="21"/>
      <c r="P2369" s="21"/>
      <c r="Q2369" s="21"/>
      <c r="R2369" s="21"/>
    </row>
    <row r="2370" spans="2:18" x14ac:dyDescent="0.35">
      <c r="B2370" s="17"/>
      <c r="C2370" s="18"/>
      <c r="D2370" s="21"/>
      <c r="E2370" s="21"/>
      <c r="F2370" s="21"/>
      <c r="G2370" s="21"/>
      <c r="H2370" s="21"/>
      <c r="I2370" s="21"/>
      <c r="J2370" s="21"/>
      <c r="K2370" s="21"/>
      <c r="L2370" s="21"/>
      <c r="M2370" s="21"/>
      <c r="N2370" s="21"/>
      <c r="O2370" s="21"/>
      <c r="P2370" s="21"/>
      <c r="Q2370" s="21"/>
      <c r="R2370" s="21"/>
    </row>
    <row r="2371" spans="2:18" x14ac:dyDescent="0.35">
      <c r="B2371" s="17"/>
      <c r="C2371" s="13"/>
      <c r="D2371" s="14"/>
      <c r="E2371" s="14"/>
      <c r="F2371" s="14"/>
      <c r="G2371" s="14"/>
      <c r="H2371" s="14"/>
      <c r="I2371" s="14"/>
      <c r="J2371" s="14"/>
      <c r="K2371" s="14"/>
      <c r="L2371" s="14"/>
      <c r="M2371" s="14"/>
      <c r="N2371" s="14"/>
      <c r="O2371" s="14"/>
      <c r="P2371" s="14"/>
      <c r="Q2371" s="14"/>
      <c r="R2371" s="14"/>
    </row>
    <row r="2372" spans="2:18" x14ac:dyDescent="0.35">
      <c r="B2372" s="17"/>
      <c r="C2372" s="13"/>
      <c r="D2372" s="14"/>
      <c r="E2372" s="14"/>
      <c r="F2372" s="14"/>
      <c r="G2372" s="14"/>
      <c r="H2372" s="14"/>
      <c r="I2372" s="14"/>
      <c r="J2372" s="14"/>
      <c r="K2372" s="14"/>
      <c r="L2372" s="14"/>
      <c r="M2372" s="14"/>
      <c r="N2372" s="14"/>
      <c r="O2372" s="14"/>
      <c r="P2372" s="14"/>
      <c r="Q2372" s="14"/>
      <c r="R2372" s="14"/>
    </row>
    <row r="2373" spans="2:18" x14ac:dyDescent="0.35">
      <c r="B2373" s="17"/>
      <c r="C2373" s="13"/>
      <c r="D2373" s="14"/>
      <c r="E2373" s="14"/>
      <c r="F2373" s="14"/>
      <c r="G2373" s="14"/>
      <c r="H2373" s="14"/>
      <c r="I2373" s="14"/>
      <c r="J2373" s="14"/>
      <c r="K2373" s="14"/>
      <c r="L2373" s="14"/>
      <c r="M2373" s="14"/>
      <c r="N2373" s="14"/>
      <c r="O2373" s="14"/>
      <c r="P2373" s="14"/>
      <c r="Q2373" s="14"/>
      <c r="R2373" s="14"/>
    </row>
    <row r="2374" spans="2:18" x14ac:dyDescent="0.35">
      <c r="B2374" s="17"/>
      <c r="C2374" s="13"/>
      <c r="D2374" s="14"/>
      <c r="E2374" s="14"/>
      <c r="F2374" s="14"/>
      <c r="G2374" s="14"/>
      <c r="H2374" s="14"/>
      <c r="I2374" s="14"/>
      <c r="J2374" s="14"/>
      <c r="K2374" s="14"/>
      <c r="L2374" s="14"/>
      <c r="M2374" s="14"/>
      <c r="N2374" s="14"/>
      <c r="O2374" s="14"/>
      <c r="P2374" s="14"/>
      <c r="Q2374" s="14"/>
      <c r="R2374" s="14"/>
    </row>
    <row r="2375" spans="2:18" x14ac:dyDescent="0.35">
      <c r="B2375" s="17"/>
      <c r="C2375" s="13"/>
      <c r="D2375" s="14"/>
      <c r="E2375" s="14"/>
      <c r="F2375" s="14"/>
      <c r="G2375" s="14"/>
      <c r="H2375" s="14"/>
      <c r="I2375" s="14"/>
      <c r="J2375" s="14"/>
      <c r="K2375" s="14"/>
      <c r="L2375" s="14"/>
      <c r="M2375" s="14"/>
      <c r="N2375" s="14"/>
      <c r="O2375" s="14"/>
      <c r="P2375" s="14"/>
      <c r="Q2375" s="14"/>
      <c r="R2375" s="14"/>
    </row>
    <row r="2376" spans="2:18" x14ac:dyDescent="0.35">
      <c r="B2376" s="17"/>
      <c r="C2376" s="13"/>
      <c r="D2376" s="14"/>
      <c r="E2376" s="14"/>
      <c r="F2376" s="14"/>
      <c r="G2376" s="14"/>
      <c r="H2376" s="14"/>
      <c r="I2376" s="14"/>
      <c r="J2376" s="14"/>
      <c r="K2376" s="14"/>
      <c r="L2376" s="14"/>
      <c r="M2376" s="14"/>
      <c r="N2376" s="14"/>
      <c r="O2376" s="14"/>
      <c r="P2376" s="14"/>
      <c r="Q2376" s="14"/>
      <c r="R2376" s="14"/>
    </row>
    <row r="2377" spans="2:18" x14ac:dyDescent="0.35">
      <c r="B2377" s="17"/>
      <c r="C2377" s="13"/>
      <c r="D2377" s="14"/>
      <c r="E2377" s="14"/>
      <c r="F2377" s="14"/>
      <c r="G2377" s="14"/>
      <c r="H2377" s="14"/>
      <c r="I2377" s="14"/>
      <c r="J2377" s="14"/>
      <c r="K2377" s="14"/>
      <c r="L2377" s="14"/>
      <c r="M2377" s="14"/>
      <c r="N2377" s="14"/>
      <c r="O2377" s="14"/>
      <c r="P2377" s="14"/>
      <c r="Q2377" s="14"/>
      <c r="R2377" s="14"/>
    </row>
    <row r="2378" spans="2:18" x14ac:dyDescent="0.35">
      <c r="B2378" s="17"/>
      <c r="C2378" s="18"/>
      <c r="D2378" s="21"/>
      <c r="E2378" s="21"/>
      <c r="F2378" s="21"/>
      <c r="G2378" s="21"/>
      <c r="H2378" s="21"/>
      <c r="I2378" s="21"/>
      <c r="J2378" s="21"/>
      <c r="K2378" s="21"/>
      <c r="L2378" s="21"/>
      <c r="M2378" s="21"/>
      <c r="N2378" s="21"/>
      <c r="O2378" s="21"/>
      <c r="P2378" s="21"/>
      <c r="Q2378" s="21"/>
      <c r="R2378" s="21"/>
    </row>
    <row r="2379" spans="2:18" x14ac:dyDescent="0.35">
      <c r="B2379" s="17"/>
      <c r="C2379" s="18"/>
      <c r="D2379" s="21"/>
      <c r="E2379" s="21"/>
      <c r="F2379" s="21"/>
      <c r="G2379" s="21"/>
      <c r="H2379" s="21"/>
      <c r="I2379" s="21"/>
      <c r="J2379" s="21"/>
      <c r="K2379" s="21"/>
      <c r="L2379" s="21"/>
      <c r="M2379" s="21"/>
      <c r="N2379" s="21"/>
      <c r="O2379" s="21"/>
      <c r="P2379" s="21"/>
      <c r="Q2379" s="21"/>
      <c r="R2379" s="21"/>
    </row>
    <row r="2380" spans="2:18" x14ac:dyDescent="0.35">
      <c r="B2380" s="17"/>
      <c r="C2380" s="18"/>
      <c r="D2380" s="21"/>
      <c r="E2380" s="21"/>
      <c r="F2380" s="21"/>
      <c r="G2380" s="21"/>
      <c r="H2380" s="21"/>
      <c r="I2380" s="21"/>
      <c r="J2380" s="21"/>
      <c r="K2380" s="21"/>
      <c r="L2380" s="21"/>
      <c r="M2380" s="21"/>
      <c r="N2380" s="21"/>
      <c r="O2380" s="21"/>
      <c r="P2380" s="21"/>
      <c r="Q2380" s="21"/>
      <c r="R2380" s="21"/>
    </row>
    <row r="2381" spans="2:18" x14ac:dyDescent="0.35">
      <c r="B2381" s="17"/>
      <c r="C2381" s="18"/>
      <c r="D2381" s="21"/>
      <c r="E2381" s="21"/>
      <c r="F2381" s="21"/>
      <c r="G2381" s="21"/>
      <c r="H2381" s="21"/>
      <c r="I2381" s="21"/>
      <c r="J2381" s="21"/>
      <c r="K2381" s="21"/>
      <c r="L2381" s="21"/>
      <c r="M2381" s="21"/>
      <c r="N2381" s="21"/>
      <c r="O2381" s="21"/>
      <c r="P2381" s="21"/>
      <c r="Q2381" s="21"/>
      <c r="R2381" s="21"/>
    </row>
    <row r="2382" spans="2:18" x14ac:dyDescent="0.35">
      <c r="B2382" s="17"/>
      <c r="C2382" s="18"/>
      <c r="D2382" s="21"/>
      <c r="E2382" s="21"/>
      <c r="F2382" s="21"/>
      <c r="G2382" s="21"/>
      <c r="H2382" s="21"/>
      <c r="I2382" s="21"/>
      <c r="J2382" s="21"/>
      <c r="K2382" s="21"/>
      <c r="L2382" s="21"/>
      <c r="M2382" s="21"/>
      <c r="N2382" s="21"/>
      <c r="O2382" s="21"/>
      <c r="P2382" s="21"/>
      <c r="Q2382" s="21"/>
      <c r="R2382" s="21"/>
    </row>
    <row r="2383" spans="2:18" x14ac:dyDescent="0.35">
      <c r="B2383" s="17"/>
      <c r="C2383" s="19"/>
      <c r="D2383" s="21"/>
      <c r="E2383" s="21"/>
      <c r="F2383" s="21"/>
      <c r="G2383" s="21"/>
      <c r="H2383" s="21"/>
      <c r="I2383" s="21"/>
      <c r="J2383" s="21"/>
      <c r="K2383" s="21"/>
      <c r="L2383" s="21"/>
      <c r="M2383" s="21"/>
      <c r="N2383" s="21"/>
      <c r="O2383" s="21"/>
      <c r="P2383" s="21"/>
      <c r="Q2383" s="21"/>
      <c r="R2383" s="21"/>
    </row>
    <row r="2384" spans="2:18" x14ac:dyDescent="0.35">
      <c r="B2384" s="17"/>
      <c r="C2384" s="19"/>
      <c r="D2384" s="21"/>
      <c r="E2384" s="21"/>
      <c r="F2384" s="21"/>
      <c r="G2384" s="21"/>
      <c r="H2384" s="21"/>
      <c r="I2384" s="21"/>
      <c r="J2384" s="21"/>
      <c r="K2384" s="21"/>
      <c r="L2384" s="21"/>
      <c r="M2384" s="21"/>
      <c r="N2384" s="21"/>
      <c r="O2384" s="21"/>
      <c r="P2384" s="21"/>
      <c r="Q2384" s="21"/>
      <c r="R2384" s="21"/>
    </row>
    <row r="2385" spans="2:18" x14ac:dyDescent="0.35">
      <c r="B2385" s="17"/>
      <c r="C2385" s="19"/>
      <c r="D2385" s="21"/>
      <c r="E2385" s="21"/>
      <c r="F2385" s="21"/>
      <c r="G2385" s="21"/>
      <c r="H2385" s="21"/>
      <c r="I2385" s="21"/>
      <c r="J2385" s="21"/>
      <c r="K2385" s="21"/>
      <c r="L2385" s="21"/>
      <c r="M2385" s="21"/>
      <c r="N2385" s="21"/>
      <c r="O2385" s="21"/>
      <c r="P2385" s="21"/>
      <c r="Q2385" s="21"/>
      <c r="R2385" s="21"/>
    </row>
    <row r="2386" spans="2:18" x14ac:dyDescent="0.35">
      <c r="B2386" s="17"/>
      <c r="C2386" s="19"/>
      <c r="D2386" s="21"/>
      <c r="E2386" s="21"/>
      <c r="F2386" s="21"/>
      <c r="G2386" s="21"/>
      <c r="H2386" s="21"/>
      <c r="I2386" s="21"/>
      <c r="J2386" s="21"/>
      <c r="K2386" s="21"/>
      <c r="L2386" s="21"/>
      <c r="M2386" s="21"/>
      <c r="N2386" s="21"/>
      <c r="O2386" s="21"/>
      <c r="P2386" s="21"/>
      <c r="Q2386" s="21"/>
      <c r="R2386" s="21"/>
    </row>
    <row r="2387" spans="2:18" x14ac:dyDescent="0.35">
      <c r="B2387" s="17"/>
      <c r="C2387" s="13"/>
      <c r="D2387" s="14"/>
      <c r="E2387" s="14"/>
      <c r="F2387" s="14"/>
      <c r="G2387" s="14"/>
      <c r="H2387" s="14"/>
      <c r="I2387" s="14"/>
      <c r="J2387" s="14"/>
      <c r="K2387" s="14"/>
      <c r="L2387" s="14"/>
      <c r="M2387" s="14"/>
      <c r="N2387" s="14"/>
      <c r="O2387" s="14"/>
      <c r="P2387" s="14"/>
      <c r="Q2387" s="14"/>
      <c r="R2387" s="14"/>
    </row>
    <row r="2388" spans="2:18" x14ac:dyDescent="0.35">
      <c r="B2388" s="17"/>
      <c r="C2388" s="13"/>
      <c r="D2388" s="14"/>
      <c r="E2388" s="14"/>
      <c r="F2388" s="14"/>
      <c r="G2388" s="14"/>
      <c r="H2388" s="14"/>
      <c r="I2388" s="14"/>
      <c r="J2388" s="14"/>
      <c r="K2388" s="14"/>
      <c r="L2388" s="14"/>
      <c r="M2388" s="14"/>
      <c r="N2388" s="14"/>
      <c r="O2388" s="14"/>
      <c r="P2388" s="14"/>
      <c r="Q2388" s="14"/>
      <c r="R2388" s="14"/>
    </row>
    <row r="2389" spans="2:18" x14ac:dyDescent="0.35">
      <c r="B2389" s="17"/>
      <c r="C2389" s="13"/>
      <c r="D2389" s="14"/>
      <c r="E2389" s="14"/>
      <c r="F2389" s="14"/>
      <c r="G2389" s="14"/>
      <c r="H2389" s="14"/>
      <c r="I2389" s="14"/>
      <c r="J2389" s="14"/>
      <c r="K2389" s="14"/>
      <c r="L2389" s="14"/>
      <c r="M2389" s="14"/>
      <c r="N2389" s="14"/>
      <c r="O2389" s="14"/>
      <c r="P2389" s="14"/>
      <c r="Q2389" s="14"/>
      <c r="R2389" s="14"/>
    </row>
    <row r="2390" spans="2:18" x14ac:dyDescent="0.35">
      <c r="B2390" s="17"/>
      <c r="C2390" s="13"/>
      <c r="D2390" s="14"/>
      <c r="E2390" s="14"/>
      <c r="F2390" s="14"/>
      <c r="G2390" s="14"/>
      <c r="H2390" s="14"/>
      <c r="I2390" s="14"/>
      <c r="J2390" s="14"/>
      <c r="K2390" s="14"/>
      <c r="L2390" s="14"/>
      <c r="M2390" s="14"/>
      <c r="N2390" s="14"/>
      <c r="O2390" s="14"/>
      <c r="P2390" s="14"/>
      <c r="Q2390" s="14"/>
      <c r="R2390" s="14"/>
    </row>
    <row r="2391" spans="2:18" x14ac:dyDescent="0.35">
      <c r="B2391" s="17"/>
      <c r="C2391" s="13"/>
      <c r="D2391" s="14"/>
      <c r="E2391" s="14"/>
      <c r="F2391" s="14"/>
      <c r="G2391" s="14"/>
      <c r="H2391" s="14"/>
      <c r="I2391" s="14"/>
      <c r="J2391" s="14"/>
      <c r="K2391" s="14"/>
      <c r="L2391" s="14"/>
      <c r="M2391" s="14"/>
      <c r="N2391" s="14"/>
      <c r="O2391" s="14"/>
      <c r="P2391" s="14"/>
      <c r="Q2391" s="14"/>
      <c r="R2391" s="14"/>
    </row>
    <row r="2392" spans="2:18" x14ac:dyDescent="0.35">
      <c r="B2392" s="17"/>
      <c r="C2392" s="13"/>
      <c r="D2392" s="14"/>
      <c r="E2392" s="14"/>
      <c r="F2392" s="14"/>
      <c r="G2392" s="14"/>
      <c r="H2392" s="14"/>
      <c r="I2392" s="14"/>
      <c r="J2392" s="14"/>
      <c r="K2392" s="14"/>
      <c r="L2392" s="14"/>
      <c r="M2392" s="14"/>
      <c r="N2392" s="14"/>
      <c r="O2392" s="14"/>
      <c r="P2392" s="14"/>
      <c r="Q2392" s="14"/>
      <c r="R2392" s="14"/>
    </row>
    <row r="2393" spans="2:18" x14ac:dyDescent="0.35">
      <c r="B2393" s="17"/>
      <c r="C2393" s="13"/>
      <c r="D2393" s="14"/>
      <c r="E2393" s="14"/>
      <c r="F2393" s="14"/>
      <c r="G2393" s="14"/>
      <c r="H2393" s="14"/>
      <c r="I2393" s="14"/>
      <c r="J2393" s="14"/>
      <c r="K2393" s="14"/>
      <c r="L2393" s="14"/>
      <c r="M2393" s="14"/>
      <c r="N2393" s="14"/>
      <c r="O2393" s="14"/>
      <c r="P2393" s="14"/>
      <c r="Q2393" s="14"/>
      <c r="R2393" s="14"/>
    </row>
    <row r="2394" spans="2:18" x14ac:dyDescent="0.35">
      <c r="B2394" s="17"/>
      <c r="C2394" s="13"/>
      <c r="D2394" s="14"/>
      <c r="E2394" s="14"/>
      <c r="F2394" s="14"/>
      <c r="G2394" s="14"/>
      <c r="H2394" s="14"/>
      <c r="I2394" s="14"/>
      <c r="J2394" s="14"/>
      <c r="K2394" s="14"/>
      <c r="L2394" s="14"/>
      <c r="M2394" s="14"/>
      <c r="N2394" s="14"/>
      <c r="O2394" s="14"/>
      <c r="P2394" s="14"/>
      <c r="Q2394" s="14"/>
      <c r="R2394" s="14"/>
    </row>
    <row r="2395" spans="2:18" x14ac:dyDescent="0.35">
      <c r="B2395" s="17"/>
      <c r="C2395" s="13"/>
      <c r="D2395" s="14"/>
      <c r="E2395" s="14"/>
      <c r="F2395" s="14"/>
      <c r="G2395" s="14"/>
      <c r="H2395" s="14"/>
      <c r="I2395" s="14"/>
      <c r="J2395" s="14"/>
      <c r="K2395" s="14"/>
      <c r="L2395" s="14"/>
      <c r="M2395" s="14"/>
      <c r="N2395" s="14"/>
      <c r="O2395" s="14"/>
      <c r="P2395" s="14"/>
      <c r="Q2395" s="14"/>
      <c r="R2395" s="14"/>
    </row>
    <row r="2396" spans="2:18" x14ac:dyDescent="0.35">
      <c r="B2396" s="17"/>
      <c r="C2396" s="13"/>
      <c r="D2396" s="14"/>
      <c r="E2396" s="14"/>
      <c r="F2396" s="14"/>
      <c r="G2396" s="14"/>
      <c r="H2396" s="14"/>
      <c r="I2396" s="14"/>
      <c r="J2396" s="14"/>
      <c r="K2396" s="14"/>
      <c r="L2396" s="14"/>
      <c r="M2396" s="14"/>
      <c r="N2396" s="14"/>
      <c r="O2396" s="14"/>
      <c r="P2396" s="14"/>
      <c r="Q2396" s="14"/>
      <c r="R2396" s="14"/>
    </row>
    <row r="2397" spans="2:18" x14ac:dyDescent="0.35">
      <c r="B2397" s="17"/>
      <c r="C2397" s="13"/>
      <c r="D2397" s="14"/>
      <c r="E2397" s="14"/>
      <c r="F2397" s="14"/>
      <c r="G2397" s="14"/>
      <c r="H2397" s="14"/>
      <c r="I2397" s="14"/>
      <c r="J2397" s="14"/>
      <c r="K2397" s="14"/>
      <c r="L2397" s="14"/>
      <c r="M2397" s="14"/>
      <c r="N2397" s="14"/>
      <c r="O2397" s="14"/>
      <c r="P2397" s="14"/>
      <c r="Q2397" s="14"/>
      <c r="R2397" s="14"/>
    </row>
    <row r="2398" spans="2:18" x14ac:dyDescent="0.35">
      <c r="B2398" s="17"/>
      <c r="C2398" s="13"/>
      <c r="D2398" s="14"/>
      <c r="E2398" s="14"/>
      <c r="F2398" s="14"/>
      <c r="G2398" s="14"/>
      <c r="H2398" s="14"/>
      <c r="I2398" s="14"/>
      <c r="J2398" s="14"/>
      <c r="K2398" s="14"/>
      <c r="L2398" s="14"/>
      <c r="M2398" s="14"/>
      <c r="N2398" s="14"/>
      <c r="O2398" s="14"/>
      <c r="P2398" s="14"/>
      <c r="Q2398" s="14"/>
      <c r="R2398" s="14"/>
    </row>
    <row r="2399" spans="2:18" x14ac:dyDescent="0.35">
      <c r="B2399" s="17"/>
      <c r="C2399" s="13"/>
      <c r="D2399" s="14"/>
      <c r="E2399" s="14"/>
      <c r="F2399" s="14"/>
      <c r="G2399" s="14"/>
      <c r="H2399" s="14"/>
      <c r="I2399" s="14"/>
      <c r="J2399" s="14"/>
      <c r="K2399" s="14"/>
      <c r="L2399" s="14"/>
      <c r="M2399" s="14"/>
      <c r="N2399" s="14"/>
      <c r="O2399" s="14"/>
      <c r="P2399" s="14"/>
      <c r="Q2399" s="14"/>
      <c r="R2399" s="14"/>
    </row>
    <row r="2400" spans="2:18" x14ac:dyDescent="0.35">
      <c r="B2400" s="17"/>
      <c r="C2400" s="13"/>
      <c r="D2400" s="14"/>
      <c r="E2400" s="14"/>
      <c r="F2400" s="14"/>
      <c r="G2400" s="14"/>
      <c r="H2400" s="14"/>
      <c r="I2400" s="14"/>
      <c r="J2400" s="14"/>
      <c r="K2400" s="14"/>
      <c r="L2400" s="14"/>
      <c r="M2400" s="14"/>
      <c r="N2400" s="14"/>
      <c r="O2400" s="14"/>
      <c r="P2400" s="14"/>
      <c r="Q2400" s="14"/>
      <c r="R2400" s="14"/>
    </row>
    <row r="2401" spans="2:18" x14ac:dyDescent="0.35">
      <c r="B2401" s="17"/>
      <c r="C2401" s="13"/>
      <c r="D2401" s="14"/>
      <c r="E2401" s="14"/>
      <c r="F2401" s="14"/>
      <c r="G2401" s="14"/>
      <c r="H2401" s="14"/>
      <c r="I2401" s="14"/>
      <c r="J2401" s="14"/>
      <c r="K2401" s="14"/>
      <c r="L2401" s="14"/>
      <c r="M2401" s="14"/>
      <c r="N2401" s="14"/>
      <c r="O2401" s="14"/>
      <c r="P2401" s="14"/>
      <c r="Q2401" s="14"/>
      <c r="R2401" s="14"/>
    </row>
    <row r="2402" spans="2:18" x14ac:dyDescent="0.35">
      <c r="B2402" s="17"/>
      <c r="C2402" s="18"/>
      <c r="D2402" s="21"/>
      <c r="E2402" s="21"/>
      <c r="F2402" s="21"/>
      <c r="G2402" s="21"/>
      <c r="H2402" s="21"/>
      <c r="I2402" s="21"/>
      <c r="J2402" s="21"/>
      <c r="K2402" s="21"/>
      <c r="L2402" s="21"/>
      <c r="M2402" s="21"/>
      <c r="N2402" s="21"/>
      <c r="O2402" s="21"/>
      <c r="P2402" s="21"/>
      <c r="Q2402" s="21"/>
      <c r="R2402" s="21"/>
    </row>
    <row r="2403" spans="2:18" x14ac:dyDescent="0.35">
      <c r="B2403" s="17"/>
      <c r="C2403" s="18"/>
      <c r="D2403" s="21"/>
      <c r="E2403" s="21"/>
      <c r="F2403" s="21"/>
      <c r="G2403" s="21"/>
      <c r="H2403" s="21"/>
      <c r="I2403" s="21"/>
      <c r="J2403" s="21"/>
      <c r="K2403" s="21"/>
      <c r="L2403" s="21"/>
      <c r="M2403" s="21"/>
      <c r="N2403" s="21"/>
      <c r="O2403" s="21"/>
      <c r="P2403" s="21"/>
      <c r="Q2403" s="21"/>
      <c r="R2403" s="21"/>
    </row>
    <row r="2404" spans="2:18" x14ac:dyDescent="0.35">
      <c r="B2404" s="17"/>
      <c r="C2404" s="18"/>
      <c r="D2404" s="21"/>
      <c r="E2404" s="21"/>
      <c r="F2404" s="21"/>
      <c r="G2404" s="21"/>
      <c r="H2404" s="21"/>
      <c r="I2404" s="21"/>
      <c r="J2404" s="21"/>
      <c r="K2404" s="21"/>
      <c r="L2404" s="21"/>
      <c r="M2404" s="21"/>
      <c r="N2404" s="21"/>
      <c r="O2404" s="21"/>
      <c r="P2404" s="21"/>
      <c r="Q2404" s="21"/>
      <c r="R2404" s="21"/>
    </row>
    <row r="2405" spans="2:18" x14ac:dyDescent="0.35">
      <c r="B2405" s="17"/>
      <c r="C2405" s="18"/>
      <c r="D2405" s="21"/>
      <c r="E2405" s="21"/>
      <c r="F2405" s="21"/>
      <c r="G2405" s="21"/>
      <c r="H2405" s="21"/>
      <c r="I2405" s="21"/>
      <c r="J2405" s="21"/>
      <c r="K2405" s="21"/>
      <c r="L2405" s="21"/>
      <c r="M2405" s="21"/>
      <c r="N2405" s="21"/>
      <c r="O2405" s="21"/>
      <c r="P2405" s="21"/>
      <c r="Q2405" s="21"/>
      <c r="R2405" s="21"/>
    </row>
    <row r="2406" spans="2:18" x14ac:dyDescent="0.35">
      <c r="B2406" s="17"/>
      <c r="C2406" s="18"/>
      <c r="D2406" s="21"/>
      <c r="E2406" s="21"/>
      <c r="F2406" s="21"/>
      <c r="G2406" s="21"/>
      <c r="H2406" s="21"/>
      <c r="I2406" s="21"/>
      <c r="J2406" s="21"/>
      <c r="K2406" s="21"/>
      <c r="L2406" s="21"/>
      <c r="M2406" s="21"/>
      <c r="N2406" s="21"/>
      <c r="O2406" s="21"/>
      <c r="P2406" s="21"/>
      <c r="Q2406" s="21"/>
      <c r="R2406" s="21"/>
    </row>
    <row r="2407" spans="2:18" x14ac:dyDescent="0.35">
      <c r="B2407" s="17"/>
      <c r="C2407" s="18"/>
      <c r="D2407" s="21"/>
      <c r="E2407" s="21"/>
      <c r="F2407" s="21"/>
      <c r="G2407" s="21"/>
      <c r="H2407" s="21"/>
      <c r="I2407" s="21"/>
      <c r="J2407" s="21"/>
      <c r="K2407" s="21"/>
      <c r="L2407" s="21"/>
      <c r="M2407" s="21"/>
      <c r="N2407" s="21"/>
      <c r="O2407" s="21"/>
      <c r="P2407" s="21"/>
      <c r="Q2407" s="21"/>
      <c r="R2407" s="21"/>
    </row>
    <row r="2408" spans="2:18" x14ac:dyDescent="0.35">
      <c r="B2408" s="17"/>
      <c r="C2408" s="18"/>
      <c r="D2408" s="21"/>
      <c r="E2408" s="21"/>
      <c r="F2408" s="21"/>
      <c r="G2408" s="21"/>
      <c r="H2408" s="21"/>
      <c r="I2408" s="21"/>
      <c r="J2408" s="21"/>
      <c r="K2408" s="21"/>
      <c r="L2408" s="21"/>
      <c r="M2408" s="21"/>
      <c r="N2408" s="21"/>
      <c r="O2408" s="21"/>
      <c r="P2408" s="21"/>
      <c r="Q2408" s="21"/>
      <c r="R2408" s="21"/>
    </row>
    <row r="2409" spans="2:18" x14ac:dyDescent="0.35">
      <c r="B2409" s="17"/>
      <c r="C2409" s="18"/>
      <c r="D2409" s="21"/>
      <c r="E2409" s="21"/>
      <c r="F2409" s="21"/>
      <c r="G2409" s="21"/>
      <c r="H2409" s="21"/>
      <c r="I2409" s="21"/>
      <c r="J2409" s="21"/>
      <c r="K2409" s="21"/>
      <c r="L2409" s="21"/>
      <c r="M2409" s="21"/>
      <c r="N2409" s="21"/>
      <c r="O2409" s="21"/>
      <c r="P2409" s="21"/>
      <c r="Q2409" s="21"/>
      <c r="R2409" s="21"/>
    </row>
    <row r="2410" spans="2:18" x14ac:dyDescent="0.35">
      <c r="B2410" s="17"/>
      <c r="C2410" s="18"/>
      <c r="D2410" s="21"/>
      <c r="E2410" s="21"/>
      <c r="F2410" s="21"/>
      <c r="G2410" s="21"/>
      <c r="H2410" s="21"/>
      <c r="I2410" s="21"/>
      <c r="J2410" s="21"/>
      <c r="K2410" s="21"/>
      <c r="L2410" s="21"/>
      <c r="M2410" s="21"/>
      <c r="N2410" s="21"/>
      <c r="O2410" s="21"/>
      <c r="P2410" s="21"/>
      <c r="Q2410" s="21"/>
      <c r="R2410" s="21"/>
    </row>
    <row r="2411" spans="2:18" x14ac:dyDescent="0.35">
      <c r="B2411" s="17"/>
      <c r="C2411" s="18"/>
      <c r="D2411" s="21"/>
      <c r="E2411" s="21"/>
      <c r="F2411" s="21"/>
      <c r="G2411" s="21"/>
      <c r="H2411" s="21"/>
      <c r="I2411" s="21"/>
      <c r="J2411" s="21"/>
      <c r="K2411" s="21"/>
      <c r="L2411" s="21"/>
      <c r="M2411" s="21"/>
      <c r="N2411" s="21"/>
      <c r="O2411" s="21"/>
      <c r="P2411" s="21"/>
      <c r="Q2411" s="21"/>
      <c r="R2411" s="21"/>
    </row>
    <row r="2412" spans="2:18" x14ac:dyDescent="0.35">
      <c r="B2412" s="17"/>
      <c r="C2412" s="18"/>
      <c r="D2412" s="21"/>
      <c r="E2412" s="21"/>
      <c r="F2412" s="21"/>
      <c r="G2412" s="21"/>
      <c r="H2412" s="21"/>
      <c r="I2412" s="21"/>
      <c r="J2412" s="21"/>
      <c r="K2412" s="21"/>
      <c r="L2412" s="21"/>
      <c r="M2412" s="21"/>
      <c r="N2412" s="21"/>
      <c r="O2412" s="21"/>
      <c r="P2412" s="21"/>
      <c r="Q2412" s="21"/>
      <c r="R2412" s="21"/>
    </row>
    <row r="2413" spans="2:18" x14ac:dyDescent="0.35">
      <c r="B2413" s="17"/>
      <c r="C2413" s="18"/>
      <c r="D2413" s="21"/>
      <c r="E2413" s="21"/>
      <c r="F2413" s="21"/>
      <c r="G2413" s="21"/>
      <c r="H2413" s="21"/>
      <c r="I2413" s="21"/>
      <c r="J2413" s="21"/>
      <c r="K2413" s="21"/>
      <c r="L2413" s="21"/>
      <c r="M2413" s="21"/>
      <c r="N2413" s="21"/>
      <c r="O2413" s="21"/>
      <c r="P2413" s="21"/>
      <c r="Q2413" s="21"/>
      <c r="R2413" s="21"/>
    </row>
    <row r="2414" spans="2:18" x14ac:dyDescent="0.35">
      <c r="B2414" s="17"/>
      <c r="C2414" s="18"/>
      <c r="D2414" s="21"/>
      <c r="E2414" s="21"/>
      <c r="F2414" s="21"/>
      <c r="G2414" s="21"/>
      <c r="H2414" s="21"/>
      <c r="I2414" s="21"/>
      <c r="J2414" s="21"/>
      <c r="K2414" s="21"/>
      <c r="L2414" s="21"/>
      <c r="M2414" s="21"/>
      <c r="N2414" s="21"/>
      <c r="O2414" s="21"/>
      <c r="P2414" s="21"/>
      <c r="Q2414" s="21"/>
      <c r="R2414" s="21"/>
    </row>
    <row r="2415" spans="2:18" x14ac:dyDescent="0.35">
      <c r="B2415" s="17"/>
      <c r="C2415" s="18"/>
      <c r="D2415" s="21"/>
      <c r="E2415" s="21"/>
      <c r="F2415" s="21"/>
      <c r="G2415" s="21"/>
      <c r="H2415" s="21"/>
      <c r="I2415" s="21"/>
      <c r="J2415" s="21"/>
      <c r="K2415" s="21"/>
      <c r="L2415" s="21"/>
      <c r="M2415" s="21"/>
      <c r="N2415" s="21"/>
      <c r="O2415" s="21"/>
      <c r="P2415" s="21"/>
      <c r="Q2415" s="21"/>
      <c r="R2415" s="21"/>
    </row>
    <row r="2416" spans="2:18" x14ac:dyDescent="0.35">
      <c r="B2416" s="17"/>
      <c r="C2416" s="18"/>
      <c r="D2416" s="21"/>
      <c r="E2416" s="21"/>
      <c r="F2416" s="21"/>
      <c r="G2416" s="21"/>
      <c r="H2416" s="21"/>
      <c r="I2416" s="21"/>
      <c r="J2416" s="21"/>
      <c r="K2416" s="21"/>
      <c r="L2416" s="21"/>
      <c r="M2416" s="21"/>
      <c r="N2416" s="21"/>
      <c r="O2416" s="21"/>
      <c r="P2416" s="21"/>
      <c r="Q2416" s="21"/>
      <c r="R2416" s="21"/>
    </row>
    <row r="2417" spans="2:18" x14ac:dyDescent="0.35">
      <c r="B2417" s="17"/>
      <c r="C2417" s="18"/>
      <c r="D2417" s="21"/>
      <c r="E2417" s="21"/>
      <c r="F2417" s="21"/>
      <c r="G2417" s="21"/>
      <c r="H2417" s="21"/>
      <c r="I2417" s="21"/>
      <c r="J2417" s="21"/>
      <c r="K2417" s="21"/>
      <c r="L2417" s="21"/>
      <c r="M2417" s="21"/>
      <c r="N2417" s="21"/>
      <c r="O2417" s="21"/>
      <c r="P2417" s="21"/>
      <c r="Q2417" s="21"/>
      <c r="R2417" s="21"/>
    </row>
    <row r="2418" spans="2:18" x14ac:dyDescent="0.35">
      <c r="B2418" s="17"/>
      <c r="C2418" s="13"/>
      <c r="D2418" s="14"/>
      <c r="E2418" s="14"/>
      <c r="F2418" s="14"/>
      <c r="G2418" s="14"/>
      <c r="H2418" s="14"/>
      <c r="I2418" s="14"/>
      <c r="J2418" s="14"/>
      <c r="K2418" s="14"/>
      <c r="L2418" s="14"/>
      <c r="M2418" s="14"/>
      <c r="N2418" s="14"/>
      <c r="O2418" s="14"/>
      <c r="P2418" s="14"/>
      <c r="Q2418" s="14"/>
      <c r="R2418" s="14"/>
    </row>
    <row r="2419" spans="2:18" x14ac:dyDescent="0.35">
      <c r="B2419" s="17"/>
      <c r="C2419" s="13"/>
      <c r="D2419" s="14"/>
      <c r="E2419" s="14"/>
      <c r="F2419" s="14"/>
      <c r="G2419" s="14"/>
      <c r="H2419" s="14"/>
      <c r="I2419" s="14"/>
      <c r="J2419" s="14"/>
      <c r="K2419" s="14"/>
      <c r="L2419" s="14"/>
      <c r="M2419" s="14"/>
      <c r="N2419" s="14"/>
      <c r="O2419" s="14"/>
      <c r="P2419" s="14"/>
      <c r="Q2419" s="14"/>
      <c r="R2419" s="14"/>
    </row>
    <row r="2420" spans="2:18" x14ac:dyDescent="0.35">
      <c r="B2420" s="17"/>
      <c r="C2420" s="13"/>
      <c r="D2420" s="14"/>
      <c r="E2420" s="14"/>
      <c r="F2420" s="14"/>
      <c r="G2420" s="14"/>
      <c r="H2420" s="14"/>
      <c r="I2420" s="14"/>
      <c r="J2420" s="14"/>
      <c r="K2420" s="14"/>
      <c r="L2420" s="14"/>
      <c r="M2420" s="14"/>
      <c r="N2420" s="14"/>
      <c r="O2420" s="14"/>
      <c r="P2420" s="14"/>
      <c r="Q2420" s="14"/>
      <c r="R2420" s="14"/>
    </row>
    <row r="2421" spans="2:18" x14ac:dyDescent="0.35">
      <c r="B2421" s="17"/>
      <c r="C2421" s="13"/>
      <c r="D2421" s="14"/>
      <c r="E2421" s="14"/>
      <c r="F2421" s="14"/>
      <c r="G2421" s="14"/>
      <c r="H2421" s="14"/>
      <c r="I2421" s="14"/>
      <c r="J2421" s="14"/>
      <c r="K2421" s="14"/>
      <c r="L2421" s="14"/>
      <c r="M2421" s="14"/>
      <c r="N2421" s="14"/>
      <c r="O2421" s="14"/>
      <c r="P2421" s="14"/>
      <c r="Q2421" s="14"/>
      <c r="R2421" s="14"/>
    </row>
    <row r="2422" spans="2:18" x14ac:dyDescent="0.35">
      <c r="B2422" s="17"/>
      <c r="C2422" s="13"/>
      <c r="D2422" s="14"/>
      <c r="E2422" s="14"/>
      <c r="F2422" s="14"/>
      <c r="G2422" s="14"/>
      <c r="H2422" s="14"/>
      <c r="I2422" s="14"/>
      <c r="J2422" s="14"/>
      <c r="K2422" s="14"/>
      <c r="L2422" s="14"/>
      <c r="M2422" s="14"/>
      <c r="N2422" s="14"/>
      <c r="O2422" s="14"/>
      <c r="P2422" s="14"/>
      <c r="Q2422" s="14"/>
      <c r="R2422" s="14"/>
    </row>
    <row r="2423" spans="2:18" x14ac:dyDescent="0.35">
      <c r="B2423" s="17"/>
      <c r="C2423" s="13"/>
      <c r="D2423" s="14"/>
      <c r="E2423" s="14"/>
      <c r="F2423" s="14"/>
      <c r="G2423" s="14"/>
      <c r="H2423" s="14"/>
      <c r="I2423" s="14"/>
      <c r="J2423" s="14"/>
      <c r="K2423" s="14"/>
      <c r="L2423" s="14"/>
      <c r="M2423" s="14"/>
      <c r="N2423" s="14"/>
      <c r="O2423" s="14"/>
      <c r="P2423" s="14"/>
      <c r="Q2423" s="14"/>
      <c r="R2423" s="14"/>
    </row>
    <row r="2424" spans="2:18" x14ac:dyDescent="0.35">
      <c r="B2424" s="17"/>
      <c r="C2424" s="13"/>
      <c r="D2424" s="14"/>
      <c r="E2424" s="14"/>
      <c r="F2424" s="14"/>
      <c r="G2424" s="14"/>
      <c r="H2424" s="14"/>
      <c r="I2424" s="14"/>
      <c r="J2424" s="14"/>
      <c r="K2424" s="14"/>
      <c r="L2424" s="14"/>
      <c r="M2424" s="14"/>
      <c r="N2424" s="14"/>
      <c r="O2424" s="14"/>
      <c r="P2424" s="14"/>
      <c r="Q2424" s="14"/>
      <c r="R2424" s="14"/>
    </row>
    <row r="2425" spans="2:18" x14ac:dyDescent="0.35">
      <c r="B2425" s="17"/>
      <c r="C2425" s="18"/>
      <c r="D2425" s="21"/>
      <c r="E2425" s="21"/>
      <c r="F2425" s="21"/>
      <c r="G2425" s="21"/>
      <c r="H2425" s="21"/>
      <c r="I2425" s="21"/>
      <c r="J2425" s="21"/>
      <c r="K2425" s="21"/>
      <c r="L2425" s="21"/>
      <c r="M2425" s="21"/>
      <c r="N2425" s="21"/>
      <c r="O2425" s="21"/>
      <c r="P2425" s="21"/>
      <c r="Q2425" s="21"/>
      <c r="R2425" s="21"/>
    </row>
    <row r="2426" spans="2:18" x14ac:dyDescent="0.35">
      <c r="B2426" s="17"/>
      <c r="C2426" s="18"/>
      <c r="D2426" s="21"/>
      <c r="E2426" s="21"/>
      <c r="F2426" s="21"/>
      <c r="G2426" s="21"/>
      <c r="H2426" s="21"/>
      <c r="I2426" s="21"/>
      <c r="J2426" s="21"/>
      <c r="K2426" s="21"/>
      <c r="L2426" s="21"/>
      <c r="M2426" s="21"/>
      <c r="N2426" s="21"/>
      <c r="O2426" s="21"/>
      <c r="P2426" s="21"/>
      <c r="Q2426" s="21"/>
      <c r="R2426" s="21"/>
    </row>
    <row r="2427" spans="2:18" x14ac:dyDescent="0.35">
      <c r="B2427" s="17"/>
      <c r="C2427" s="18"/>
      <c r="D2427" s="21"/>
      <c r="E2427" s="21"/>
      <c r="F2427" s="21"/>
      <c r="G2427" s="21"/>
      <c r="H2427" s="21"/>
      <c r="I2427" s="21"/>
      <c r="J2427" s="21"/>
      <c r="K2427" s="21"/>
      <c r="L2427" s="21"/>
      <c r="M2427" s="21"/>
      <c r="N2427" s="21"/>
      <c r="O2427" s="21"/>
      <c r="P2427" s="21"/>
      <c r="Q2427" s="21"/>
      <c r="R2427" s="21"/>
    </row>
    <row r="2428" spans="2:18" x14ac:dyDescent="0.35">
      <c r="B2428" s="17"/>
      <c r="C2428" s="18"/>
      <c r="D2428" s="21"/>
      <c r="E2428" s="21"/>
      <c r="F2428" s="21"/>
      <c r="G2428" s="21"/>
      <c r="H2428" s="21"/>
      <c r="I2428" s="21"/>
      <c r="J2428" s="21"/>
      <c r="K2428" s="21"/>
      <c r="L2428" s="21"/>
      <c r="M2428" s="21"/>
      <c r="N2428" s="21"/>
      <c r="O2428" s="21"/>
      <c r="P2428" s="21"/>
      <c r="Q2428" s="21"/>
      <c r="R2428" s="21"/>
    </row>
    <row r="2429" spans="2:18" x14ac:dyDescent="0.35">
      <c r="B2429" s="17"/>
      <c r="C2429" s="18"/>
      <c r="D2429" s="21"/>
      <c r="E2429" s="21"/>
      <c r="F2429" s="21"/>
      <c r="G2429" s="21"/>
      <c r="H2429" s="21"/>
      <c r="I2429" s="21"/>
      <c r="J2429" s="21"/>
      <c r="K2429" s="21"/>
      <c r="L2429" s="21"/>
      <c r="M2429" s="21"/>
      <c r="N2429" s="21"/>
      <c r="O2429" s="21"/>
      <c r="P2429" s="21"/>
      <c r="Q2429" s="21"/>
      <c r="R2429" s="21"/>
    </row>
    <row r="2430" spans="2:18" x14ac:dyDescent="0.35">
      <c r="B2430" s="17"/>
      <c r="C2430" s="19"/>
      <c r="D2430" s="21"/>
      <c r="E2430" s="21"/>
      <c r="F2430" s="21"/>
      <c r="G2430" s="21"/>
      <c r="H2430" s="21"/>
      <c r="I2430" s="21"/>
      <c r="J2430" s="21"/>
      <c r="K2430" s="21"/>
      <c r="L2430" s="21"/>
      <c r="M2430" s="21"/>
      <c r="N2430" s="21"/>
      <c r="O2430" s="21"/>
      <c r="P2430" s="21"/>
      <c r="Q2430" s="21"/>
      <c r="R2430" s="21"/>
    </row>
    <row r="2431" spans="2:18" x14ac:dyDescent="0.35">
      <c r="B2431" s="17"/>
      <c r="C2431" s="19"/>
      <c r="D2431" s="21"/>
      <c r="E2431" s="21"/>
      <c r="F2431" s="21"/>
      <c r="G2431" s="21"/>
      <c r="H2431" s="21"/>
      <c r="I2431" s="21"/>
      <c r="J2431" s="21"/>
      <c r="K2431" s="21"/>
      <c r="L2431" s="21"/>
      <c r="M2431" s="21"/>
      <c r="N2431" s="21"/>
      <c r="O2431" s="21"/>
      <c r="P2431" s="21"/>
      <c r="Q2431" s="21"/>
      <c r="R2431" s="21"/>
    </row>
    <row r="2432" spans="2:18" x14ac:dyDescent="0.35">
      <c r="B2432" s="17"/>
      <c r="C2432" s="19"/>
      <c r="D2432" s="21"/>
      <c r="E2432" s="21"/>
      <c r="F2432" s="21"/>
      <c r="G2432" s="21"/>
      <c r="H2432" s="21"/>
      <c r="I2432" s="21"/>
      <c r="J2432" s="21"/>
      <c r="K2432" s="21"/>
      <c r="L2432" s="21"/>
      <c r="M2432" s="21"/>
      <c r="N2432" s="21"/>
      <c r="O2432" s="21"/>
      <c r="P2432" s="21"/>
      <c r="Q2432" s="21"/>
      <c r="R2432" s="21"/>
    </row>
    <row r="2433" spans="2:18" x14ac:dyDescent="0.35">
      <c r="B2433" s="17"/>
      <c r="C2433" s="19"/>
      <c r="D2433" s="21"/>
      <c r="E2433" s="21"/>
      <c r="F2433" s="21"/>
      <c r="G2433" s="21"/>
      <c r="H2433" s="21"/>
      <c r="I2433" s="21"/>
      <c r="J2433" s="21"/>
      <c r="K2433" s="21"/>
      <c r="L2433" s="21"/>
      <c r="M2433" s="21"/>
      <c r="N2433" s="21"/>
      <c r="O2433" s="21"/>
      <c r="P2433" s="21"/>
      <c r="Q2433" s="21"/>
      <c r="R2433" s="21"/>
    </row>
    <row r="2434" spans="2:18" x14ac:dyDescent="0.35">
      <c r="B2434" s="17"/>
      <c r="C2434" s="13"/>
      <c r="D2434" s="14"/>
      <c r="E2434" s="14"/>
      <c r="F2434" s="14"/>
      <c r="G2434" s="14"/>
      <c r="H2434" s="14"/>
      <c r="I2434" s="14"/>
      <c r="J2434" s="14"/>
      <c r="K2434" s="14"/>
      <c r="L2434" s="14"/>
      <c r="M2434" s="14"/>
      <c r="N2434" s="14"/>
      <c r="O2434" s="14"/>
      <c r="P2434" s="14"/>
      <c r="Q2434" s="14"/>
      <c r="R2434" s="14"/>
    </row>
    <row r="2435" spans="2:18" x14ac:dyDescent="0.35">
      <c r="B2435" s="17"/>
      <c r="C2435" s="13"/>
      <c r="D2435" s="14"/>
      <c r="E2435" s="14"/>
      <c r="F2435" s="14"/>
      <c r="G2435" s="14"/>
      <c r="H2435" s="14"/>
      <c r="I2435" s="14"/>
      <c r="J2435" s="14"/>
      <c r="K2435" s="14"/>
      <c r="L2435" s="14"/>
      <c r="M2435" s="14"/>
      <c r="N2435" s="14"/>
      <c r="O2435" s="14"/>
      <c r="P2435" s="14"/>
      <c r="Q2435" s="14"/>
      <c r="R2435" s="14"/>
    </row>
    <row r="2436" spans="2:18" x14ac:dyDescent="0.35">
      <c r="B2436" s="17"/>
      <c r="C2436" s="13"/>
      <c r="D2436" s="14"/>
      <c r="E2436" s="14"/>
      <c r="F2436" s="14"/>
      <c r="G2436" s="14"/>
      <c r="H2436" s="14"/>
      <c r="I2436" s="14"/>
      <c r="J2436" s="14"/>
      <c r="K2436" s="14"/>
      <c r="L2436" s="14"/>
      <c r="M2436" s="14"/>
      <c r="N2436" s="14"/>
      <c r="O2436" s="14"/>
      <c r="P2436" s="14"/>
      <c r="Q2436" s="14"/>
      <c r="R2436" s="14"/>
    </row>
    <row r="2437" spans="2:18" x14ac:dyDescent="0.35">
      <c r="B2437" s="17"/>
      <c r="C2437" s="13"/>
      <c r="D2437" s="14"/>
      <c r="E2437" s="14"/>
      <c r="F2437" s="14"/>
      <c r="G2437" s="14"/>
      <c r="H2437" s="14"/>
      <c r="I2437" s="14"/>
      <c r="J2437" s="14"/>
      <c r="K2437" s="14"/>
      <c r="L2437" s="14"/>
      <c r="M2437" s="14"/>
      <c r="N2437" s="14"/>
      <c r="O2437" s="14"/>
      <c r="P2437" s="14"/>
      <c r="Q2437" s="14"/>
      <c r="R2437" s="14"/>
    </row>
    <row r="2438" spans="2:18" x14ac:dyDescent="0.35">
      <c r="B2438" s="17"/>
      <c r="C2438" s="13"/>
      <c r="D2438" s="14"/>
      <c r="E2438" s="14"/>
      <c r="F2438" s="14"/>
      <c r="G2438" s="14"/>
      <c r="H2438" s="14"/>
      <c r="I2438" s="14"/>
      <c r="J2438" s="14"/>
      <c r="K2438" s="14"/>
      <c r="L2438" s="14"/>
      <c r="M2438" s="14"/>
      <c r="N2438" s="14"/>
      <c r="O2438" s="14"/>
      <c r="P2438" s="14"/>
      <c r="Q2438" s="14"/>
      <c r="R2438" s="14"/>
    </row>
    <row r="2439" spans="2:18" x14ac:dyDescent="0.35">
      <c r="B2439" s="17"/>
      <c r="C2439" s="13"/>
      <c r="D2439" s="14"/>
      <c r="E2439" s="14"/>
      <c r="F2439" s="14"/>
      <c r="G2439" s="14"/>
      <c r="H2439" s="14"/>
      <c r="I2439" s="14"/>
      <c r="J2439" s="14"/>
      <c r="K2439" s="14"/>
      <c r="L2439" s="14"/>
      <c r="M2439" s="14"/>
      <c r="N2439" s="14"/>
      <c r="O2439" s="14"/>
      <c r="P2439" s="14"/>
      <c r="Q2439" s="14"/>
      <c r="R2439" s="14"/>
    </row>
    <row r="2440" spans="2:18" x14ac:dyDescent="0.35">
      <c r="B2440" s="17"/>
      <c r="C2440" s="13"/>
      <c r="D2440" s="14"/>
      <c r="E2440" s="14"/>
      <c r="F2440" s="14"/>
      <c r="G2440" s="14"/>
      <c r="H2440" s="14"/>
      <c r="I2440" s="14"/>
      <c r="J2440" s="14"/>
      <c r="K2440" s="14"/>
      <c r="L2440" s="14"/>
      <c r="M2440" s="14"/>
      <c r="N2440" s="14"/>
      <c r="O2440" s="14"/>
      <c r="P2440" s="14"/>
      <c r="Q2440" s="14"/>
      <c r="R2440" s="14"/>
    </row>
    <row r="2441" spans="2:18" x14ac:dyDescent="0.35">
      <c r="B2441" s="17"/>
      <c r="C2441" s="13"/>
      <c r="D2441" s="14"/>
      <c r="E2441" s="14"/>
      <c r="F2441" s="14"/>
      <c r="G2441" s="14"/>
      <c r="H2441" s="14"/>
      <c r="I2441" s="14"/>
      <c r="J2441" s="14"/>
      <c r="K2441" s="14"/>
      <c r="L2441" s="14"/>
      <c r="M2441" s="14"/>
      <c r="N2441" s="14"/>
      <c r="O2441" s="14"/>
      <c r="P2441" s="14"/>
      <c r="Q2441" s="14"/>
      <c r="R2441" s="14"/>
    </row>
    <row r="2442" spans="2:18" x14ac:dyDescent="0.35">
      <c r="B2442" s="17"/>
      <c r="C2442" s="13"/>
      <c r="D2442" s="14"/>
      <c r="E2442" s="14"/>
      <c r="F2442" s="14"/>
      <c r="G2442" s="14"/>
      <c r="H2442" s="14"/>
      <c r="I2442" s="14"/>
      <c r="J2442" s="14"/>
      <c r="K2442" s="14"/>
      <c r="L2442" s="14"/>
      <c r="M2442" s="14"/>
      <c r="N2442" s="14"/>
      <c r="O2442" s="14"/>
      <c r="P2442" s="14"/>
      <c r="Q2442" s="14"/>
      <c r="R2442" s="14"/>
    </row>
    <row r="2443" spans="2:18" x14ac:dyDescent="0.35">
      <c r="B2443" s="17"/>
      <c r="C2443" s="13"/>
      <c r="D2443" s="14"/>
      <c r="E2443" s="14"/>
      <c r="F2443" s="14"/>
      <c r="G2443" s="14"/>
      <c r="H2443" s="14"/>
      <c r="I2443" s="14"/>
      <c r="J2443" s="14"/>
      <c r="K2443" s="14"/>
      <c r="L2443" s="14"/>
      <c r="M2443" s="14"/>
      <c r="N2443" s="14"/>
      <c r="O2443" s="14"/>
      <c r="P2443" s="14"/>
      <c r="Q2443" s="14"/>
      <c r="R2443" s="14"/>
    </row>
    <row r="2444" spans="2:18" x14ac:dyDescent="0.35">
      <c r="B2444" s="17"/>
      <c r="C2444" s="13"/>
      <c r="D2444" s="14"/>
      <c r="E2444" s="14"/>
      <c r="F2444" s="14"/>
      <c r="G2444" s="14"/>
      <c r="H2444" s="14"/>
      <c r="I2444" s="14"/>
      <c r="J2444" s="14"/>
      <c r="K2444" s="14"/>
      <c r="L2444" s="14"/>
      <c r="M2444" s="14"/>
      <c r="N2444" s="14"/>
      <c r="O2444" s="14"/>
      <c r="P2444" s="14"/>
      <c r="Q2444" s="14"/>
      <c r="R2444" s="14"/>
    </row>
    <row r="2445" spans="2:18" x14ac:dyDescent="0.35">
      <c r="B2445" s="17"/>
      <c r="C2445" s="13"/>
      <c r="D2445" s="14"/>
      <c r="E2445" s="14"/>
      <c r="F2445" s="14"/>
      <c r="G2445" s="14"/>
      <c r="H2445" s="14"/>
      <c r="I2445" s="14"/>
      <c r="J2445" s="14"/>
      <c r="K2445" s="14"/>
      <c r="L2445" s="14"/>
      <c r="M2445" s="14"/>
      <c r="N2445" s="14"/>
      <c r="O2445" s="14"/>
      <c r="P2445" s="14"/>
      <c r="Q2445" s="14"/>
      <c r="R2445" s="14"/>
    </row>
    <row r="2446" spans="2:18" x14ac:dyDescent="0.35">
      <c r="B2446" s="17"/>
      <c r="C2446" s="13"/>
      <c r="D2446" s="14"/>
      <c r="E2446" s="14"/>
      <c r="F2446" s="14"/>
      <c r="G2446" s="14"/>
      <c r="H2446" s="14"/>
      <c r="I2446" s="14"/>
      <c r="J2446" s="14"/>
      <c r="K2446" s="14"/>
      <c r="L2446" s="14"/>
      <c r="M2446" s="14"/>
      <c r="N2446" s="14"/>
      <c r="O2446" s="14"/>
      <c r="P2446" s="14"/>
      <c r="Q2446" s="14"/>
      <c r="R2446" s="14"/>
    </row>
    <row r="2447" spans="2:18" x14ac:dyDescent="0.35">
      <c r="B2447" s="17"/>
      <c r="C2447" s="13"/>
      <c r="D2447" s="14"/>
      <c r="E2447" s="14"/>
      <c r="F2447" s="14"/>
      <c r="G2447" s="14"/>
      <c r="H2447" s="14"/>
      <c r="I2447" s="14"/>
      <c r="J2447" s="14"/>
      <c r="K2447" s="14"/>
      <c r="L2447" s="14"/>
      <c r="M2447" s="14"/>
      <c r="N2447" s="14"/>
      <c r="O2447" s="14"/>
      <c r="P2447" s="14"/>
      <c r="Q2447" s="14"/>
      <c r="R2447" s="14"/>
    </row>
    <row r="2448" spans="2:18" x14ac:dyDescent="0.35">
      <c r="B2448" s="17"/>
      <c r="C2448" s="13"/>
      <c r="D2448" s="14"/>
      <c r="E2448" s="14"/>
      <c r="F2448" s="14"/>
      <c r="G2448" s="14"/>
      <c r="H2448" s="14"/>
      <c r="I2448" s="14"/>
      <c r="J2448" s="14"/>
      <c r="K2448" s="14"/>
      <c r="L2448" s="14"/>
      <c r="M2448" s="14"/>
      <c r="N2448" s="14"/>
      <c r="O2448" s="14"/>
      <c r="P2448" s="14"/>
      <c r="Q2448" s="14"/>
      <c r="R2448" s="14"/>
    </row>
    <row r="2449" spans="2:18" x14ac:dyDescent="0.35">
      <c r="B2449" s="17"/>
      <c r="C2449" s="18"/>
      <c r="D2449" s="21"/>
      <c r="E2449" s="21"/>
      <c r="F2449" s="21"/>
      <c r="G2449" s="21"/>
      <c r="H2449" s="21"/>
      <c r="I2449" s="21"/>
      <c r="J2449" s="21"/>
      <c r="K2449" s="21"/>
      <c r="L2449" s="21"/>
      <c r="M2449" s="21"/>
      <c r="N2449" s="21"/>
      <c r="O2449" s="21"/>
      <c r="P2449" s="21"/>
      <c r="Q2449" s="21"/>
      <c r="R2449" s="21"/>
    </row>
    <row r="2450" spans="2:18" x14ac:dyDescent="0.35">
      <c r="B2450" s="17"/>
      <c r="C2450" s="18"/>
      <c r="D2450" s="21"/>
      <c r="E2450" s="21"/>
      <c r="F2450" s="21"/>
      <c r="G2450" s="21"/>
      <c r="H2450" s="21"/>
      <c r="I2450" s="21"/>
      <c r="J2450" s="21"/>
      <c r="K2450" s="21"/>
      <c r="L2450" s="21"/>
      <c r="M2450" s="21"/>
      <c r="N2450" s="21"/>
      <c r="O2450" s="21"/>
      <c r="P2450" s="21"/>
      <c r="Q2450" s="21"/>
      <c r="R2450" s="21"/>
    </row>
    <row r="2451" spans="2:18" x14ac:dyDescent="0.35">
      <c r="B2451" s="17"/>
      <c r="C2451" s="18"/>
      <c r="D2451" s="21"/>
      <c r="E2451" s="21"/>
      <c r="F2451" s="21"/>
      <c r="G2451" s="21"/>
      <c r="H2451" s="21"/>
      <c r="I2451" s="21"/>
      <c r="J2451" s="21"/>
      <c r="K2451" s="21"/>
      <c r="L2451" s="21"/>
      <c r="M2451" s="21"/>
      <c r="N2451" s="21"/>
      <c r="O2451" s="21"/>
      <c r="P2451" s="21"/>
      <c r="Q2451" s="21"/>
      <c r="R2451" s="21"/>
    </row>
    <row r="2452" spans="2:18" x14ac:dyDescent="0.35">
      <c r="B2452" s="17"/>
      <c r="C2452" s="18"/>
      <c r="D2452" s="21"/>
      <c r="E2452" s="21"/>
      <c r="F2452" s="21"/>
      <c r="G2452" s="21"/>
      <c r="H2452" s="21"/>
      <c r="I2452" s="21"/>
      <c r="J2452" s="21"/>
      <c r="K2452" s="21"/>
      <c r="L2452" s="21"/>
      <c r="M2452" s="21"/>
      <c r="N2452" s="21"/>
      <c r="O2452" s="21"/>
      <c r="P2452" s="21"/>
      <c r="Q2452" s="21"/>
      <c r="R2452" s="21"/>
    </row>
    <row r="2453" spans="2:18" x14ac:dyDescent="0.35">
      <c r="B2453" s="17"/>
      <c r="C2453" s="18"/>
      <c r="D2453" s="21"/>
      <c r="E2453" s="21"/>
      <c r="F2453" s="21"/>
      <c r="G2453" s="21"/>
      <c r="H2453" s="21"/>
      <c r="I2453" s="21"/>
      <c r="J2453" s="21"/>
      <c r="K2453" s="21"/>
      <c r="L2453" s="21"/>
      <c r="M2453" s="21"/>
      <c r="N2453" s="21"/>
      <c r="O2453" s="21"/>
      <c r="P2453" s="21"/>
      <c r="Q2453" s="21"/>
      <c r="R2453" s="21"/>
    </row>
    <row r="2454" spans="2:18" x14ac:dyDescent="0.35">
      <c r="B2454" s="17"/>
      <c r="C2454" s="18"/>
      <c r="D2454" s="21"/>
      <c r="E2454" s="21"/>
      <c r="F2454" s="21"/>
      <c r="G2454" s="21"/>
      <c r="H2454" s="21"/>
      <c r="I2454" s="21"/>
      <c r="J2454" s="21"/>
      <c r="K2454" s="21"/>
      <c r="L2454" s="21"/>
      <c r="M2454" s="21"/>
      <c r="N2454" s="21"/>
      <c r="O2454" s="21"/>
      <c r="P2454" s="21"/>
      <c r="Q2454" s="21"/>
      <c r="R2454" s="21"/>
    </row>
    <row r="2455" spans="2:18" x14ac:dyDescent="0.35">
      <c r="B2455" s="17"/>
      <c r="C2455" s="18"/>
      <c r="D2455" s="21"/>
      <c r="E2455" s="21"/>
      <c r="F2455" s="21"/>
      <c r="G2455" s="21"/>
      <c r="H2455" s="21"/>
      <c r="I2455" s="21"/>
      <c r="J2455" s="21"/>
      <c r="K2455" s="21"/>
      <c r="L2455" s="21"/>
      <c r="M2455" s="21"/>
      <c r="N2455" s="21"/>
      <c r="O2455" s="21"/>
      <c r="P2455" s="21"/>
      <c r="Q2455" s="21"/>
      <c r="R2455" s="21"/>
    </row>
    <row r="2456" spans="2:18" x14ac:dyDescent="0.35">
      <c r="B2456" s="17"/>
      <c r="C2456" s="18"/>
      <c r="D2456" s="21"/>
      <c r="E2456" s="21"/>
      <c r="F2456" s="21"/>
      <c r="G2456" s="21"/>
      <c r="H2456" s="21"/>
      <c r="I2456" s="21"/>
      <c r="J2456" s="21"/>
      <c r="K2456" s="21"/>
      <c r="L2456" s="21"/>
      <c r="M2456" s="21"/>
      <c r="N2456" s="21"/>
      <c r="O2456" s="21"/>
      <c r="P2456" s="21"/>
      <c r="Q2456" s="21"/>
      <c r="R2456" s="21"/>
    </row>
    <row r="2457" spans="2:18" x14ac:dyDescent="0.35">
      <c r="B2457" s="17"/>
      <c r="C2457" s="18"/>
      <c r="D2457" s="21"/>
      <c r="E2457" s="21"/>
      <c r="F2457" s="21"/>
      <c r="G2457" s="21"/>
      <c r="H2457" s="21"/>
      <c r="I2457" s="21"/>
      <c r="J2457" s="21"/>
      <c r="K2457" s="21"/>
      <c r="L2457" s="21"/>
      <c r="M2457" s="21"/>
      <c r="N2457" s="21"/>
      <c r="O2457" s="21"/>
      <c r="P2457" s="21"/>
      <c r="Q2457" s="21"/>
      <c r="R2457" s="21"/>
    </row>
    <row r="2458" spans="2:18" x14ac:dyDescent="0.35">
      <c r="B2458" s="17"/>
      <c r="C2458" s="18"/>
      <c r="D2458" s="21"/>
      <c r="E2458" s="21"/>
      <c r="F2458" s="21"/>
      <c r="G2458" s="21"/>
      <c r="H2458" s="21"/>
      <c r="I2458" s="21"/>
      <c r="J2458" s="21"/>
      <c r="K2458" s="21"/>
      <c r="L2458" s="21"/>
      <c r="M2458" s="21"/>
      <c r="N2458" s="21"/>
      <c r="O2458" s="21"/>
      <c r="P2458" s="21"/>
      <c r="Q2458" s="21"/>
      <c r="R2458" s="21"/>
    </row>
    <row r="2459" spans="2:18" x14ac:dyDescent="0.35">
      <c r="B2459" s="17"/>
      <c r="C2459" s="18"/>
      <c r="D2459" s="21"/>
      <c r="E2459" s="21"/>
      <c r="F2459" s="21"/>
      <c r="G2459" s="21"/>
      <c r="H2459" s="21"/>
      <c r="I2459" s="21"/>
      <c r="J2459" s="21"/>
      <c r="K2459" s="21"/>
      <c r="L2459" s="21"/>
      <c r="M2459" s="21"/>
      <c r="N2459" s="21"/>
      <c r="O2459" s="21"/>
      <c r="P2459" s="21"/>
      <c r="Q2459" s="21"/>
      <c r="R2459" s="21"/>
    </row>
    <row r="2460" spans="2:18" x14ac:dyDescent="0.35">
      <c r="B2460" s="17"/>
      <c r="C2460" s="18"/>
      <c r="D2460" s="21"/>
      <c r="E2460" s="21"/>
      <c r="F2460" s="21"/>
      <c r="G2460" s="21"/>
      <c r="H2460" s="21"/>
      <c r="I2460" s="21"/>
      <c r="J2460" s="21"/>
      <c r="K2460" s="21"/>
      <c r="L2460" s="21"/>
      <c r="M2460" s="21"/>
      <c r="N2460" s="21"/>
      <c r="O2460" s="21"/>
      <c r="P2460" s="21"/>
      <c r="Q2460" s="21"/>
      <c r="R2460" s="21"/>
    </row>
    <row r="2461" spans="2:18" x14ac:dyDescent="0.35">
      <c r="B2461" s="17"/>
      <c r="C2461" s="18"/>
      <c r="D2461" s="21"/>
      <c r="E2461" s="21"/>
      <c r="F2461" s="21"/>
      <c r="G2461" s="21"/>
      <c r="H2461" s="21"/>
      <c r="I2461" s="21"/>
      <c r="J2461" s="21"/>
      <c r="K2461" s="21"/>
      <c r="L2461" s="21"/>
      <c r="M2461" s="21"/>
      <c r="N2461" s="21"/>
      <c r="O2461" s="21"/>
      <c r="P2461" s="21"/>
      <c r="Q2461" s="21"/>
      <c r="R2461" s="21"/>
    </row>
    <row r="2462" spans="2:18" x14ac:dyDescent="0.35">
      <c r="B2462" s="17"/>
      <c r="C2462" s="18"/>
      <c r="D2462" s="21"/>
      <c r="E2462" s="21"/>
      <c r="F2462" s="21"/>
      <c r="G2462" s="21"/>
      <c r="H2462" s="21"/>
      <c r="I2462" s="21"/>
      <c r="J2462" s="21"/>
      <c r="K2462" s="21"/>
      <c r="L2462" s="21"/>
      <c r="M2462" s="21"/>
      <c r="N2462" s="21"/>
      <c r="O2462" s="21"/>
      <c r="P2462" s="21"/>
      <c r="Q2462" s="21"/>
      <c r="R2462" s="21"/>
    </row>
    <row r="2463" spans="2:18" x14ac:dyDescent="0.35">
      <c r="B2463" s="17"/>
      <c r="C2463" s="18"/>
      <c r="D2463" s="21"/>
      <c r="E2463" s="21"/>
      <c r="F2463" s="21"/>
      <c r="G2463" s="21"/>
      <c r="H2463" s="21"/>
      <c r="I2463" s="21"/>
      <c r="J2463" s="21"/>
      <c r="K2463" s="21"/>
      <c r="L2463" s="21"/>
      <c r="M2463" s="21"/>
      <c r="N2463" s="21"/>
      <c r="O2463" s="21"/>
      <c r="P2463" s="21"/>
      <c r="Q2463" s="21"/>
      <c r="R2463" s="21"/>
    </row>
    <row r="2464" spans="2:18" x14ac:dyDescent="0.35">
      <c r="B2464" s="17"/>
      <c r="C2464" s="18"/>
      <c r="D2464" s="21"/>
      <c r="E2464" s="21"/>
      <c r="F2464" s="21"/>
      <c r="G2464" s="21"/>
      <c r="H2464" s="21"/>
      <c r="I2464" s="21"/>
      <c r="J2464" s="21"/>
      <c r="K2464" s="21"/>
      <c r="L2464" s="21"/>
      <c r="M2464" s="21"/>
      <c r="N2464" s="21"/>
      <c r="O2464" s="21"/>
      <c r="P2464" s="21"/>
      <c r="Q2464" s="21"/>
      <c r="R2464" s="21"/>
    </row>
    <row r="2465" spans="2:18" x14ac:dyDescent="0.35">
      <c r="B2465" s="17"/>
      <c r="C2465" s="13"/>
      <c r="D2465" s="14"/>
      <c r="E2465" s="14"/>
      <c r="F2465" s="14"/>
      <c r="G2465" s="14"/>
      <c r="H2465" s="14"/>
      <c r="I2465" s="14"/>
      <c r="J2465" s="14"/>
      <c r="K2465" s="14"/>
      <c r="L2465" s="14"/>
      <c r="M2465" s="14"/>
      <c r="N2465" s="14"/>
      <c r="O2465" s="14"/>
      <c r="P2465" s="14"/>
      <c r="Q2465" s="14"/>
      <c r="R2465" s="14"/>
    </row>
    <row r="2466" spans="2:18" x14ac:dyDescent="0.35">
      <c r="B2466" s="17"/>
      <c r="C2466" s="13"/>
      <c r="D2466" s="14"/>
      <c r="E2466" s="14"/>
      <c r="F2466" s="14"/>
      <c r="G2466" s="14"/>
      <c r="H2466" s="14"/>
      <c r="I2466" s="14"/>
      <c r="J2466" s="14"/>
      <c r="K2466" s="14"/>
      <c r="L2466" s="14"/>
      <c r="M2466" s="14"/>
      <c r="N2466" s="14"/>
      <c r="O2466" s="14"/>
      <c r="P2466" s="14"/>
      <c r="Q2466" s="14"/>
      <c r="R2466" s="14"/>
    </row>
    <row r="2467" spans="2:18" x14ac:dyDescent="0.35">
      <c r="B2467" s="17"/>
      <c r="C2467" s="13"/>
      <c r="D2467" s="14"/>
      <c r="E2467" s="14"/>
      <c r="F2467" s="14"/>
      <c r="G2467" s="14"/>
      <c r="H2467" s="14"/>
      <c r="I2467" s="14"/>
      <c r="J2467" s="14"/>
      <c r="K2467" s="14"/>
      <c r="L2467" s="14"/>
      <c r="M2467" s="14"/>
      <c r="N2467" s="14"/>
      <c r="O2467" s="14"/>
      <c r="P2467" s="14"/>
      <c r="Q2467" s="14"/>
      <c r="R2467" s="14"/>
    </row>
    <row r="2468" spans="2:18" x14ac:dyDescent="0.35">
      <c r="B2468" s="17"/>
      <c r="C2468" s="13"/>
      <c r="D2468" s="14"/>
      <c r="E2468" s="14"/>
      <c r="F2468" s="14"/>
      <c r="G2468" s="14"/>
      <c r="H2468" s="14"/>
      <c r="I2468" s="14"/>
      <c r="J2468" s="14"/>
      <c r="K2468" s="14"/>
      <c r="L2468" s="14"/>
      <c r="M2468" s="14"/>
      <c r="N2468" s="14"/>
      <c r="O2468" s="14"/>
      <c r="P2468" s="14"/>
      <c r="Q2468" s="14"/>
      <c r="R2468" s="14"/>
    </row>
    <row r="2469" spans="2:18" x14ac:dyDescent="0.35">
      <c r="B2469" s="17"/>
      <c r="C2469" s="13"/>
      <c r="D2469" s="14"/>
      <c r="E2469" s="14"/>
      <c r="F2469" s="14"/>
      <c r="G2469" s="14"/>
      <c r="H2469" s="14"/>
      <c r="I2469" s="14"/>
      <c r="J2469" s="14"/>
      <c r="K2469" s="14"/>
      <c r="L2469" s="14"/>
      <c r="M2469" s="14"/>
      <c r="N2469" s="14"/>
      <c r="O2469" s="14"/>
      <c r="P2469" s="14"/>
      <c r="Q2469" s="14"/>
      <c r="R2469" s="14"/>
    </row>
    <row r="2470" spans="2:18" x14ac:dyDescent="0.35">
      <c r="B2470" s="17"/>
      <c r="C2470" s="13"/>
      <c r="D2470" s="14"/>
      <c r="E2470" s="14"/>
      <c r="F2470" s="14"/>
      <c r="G2470" s="14"/>
      <c r="H2470" s="14"/>
      <c r="I2470" s="14"/>
      <c r="J2470" s="14"/>
      <c r="K2470" s="14"/>
      <c r="L2470" s="14"/>
      <c r="M2470" s="14"/>
      <c r="N2470" s="14"/>
      <c r="O2470" s="14"/>
      <c r="P2470" s="14"/>
      <c r="Q2470" s="14"/>
      <c r="R2470" s="14"/>
    </row>
    <row r="2471" spans="2:18" x14ac:dyDescent="0.35">
      <c r="B2471" s="17"/>
      <c r="C2471" s="13"/>
      <c r="D2471" s="14"/>
      <c r="E2471" s="14"/>
      <c r="F2471" s="14"/>
      <c r="G2471" s="14"/>
      <c r="H2471" s="14"/>
      <c r="I2471" s="14"/>
      <c r="J2471" s="14"/>
      <c r="K2471" s="14"/>
      <c r="L2471" s="14"/>
      <c r="M2471" s="14"/>
      <c r="N2471" s="14"/>
      <c r="O2471" s="14"/>
      <c r="P2471" s="14"/>
      <c r="Q2471" s="14"/>
      <c r="R2471" s="14"/>
    </row>
    <row r="2472" spans="2:18" x14ac:dyDescent="0.35">
      <c r="B2472" s="17"/>
      <c r="C2472" s="18"/>
      <c r="D2472" s="21"/>
      <c r="E2472" s="21"/>
      <c r="F2472" s="21"/>
      <c r="G2472" s="21"/>
      <c r="H2472" s="21"/>
      <c r="I2472" s="21"/>
      <c r="J2472" s="21"/>
      <c r="K2472" s="21"/>
      <c r="L2472" s="21"/>
      <c r="M2472" s="21"/>
      <c r="N2472" s="21"/>
      <c r="O2472" s="21"/>
      <c r="P2472" s="21"/>
      <c r="Q2472" s="21"/>
      <c r="R2472" s="21"/>
    </row>
    <row r="2473" spans="2:18" x14ac:dyDescent="0.35">
      <c r="B2473" s="17"/>
      <c r="C2473" s="18"/>
      <c r="D2473" s="21"/>
      <c r="E2473" s="21"/>
      <c r="F2473" s="21"/>
      <c r="G2473" s="21"/>
      <c r="H2473" s="21"/>
      <c r="I2473" s="21"/>
      <c r="J2473" s="21"/>
      <c r="K2473" s="21"/>
      <c r="L2473" s="21"/>
      <c r="M2473" s="21"/>
      <c r="N2473" s="21"/>
      <c r="O2473" s="21"/>
      <c r="P2473" s="21"/>
      <c r="Q2473" s="21"/>
      <c r="R2473" s="21"/>
    </row>
    <row r="2474" spans="2:18" x14ac:dyDescent="0.35">
      <c r="B2474" s="17"/>
      <c r="C2474" s="18"/>
      <c r="D2474" s="21"/>
      <c r="E2474" s="21"/>
      <c r="F2474" s="21"/>
      <c r="G2474" s="21"/>
      <c r="H2474" s="21"/>
      <c r="I2474" s="21"/>
      <c r="J2474" s="21"/>
      <c r="K2474" s="21"/>
      <c r="L2474" s="21"/>
      <c r="M2474" s="21"/>
      <c r="N2474" s="21"/>
      <c r="O2474" s="21"/>
      <c r="P2474" s="21"/>
      <c r="Q2474" s="21"/>
      <c r="R2474" s="21"/>
    </row>
    <row r="2475" spans="2:18" x14ac:dyDescent="0.35">
      <c r="B2475" s="17"/>
      <c r="C2475" s="18"/>
      <c r="D2475" s="21"/>
      <c r="E2475" s="21"/>
      <c r="F2475" s="21"/>
      <c r="G2475" s="21"/>
      <c r="H2475" s="21"/>
      <c r="I2475" s="21"/>
      <c r="J2475" s="21"/>
      <c r="K2475" s="21"/>
      <c r="L2475" s="21"/>
      <c r="M2475" s="21"/>
      <c r="N2475" s="21"/>
      <c r="O2475" s="21"/>
      <c r="P2475" s="21"/>
      <c r="Q2475" s="21"/>
      <c r="R2475" s="21"/>
    </row>
    <row r="2476" spans="2:18" x14ac:dyDescent="0.35">
      <c r="B2476" s="17"/>
      <c r="C2476" s="18"/>
      <c r="D2476" s="21"/>
      <c r="E2476" s="21"/>
      <c r="F2476" s="21"/>
      <c r="G2476" s="21"/>
      <c r="H2476" s="21"/>
      <c r="I2476" s="21"/>
      <c r="J2476" s="21"/>
      <c r="K2476" s="21"/>
      <c r="L2476" s="21"/>
      <c r="M2476" s="21"/>
      <c r="N2476" s="21"/>
      <c r="O2476" s="21"/>
      <c r="P2476" s="21"/>
      <c r="Q2476" s="21"/>
      <c r="R2476" s="21"/>
    </row>
    <row r="2477" spans="2:18" x14ac:dyDescent="0.35">
      <c r="B2477" s="17"/>
      <c r="C2477" s="19"/>
      <c r="D2477" s="21"/>
      <c r="E2477" s="21"/>
      <c r="F2477" s="21"/>
      <c r="G2477" s="21"/>
      <c r="H2477" s="21"/>
      <c r="I2477" s="21"/>
      <c r="J2477" s="21"/>
      <c r="K2477" s="21"/>
      <c r="L2477" s="21"/>
      <c r="M2477" s="21"/>
      <c r="N2477" s="21"/>
      <c r="O2477" s="21"/>
      <c r="P2477" s="21"/>
      <c r="Q2477" s="21"/>
      <c r="R2477" s="21"/>
    </row>
    <row r="2478" spans="2:18" x14ac:dyDescent="0.35">
      <c r="B2478" s="17"/>
      <c r="C2478" s="19"/>
      <c r="D2478" s="21"/>
      <c r="E2478" s="21"/>
      <c r="F2478" s="21"/>
      <c r="G2478" s="21"/>
      <c r="H2478" s="21"/>
      <c r="I2478" s="21"/>
      <c r="J2478" s="21"/>
      <c r="K2478" s="21"/>
      <c r="L2478" s="21"/>
      <c r="M2478" s="21"/>
      <c r="N2478" s="21"/>
      <c r="O2478" s="21"/>
      <c r="P2478" s="21"/>
      <c r="Q2478" s="21"/>
      <c r="R2478" s="21"/>
    </row>
    <row r="2479" spans="2:18" x14ac:dyDescent="0.35">
      <c r="B2479" s="17"/>
      <c r="C2479" s="19"/>
      <c r="D2479" s="21"/>
      <c r="E2479" s="21"/>
      <c r="F2479" s="21"/>
      <c r="G2479" s="21"/>
      <c r="H2479" s="21"/>
      <c r="I2479" s="21"/>
      <c r="J2479" s="21"/>
      <c r="K2479" s="21"/>
      <c r="L2479" s="21"/>
      <c r="M2479" s="21"/>
      <c r="N2479" s="21"/>
      <c r="O2479" s="21"/>
      <c r="P2479" s="21"/>
      <c r="Q2479" s="21"/>
      <c r="R2479" s="21"/>
    </row>
    <row r="2480" spans="2:18" x14ac:dyDescent="0.35">
      <c r="B2480" s="17"/>
      <c r="C2480" s="19"/>
      <c r="D2480" s="21"/>
      <c r="E2480" s="21"/>
      <c r="F2480" s="21"/>
      <c r="G2480" s="21"/>
      <c r="H2480" s="21"/>
      <c r="I2480" s="21"/>
      <c r="J2480" s="21"/>
      <c r="K2480" s="21"/>
      <c r="L2480" s="21"/>
      <c r="M2480" s="21"/>
      <c r="N2480" s="21"/>
      <c r="O2480" s="21"/>
      <c r="P2480" s="21"/>
      <c r="Q2480" s="21"/>
      <c r="R2480" s="21"/>
    </row>
    <row r="2481" spans="2:18" x14ac:dyDescent="0.35">
      <c r="B2481" s="17"/>
      <c r="C2481" s="13"/>
      <c r="D2481" s="14"/>
      <c r="E2481" s="14"/>
      <c r="F2481" s="14"/>
      <c r="G2481" s="14"/>
      <c r="H2481" s="14"/>
      <c r="I2481" s="14"/>
      <c r="J2481" s="14"/>
      <c r="K2481" s="14"/>
      <c r="L2481" s="14"/>
      <c r="M2481" s="14"/>
      <c r="N2481" s="14"/>
      <c r="O2481" s="14"/>
      <c r="P2481" s="14"/>
      <c r="Q2481" s="14"/>
      <c r="R2481" s="14"/>
    </row>
    <row r="2482" spans="2:18" x14ac:dyDescent="0.35">
      <c r="B2482" s="17"/>
      <c r="C2482" s="13"/>
      <c r="D2482" s="14"/>
      <c r="E2482" s="14"/>
      <c r="F2482" s="14"/>
      <c r="G2482" s="14"/>
      <c r="H2482" s="14"/>
      <c r="I2482" s="14"/>
      <c r="J2482" s="14"/>
      <c r="K2482" s="14"/>
      <c r="L2482" s="14"/>
      <c r="M2482" s="14"/>
      <c r="N2482" s="14"/>
      <c r="O2482" s="14"/>
      <c r="P2482" s="14"/>
      <c r="Q2482" s="14"/>
      <c r="R2482" s="14"/>
    </row>
    <row r="2483" spans="2:18" x14ac:dyDescent="0.35">
      <c r="B2483" s="17"/>
      <c r="C2483" s="13"/>
      <c r="D2483" s="14"/>
      <c r="E2483" s="14"/>
      <c r="F2483" s="14"/>
      <c r="G2483" s="14"/>
      <c r="H2483" s="14"/>
      <c r="I2483" s="14"/>
      <c r="J2483" s="14"/>
      <c r="K2483" s="14"/>
      <c r="L2483" s="14"/>
      <c r="M2483" s="14"/>
      <c r="N2483" s="14"/>
      <c r="O2483" s="14"/>
      <c r="P2483" s="14"/>
      <c r="Q2483" s="14"/>
      <c r="R2483" s="14"/>
    </row>
    <row r="2484" spans="2:18" x14ac:dyDescent="0.35">
      <c r="B2484" s="17"/>
      <c r="C2484" s="13"/>
      <c r="D2484" s="14"/>
      <c r="E2484" s="14"/>
      <c r="F2484" s="14"/>
      <c r="G2484" s="14"/>
      <c r="H2484" s="14"/>
      <c r="I2484" s="14"/>
      <c r="J2484" s="14"/>
      <c r="K2484" s="14"/>
      <c r="L2484" s="14"/>
      <c r="M2484" s="14"/>
      <c r="N2484" s="14"/>
      <c r="O2484" s="14"/>
      <c r="P2484" s="14"/>
      <c r="Q2484" s="14"/>
      <c r="R2484" s="14"/>
    </row>
    <row r="2485" spans="2:18" x14ac:dyDescent="0.35">
      <c r="B2485" s="17"/>
      <c r="C2485" s="13"/>
      <c r="D2485" s="14"/>
      <c r="E2485" s="14"/>
      <c r="F2485" s="14"/>
      <c r="G2485" s="14"/>
      <c r="H2485" s="14"/>
      <c r="I2485" s="14"/>
      <c r="J2485" s="14"/>
      <c r="K2485" s="14"/>
      <c r="L2485" s="14"/>
      <c r="M2485" s="14"/>
      <c r="N2485" s="14"/>
      <c r="O2485" s="14"/>
      <c r="P2485" s="14"/>
      <c r="Q2485" s="14"/>
      <c r="R2485" s="14"/>
    </row>
    <row r="2486" spans="2:18" x14ac:dyDescent="0.35">
      <c r="B2486" s="17"/>
      <c r="C2486" s="13"/>
      <c r="D2486" s="14"/>
      <c r="E2486" s="14"/>
      <c r="F2486" s="14"/>
      <c r="G2486" s="14"/>
      <c r="H2486" s="14"/>
      <c r="I2486" s="14"/>
      <c r="J2486" s="14"/>
      <c r="K2486" s="14"/>
      <c r="L2486" s="14"/>
      <c r="M2486" s="14"/>
      <c r="N2486" s="14"/>
      <c r="O2486" s="14"/>
      <c r="P2486" s="14"/>
      <c r="Q2486" s="14"/>
      <c r="R2486" s="14"/>
    </row>
    <row r="2487" spans="2:18" x14ac:dyDescent="0.35">
      <c r="B2487" s="17"/>
      <c r="C2487" s="13"/>
      <c r="D2487" s="14"/>
      <c r="E2487" s="14"/>
      <c r="F2487" s="14"/>
      <c r="G2487" s="14"/>
      <c r="H2487" s="14"/>
      <c r="I2487" s="14"/>
      <c r="J2487" s="14"/>
      <c r="K2487" s="14"/>
      <c r="L2487" s="14"/>
      <c r="M2487" s="14"/>
      <c r="N2487" s="14"/>
      <c r="O2487" s="14"/>
      <c r="P2487" s="14"/>
      <c r="Q2487" s="14"/>
      <c r="R2487" s="14"/>
    </row>
    <row r="2488" spans="2:18" x14ac:dyDescent="0.35">
      <c r="B2488" s="17"/>
      <c r="C2488" s="13"/>
      <c r="D2488" s="14"/>
      <c r="E2488" s="14"/>
      <c r="F2488" s="14"/>
      <c r="G2488" s="14"/>
      <c r="H2488" s="14"/>
      <c r="I2488" s="14"/>
      <c r="J2488" s="14"/>
      <c r="K2488" s="14"/>
      <c r="L2488" s="14"/>
      <c r="M2488" s="14"/>
      <c r="N2488" s="14"/>
      <c r="O2488" s="14"/>
      <c r="P2488" s="14"/>
      <c r="Q2488" s="14"/>
      <c r="R2488" s="14"/>
    </row>
    <row r="2489" spans="2:18" x14ac:dyDescent="0.35">
      <c r="B2489" s="17"/>
      <c r="C2489" s="13"/>
      <c r="D2489" s="14"/>
      <c r="E2489" s="14"/>
      <c r="F2489" s="14"/>
      <c r="G2489" s="14"/>
      <c r="H2489" s="14"/>
      <c r="I2489" s="14"/>
      <c r="J2489" s="14"/>
      <c r="K2489" s="14"/>
      <c r="L2489" s="14"/>
      <c r="M2489" s="14"/>
      <c r="N2489" s="14"/>
      <c r="O2489" s="14"/>
      <c r="P2489" s="14"/>
      <c r="Q2489" s="14"/>
      <c r="R2489" s="14"/>
    </row>
    <row r="2490" spans="2:18" x14ac:dyDescent="0.35">
      <c r="B2490" s="17"/>
      <c r="C2490" s="13"/>
      <c r="D2490" s="14"/>
      <c r="E2490" s="14"/>
      <c r="F2490" s="14"/>
      <c r="G2490" s="14"/>
      <c r="H2490" s="14"/>
      <c r="I2490" s="14"/>
      <c r="J2490" s="14"/>
      <c r="K2490" s="14"/>
      <c r="L2490" s="14"/>
      <c r="M2490" s="14"/>
      <c r="N2490" s="14"/>
      <c r="O2490" s="14"/>
      <c r="P2490" s="14"/>
      <c r="Q2490" s="14"/>
      <c r="R2490" s="14"/>
    </row>
    <row r="2491" spans="2:18" x14ac:dyDescent="0.35">
      <c r="B2491" s="17"/>
      <c r="C2491" s="13"/>
      <c r="D2491" s="14"/>
      <c r="E2491" s="14"/>
      <c r="F2491" s="14"/>
      <c r="G2491" s="14"/>
      <c r="H2491" s="14"/>
      <c r="I2491" s="14"/>
      <c r="J2491" s="14"/>
      <c r="K2491" s="14"/>
      <c r="L2491" s="14"/>
      <c r="M2491" s="14"/>
      <c r="N2491" s="14"/>
      <c r="O2491" s="14"/>
      <c r="P2491" s="14"/>
      <c r="Q2491" s="14"/>
      <c r="R2491" s="14"/>
    </row>
    <row r="2492" spans="2:18" x14ac:dyDescent="0.35">
      <c r="B2492" s="17"/>
      <c r="C2492" s="13"/>
      <c r="D2492" s="14"/>
      <c r="E2492" s="14"/>
      <c r="F2492" s="14"/>
      <c r="G2492" s="14"/>
      <c r="H2492" s="14"/>
      <c r="I2492" s="14"/>
      <c r="J2492" s="14"/>
      <c r="K2492" s="14"/>
      <c r="L2492" s="14"/>
      <c r="M2492" s="14"/>
      <c r="N2492" s="14"/>
      <c r="O2492" s="14"/>
      <c r="P2492" s="14"/>
      <c r="Q2492" s="14"/>
      <c r="R2492" s="14"/>
    </row>
    <row r="2493" spans="2:18" x14ac:dyDescent="0.35">
      <c r="B2493" s="17"/>
      <c r="C2493" s="13"/>
      <c r="D2493" s="14"/>
      <c r="E2493" s="14"/>
      <c r="F2493" s="14"/>
      <c r="G2493" s="14"/>
      <c r="H2493" s="14"/>
      <c r="I2493" s="14"/>
      <c r="J2493" s="14"/>
      <c r="K2493" s="14"/>
      <c r="L2493" s="14"/>
      <c r="M2493" s="14"/>
      <c r="N2493" s="14"/>
      <c r="O2493" s="14"/>
      <c r="P2493" s="14"/>
      <c r="Q2493" s="14"/>
      <c r="R2493" s="14"/>
    </row>
    <row r="2494" spans="2:18" x14ac:dyDescent="0.35">
      <c r="B2494" s="17"/>
      <c r="C2494" s="13"/>
      <c r="D2494" s="14"/>
      <c r="E2494" s="14"/>
      <c r="F2494" s="14"/>
      <c r="G2494" s="14"/>
      <c r="H2494" s="14"/>
      <c r="I2494" s="14"/>
      <c r="J2494" s="14"/>
      <c r="K2494" s="14"/>
      <c r="L2494" s="14"/>
      <c r="M2494" s="14"/>
      <c r="N2494" s="14"/>
      <c r="O2494" s="14"/>
      <c r="P2494" s="14"/>
      <c r="Q2494" s="14"/>
      <c r="R2494" s="14"/>
    </row>
    <row r="2495" spans="2:18" x14ac:dyDescent="0.35">
      <c r="B2495" s="17"/>
      <c r="C2495" s="13"/>
      <c r="D2495" s="14"/>
      <c r="E2495" s="14"/>
      <c r="F2495" s="14"/>
      <c r="G2495" s="14"/>
      <c r="H2495" s="14"/>
      <c r="I2495" s="14"/>
      <c r="J2495" s="14"/>
      <c r="K2495" s="14"/>
      <c r="L2495" s="14"/>
      <c r="M2495" s="14"/>
      <c r="N2495" s="14"/>
      <c r="O2495" s="14"/>
      <c r="P2495" s="14"/>
      <c r="Q2495" s="14"/>
      <c r="R2495" s="14"/>
    </row>
    <row r="2496" spans="2:18" x14ac:dyDescent="0.35">
      <c r="B2496" s="17"/>
      <c r="C2496" s="18"/>
      <c r="D2496" s="21"/>
      <c r="E2496" s="21"/>
      <c r="F2496" s="21"/>
      <c r="G2496" s="21"/>
      <c r="H2496" s="21"/>
      <c r="I2496" s="21"/>
      <c r="J2496" s="21"/>
      <c r="K2496" s="21"/>
      <c r="L2496" s="21"/>
      <c r="M2496" s="21"/>
      <c r="N2496" s="21"/>
      <c r="O2496" s="21"/>
      <c r="P2496" s="21"/>
      <c r="Q2496" s="21"/>
      <c r="R2496" s="21"/>
    </row>
    <row r="2497" spans="2:18" x14ac:dyDescent="0.35">
      <c r="B2497" s="17"/>
      <c r="C2497" s="18"/>
      <c r="D2497" s="21"/>
      <c r="E2497" s="21"/>
      <c r="F2497" s="21"/>
      <c r="G2497" s="21"/>
      <c r="H2497" s="21"/>
      <c r="I2497" s="21"/>
      <c r="J2497" s="21"/>
      <c r="K2497" s="21"/>
      <c r="L2497" s="21"/>
      <c r="M2497" s="21"/>
      <c r="N2497" s="21"/>
      <c r="O2497" s="21"/>
      <c r="P2497" s="21"/>
      <c r="Q2497" s="21"/>
      <c r="R2497" s="21"/>
    </row>
    <row r="2498" spans="2:18" x14ac:dyDescent="0.35">
      <c r="B2498" s="17"/>
      <c r="C2498" s="18"/>
      <c r="D2498" s="21"/>
      <c r="E2498" s="21"/>
      <c r="F2498" s="21"/>
      <c r="G2498" s="21"/>
      <c r="H2498" s="21"/>
      <c r="I2498" s="21"/>
      <c r="J2498" s="21"/>
      <c r="K2498" s="21"/>
      <c r="L2498" s="21"/>
      <c r="M2498" s="21"/>
      <c r="N2498" s="21"/>
      <c r="O2498" s="21"/>
      <c r="P2498" s="21"/>
      <c r="Q2498" s="21"/>
      <c r="R2498" s="21"/>
    </row>
    <row r="2499" spans="2:18" x14ac:dyDescent="0.35">
      <c r="B2499" s="17"/>
      <c r="C2499" s="18"/>
      <c r="D2499" s="21"/>
      <c r="E2499" s="21"/>
      <c r="F2499" s="21"/>
      <c r="G2499" s="21"/>
      <c r="H2499" s="21"/>
      <c r="I2499" s="21"/>
      <c r="J2499" s="21"/>
      <c r="K2499" s="21"/>
      <c r="L2499" s="21"/>
      <c r="M2499" s="21"/>
      <c r="N2499" s="21"/>
      <c r="O2499" s="21"/>
      <c r="P2499" s="21"/>
      <c r="Q2499" s="21"/>
      <c r="R2499" s="21"/>
    </row>
    <row r="2500" spans="2:18" x14ac:dyDescent="0.35">
      <c r="B2500" s="17"/>
      <c r="C2500" s="18"/>
      <c r="D2500" s="21"/>
      <c r="E2500" s="21"/>
      <c r="F2500" s="21"/>
      <c r="G2500" s="21"/>
      <c r="H2500" s="21"/>
      <c r="I2500" s="21"/>
      <c r="J2500" s="21"/>
      <c r="K2500" s="21"/>
      <c r="L2500" s="21"/>
      <c r="M2500" s="21"/>
      <c r="N2500" s="21"/>
      <c r="O2500" s="21"/>
      <c r="P2500" s="21"/>
      <c r="Q2500" s="21"/>
      <c r="R2500" s="21"/>
    </row>
    <row r="2501" spans="2:18" x14ac:dyDescent="0.35">
      <c r="B2501" s="17"/>
      <c r="C2501" s="18"/>
      <c r="D2501" s="21"/>
      <c r="E2501" s="21"/>
      <c r="F2501" s="21"/>
      <c r="G2501" s="21"/>
      <c r="H2501" s="21"/>
      <c r="I2501" s="21"/>
      <c r="J2501" s="21"/>
      <c r="K2501" s="21"/>
      <c r="L2501" s="21"/>
      <c r="M2501" s="21"/>
      <c r="N2501" s="21"/>
      <c r="O2501" s="21"/>
      <c r="P2501" s="21"/>
      <c r="Q2501" s="21"/>
      <c r="R2501" s="21"/>
    </row>
    <row r="2502" spans="2:18" x14ac:dyDescent="0.35">
      <c r="B2502" s="17"/>
      <c r="C2502" s="18"/>
      <c r="D2502" s="21"/>
      <c r="E2502" s="21"/>
      <c r="F2502" s="21"/>
      <c r="G2502" s="21"/>
      <c r="H2502" s="21"/>
      <c r="I2502" s="21"/>
      <c r="J2502" s="21"/>
      <c r="K2502" s="21"/>
      <c r="L2502" s="21"/>
      <c r="M2502" s="21"/>
      <c r="N2502" s="21"/>
      <c r="O2502" s="21"/>
      <c r="P2502" s="21"/>
      <c r="Q2502" s="21"/>
      <c r="R2502" s="21"/>
    </row>
    <row r="2503" spans="2:18" x14ac:dyDescent="0.35">
      <c r="B2503" s="17"/>
      <c r="C2503" s="18"/>
      <c r="D2503" s="21"/>
      <c r="E2503" s="21"/>
      <c r="F2503" s="21"/>
      <c r="G2503" s="21"/>
      <c r="H2503" s="21"/>
      <c r="I2503" s="21"/>
      <c r="J2503" s="21"/>
      <c r="K2503" s="21"/>
      <c r="L2503" s="21"/>
      <c r="M2503" s="21"/>
      <c r="N2503" s="21"/>
      <c r="O2503" s="21"/>
      <c r="P2503" s="21"/>
      <c r="Q2503" s="21"/>
      <c r="R2503" s="21"/>
    </row>
    <row r="2504" spans="2:18" x14ac:dyDescent="0.35">
      <c r="B2504" s="17"/>
      <c r="C2504" s="18"/>
      <c r="D2504" s="21"/>
      <c r="E2504" s="21"/>
      <c r="F2504" s="21"/>
      <c r="G2504" s="21"/>
      <c r="H2504" s="21"/>
      <c r="I2504" s="21"/>
      <c r="J2504" s="21"/>
      <c r="K2504" s="21"/>
      <c r="L2504" s="21"/>
      <c r="M2504" s="21"/>
      <c r="N2504" s="21"/>
      <c r="O2504" s="21"/>
      <c r="P2504" s="21"/>
      <c r="Q2504" s="21"/>
      <c r="R2504" s="21"/>
    </row>
    <row r="2505" spans="2:18" x14ac:dyDescent="0.35">
      <c r="B2505" s="17"/>
      <c r="C2505" s="18"/>
      <c r="D2505" s="21"/>
      <c r="E2505" s="21"/>
      <c r="F2505" s="21"/>
      <c r="G2505" s="21"/>
      <c r="H2505" s="21"/>
      <c r="I2505" s="21"/>
      <c r="J2505" s="21"/>
      <c r="K2505" s="21"/>
      <c r="L2505" s="21"/>
      <c r="M2505" s="21"/>
      <c r="N2505" s="21"/>
      <c r="O2505" s="21"/>
      <c r="P2505" s="21"/>
      <c r="Q2505" s="21"/>
      <c r="R2505" s="21"/>
    </row>
    <row r="2506" spans="2:18" x14ac:dyDescent="0.35">
      <c r="B2506" s="17"/>
      <c r="C2506" s="18"/>
      <c r="D2506" s="21"/>
      <c r="E2506" s="21"/>
      <c r="F2506" s="21"/>
      <c r="G2506" s="21"/>
      <c r="H2506" s="21"/>
      <c r="I2506" s="21"/>
      <c r="J2506" s="21"/>
      <c r="K2506" s="21"/>
      <c r="L2506" s="21"/>
      <c r="M2506" s="21"/>
      <c r="N2506" s="21"/>
      <c r="O2506" s="21"/>
      <c r="P2506" s="21"/>
      <c r="Q2506" s="21"/>
      <c r="R2506" s="21"/>
    </row>
    <row r="2507" spans="2:18" x14ac:dyDescent="0.35">
      <c r="B2507" s="17"/>
      <c r="C2507" s="18"/>
      <c r="D2507" s="21"/>
      <c r="E2507" s="21"/>
      <c r="F2507" s="21"/>
      <c r="G2507" s="21"/>
      <c r="H2507" s="21"/>
      <c r="I2507" s="21"/>
      <c r="J2507" s="21"/>
      <c r="K2507" s="21"/>
      <c r="L2507" s="21"/>
      <c r="M2507" s="21"/>
      <c r="N2507" s="21"/>
      <c r="O2507" s="21"/>
      <c r="P2507" s="21"/>
      <c r="Q2507" s="21"/>
      <c r="R2507" s="21"/>
    </row>
    <row r="2508" spans="2:18" x14ac:dyDescent="0.35">
      <c r="B2508" s="17"/>
      <c r="C2508" s="18"/>
      <c r="D2508" s="21"/>
      <c r="E2508" s="21"/>
      <c r="F2508" s="21"/>
      <c r="G2508" s="21"/>
      <c r="H2508" s="21"/>
      <c r="I2508" s="21"/>
      <c r="J2508" s="21"/>
      <c r="K2508" s="21"/>
      <c r="L2508" s="21"/>
      <c r="M2508" s="21"/>
      <c r="N2508" s="21"/>
      <c r="O2508" s="21"/>
      <c r="P2508" s="21"/>
      <c r="Q2508" s="21"/>
      <c r="R2508" s="21"/>
    </row>
    <row r="2509" spans="2:18" x14ac:dyDescent="0.35">
      <c r="B2509" s="17"/>
      <c r="C2509" s="18"/>
      <c r="D2509" s="21"/>
      <c r="E2509" s="21"/>
      <c r="F2509" s="21"/>
      <c r="G2509" s="21"/>
      <c r="H2509" s="21"/>
      <c r="I2509" s="21"/>
      <c r="J2509" s="21"/>
      <c r="K2509" s="21"/>
      <c r="L2509" s="21"/>
      <c r="M2509" s="21"/>
      <c r="N2509" s="21"/>
      <c r="O2509" s="21"/>
      <c r="P2509" s="21"/>
      <c r="Q2509" s="21"/>
      <c r="R2509" s="21"/>
    </row>
    <row r="2510" spans="2:18" x14ac:dyDescent="0.35">
      <c r="B2510" s="17"/>
      <c r="C2510" s="18"/>
      <c r="D2510" s="21"/>
      <c r="E2510" s="21"/>
      <c r="F2510" s="21"/>
      <c r="G2510" s="21"/>
      <c r="H2510" s="21"/>
      <c r="I2510" s="21"/>
      <c r="J2510" s="21"/>
      <c r="K2510" s="21"/>
      <c r="L2510" s="21"/>
      <c r="M2510" s="21"/>
      <c r="N2510" s="21"/>
      <c r="O2510" s="21"/>
      <c r="P2510" s="21"/>
      <c r="Q2510" s="21"/>
      <c r="R2510" s="21"/>
    </row>
    <row r="2511" spans="2:18" x14ac:dyDescent="0.35">
      <c r="B2511" s="17"/>
      <c r="C2511" s="18"/>
      <c r="D2511" s="21"/>
      <c r="E2511" s="21"/>
      <c r="F2511" s="21"/>
      <c r="G2511" s="21"/>
      <c r="H2511" s="21"/>
      <c r="I2511" s="21"/>
      <c r="J2511" s="21"/>
      <c r="K2511" s="21"/>
      <c r="L2511" s="21"/>
      <c r="M2511" s="21"/>
      <c r="N2511" s="21"/>
      <c r="O2511" s="21"/>
      <c r="P2511" s="21"/>
      <c r="Q2511" s="21"/>
      <c r="R2511" s="21"/>
    </row>
    <row r="2512" spans="2:18" x14ac:dyDescent="0.35">
      <c r="B2512" s="17"/>
      <c r="C2512" s="13"/>
      <c r="D2512" s="14"/>
      <c r="E2512" s="14"/>
      <c r="F2512" s="14"/>
      <c r="G2512" s="14"/>
      <c r="H2512" s="14"/>
      <c r="I2512" s="14"/>
      <c r="J2512" s="14"/>
      <c r="K2512" s="14"/>
      <c r="L2512" s="14"/>
      <c r="M2512" s="14"/>
      <c r="N2512" s="14"/>
      <c r="O2512" s="14"/>
      <c r="P2512" s="14"/>
      <c r="Q2512" s="14"/>
      <c r="R2512" s="14"/>
    </row>
    <row r="2513" spans="2:18" x14ac:dyDescent="0.35">
      <c r="B2513" s="17"/>
      <c r="C2513" s="13"/>
      <c r="D2513" s="14"/>
      <c r="E2513" s="14"/>
      <c r="F2513" s="14"/>
      <c r="G2513" s="14"/>
      <c r="H2513" s="14"/>
      <c r="I2513" s="14"/>
      <c r="J2513" s="14"/>
      <c r="K2513" s="14"/>
      <c r="L2513" s="14"/>
      <c r="M2513" s="14"/>
      <c r="N2513" s="14"/>
      <c r="O2513" s="14"/>
      <c r="P2513" s="14"/>
      <c r="Q2513" s="14"/>
      <c r="R2513" s="14"/>
    </row>
    <row r="2514" spans="2:18" x14ac:dyDescent="0.35">
      <c r="B2514" s="17"/>
      <c r="C2514" s="13"/>
      <c r="D2514" s="14"/>
      <c r="E2514" s="14"/>
      <c r="F2514" s="14"/>
      <c r="G2514" s="14"/>
      <c r="H2514" s="14"/>
      <c r="I2514" s="14"/>
      <c r="J2514" s="14"/>
      <c r="K2514" s="14"/>
      <c r="L2514" s="14"/>
      <c r="M2514" s="14"/>
      <c r="N2514" s="14"/>
      <c r="O2514" s="14"/>
      <c r="P2514" s="14"/>
      <c r="Q2514" s="14"/>
      <c r="R2514" s="14"/>
    </row>
    <row r="2515" spans="2:18" x14ac:dyDescent="0.35">
      <c r="B2515" s="17"/>
      <c r="C2515" s="13"/>
      <c r="D2515" s="14"/>
      <c r="E2515" s="14"/>
      <c r="F2515" s="14"/>
      <c r="G2515" s="14"/>
      <c r="H2515" s="14"/>
      <c r="I2515" s="14"/>
      <c r="J2515" s="14"/>
      <c r="K2515" s="14"/>
      <c r="L2515" s="14"/>
      <c r="M2515" s="14"/>
      <c r="N2515" s="14"/>
      <c r="O2515" s="14"/>
      <c r="P2515" s="14"/>
      <c r="Q2515" s="14"/>
      <c r="R2515" s="14"/>
    </row>
    <row r="2516" spans="2:18" x14ac:dyDescent="0.35">
      <c r="B2516" s="17"/>
      <c r="C2516" s="13"/>
      <c r="D2516" s="14"/>
      <c r="E2516" s="14"/>
      <c r="F2516" s="14"/>
      <c r="G2516" s="14"/>
      <c r="H2516" s="14"/>
      <c r="I2516" s="14"/>
      <c r="J2516" s="14"/>
      <c r="K2516" s="14"/>
      <c r="L2516" s="14"/>
      <c r="M2516" s="14"/>
      <c r="N2516" s="14"/>
      <c r="O2516" s="14"/>
      <c r="P2516" s="14"/>
      <c r="Q2516" s="14"/>
      <c r="R2516" s="14"/>
    </row>
    <row r="2517" spans="2:18" x14ac:dyDescent="0.35">
      <c r="B2517" s="17"/>
      <c r="C2517" s="13"/>
      <c r="D2517" s="14"/>
      <c r="E2517" s="14"/>
      <c r="F2517" s="14"/>
      <c r="G2517" s="14"/>
      <c r="H2517" s="14"/>
      <c r="I2517" s="14"/>
      <c r="J2517" s="14"/>
      <c r="K2517" s="14"/>
      <c r="L2517" s="14"/>
      <c r="M2517" s="14"/>
      <c r="N2517" s="14"/>
      <c r="O2517" s="14"/>
      <c r="P2517" s="14"/>
      <c r="Q2517" s="14"/>
      <c r="R2517" s="14"/>
    </row>
    <row r="2518" spans="2:18" x14ac:dyDescent="0.35">
      <c r="B2518" s="17"/>
      <c r="C2518" s="13"/>
      <c r="D2518" s="14"/>
      <c r="E2518" s="14"/>
      <c r="F2518" s="14"/>
      <c r="G2518" s="14"/>
      <c r="H2518" s="14"/>
      <c r="I2518" s="14"/>
      <c r="J2518" s="14"/>
      <c r="K2518" s="14"/>
      <c r="L2518" s="14"/>
      <c r="M2518" s="14"/>
      <c r="N2518" s="14"/>
      <c r="O2518" s="14"/>
      <c r="P2518" s="14"/>
      <c r="Q2518" s="14"/>
      <c r="R2518" s="14"/>
    </row>
    <row r="2519" spans="2:18" x14ac:dyDescent="0.35">
      <c r="B2519" s="17"/>
      <c r="C2519" s="18"/>
      <c r="D2519" s="21"/>
      <c r="E2519" s="21"/>
      <c r="F2519" s="21"/>
      <c r="G2519" s="21"/>
      <c r="H2519" s="21"/>
      <c r="I2519" s="21"/>
      <c r="J2519" s="21"/>
      <c r="K2519" s="21"/>
      <c r="L2519" s="21"/>
      <c r="M2519" s="21"/>
      <c r="N2519" s="21"/>
      <c r="O2519" s="21"/>
      <c r="P2519" s="21"/>
      <c r="Q2519" s="21"/>
      <c r="R2519" s="21"/>
    </row>
    <row r="2520" spans="2:18" x14ac:dyDescent="0.35">
      <c r="B2520" s="17"/>
      <c r="C2520" s="18"/>
      <c r="D2520" s="21"/>
      <c r="E2520" s="21"/>
      <c r="F2520" s="21"/>
      <c r="G2520" s="21"/>
      <c r="H2520" s="21"/>
      <c r="I2520" s="21"/>
      <c r="J2520" s="21"/>
      <c r="K2520" s="21"/>
      <c r="L2520" s="21"/>
      <c r="M2520" s="21"/>
      <c r="N2520" s="21"/>
      <c r="O2520" s="21"/>
      <c r="P2520" s="21"/>
      <c r="Q2520" s="21"/>
      <c r="R2520" s="21"/>
    </row>
    <row r="2521" spans="2:18" x14ac:dyDescent="0.35">
      <c r="B2521" s="17"/>
      <c r="C2521" s="18"/>
      <c r="D2521" s="21"/>
      <c r="E2521" s="21"/>
      <c r="F2521" s="21"/>
      <c r="G2521" s="21"/>
      <c r="H2521" s="21"/>
      <c r="I2521" s="21"/>
      <c r="J2521" s="21"/>
      <c r="K2521" s="21"/>
      <c r="L2521" s="21"/>
      <c r="M2521" s="21"/>
      <c r="N2521" s="21"/>
      <c r="O2521" s="21"/>
      <c r="P2521" s="21"/>
      <c r="Q2521" s="21"/>
      <c r="R2521" s="21"/>
    </row>
    <row r="2522" spans="2:18" x14ac:dyDescent="0.35">
      <c r="B2522" s="17"/>
      <c r="C2522" s="18"/>
      <c r="D2522" s="21"/>
      <c r="E2522" s="21"/>
      <c r="F2522" s="21"/>
      <c r="G2522" s="21"/>
      <c r="H2522" s="21"/>
      <c r="I2522" s="21"/>
      <c r="J2522" s="21"/>
      <c r="K2522" s="21"/>
      <c r="L2522" s="21"/>
      <c r="M2522" s="21"/>
      <c r="N2522" s="21"/>
      <c r="O2522" s="21"/>
      <c r="P2522" s="21"/>
      <c r="Q2522" s="21"/>
      <c r="R2522" s="21"/>
    </row>
    <row r="2523" spans="2:18" x14ac:dyDescent="0.35">
      <c r="B2523" s="17"/>
      <c r="C2523" s="18"/>
      <c r="D2523" s="21"/>
      <c r="E2523" s="21"/>
      <c r="F2523" s="21"/>
      <c r="G2523" s="21"/>
      <c r="H2523" s="21"/>
      <c r="I2523" s="21"/>
      <c r="J2523" s="21"/>
      <c r="K2523" s="21"/>
      <c r="L2523" s="21"/>
      <c r="M2523" s="21"/>
      <c r="N2523" s="21"/>
      <c r="O2523" s="21"/>
      <c r="P2523" s="21"/>
      <c r="Q2523" s="21"/>
      <c r="R2523" s="21"/>
    </row>
    <row r="2524" spans="2:18" x14ac:dyDescent="0.35">
      <c r="B2524" s="17"/>
      <c r="C2524" s="19"/>
      <c r="D2524" s="21"/>
      <c r="E2524" s="21"/>
      <c r="F2524" s="21"/>
      <c r="G2524" s="21"/>
      <c r="H2524" s="21"/>
      <c r="I2524" s="21"/>
      <c r="J2524" s="21"/>
      <c r="K2524" s="21"/>
      <c r="L2524" s="21"/>
      <c r="M2524" s="21"/>
      <c r="N2524" s="21"/>
      <c r="O2524" s="21"/>
      <c r="P2524" s="21"/>
      <c r="Q2524" s="21"/>
      <c r="R2524" s="21"/>
    </row>
    <row r="2525" spans="2:18" x14ac:dyDescent="0.35">
      <c r="B2525" s="17"/>
      <c r="C2525" s="19"/>
      <c r="D2525" s="21"/>
      <c r="E2525" s="21"/>
      <c r="F2525" s="21"/>
      <c r="G2525" s="21"/>
      <c r="H2525" s="21"/>
      <c r="I2525" s="21"/>
      <c r="J2525" s="21"/>
      <c r="K2525" s="21"/>
      <c r="L2525" s="21"/>
      <c r="M2525" s="21"/>
      <c r="N2525" s="21"/>
      <c r="O2525" s="21"/>
      <c r="P2525" s="21"/>
      <c r="Q2525" s="21"/>
      <c r="R2525" s="21"/>
    </row>
    <row r="2526" spans="2:18" x14ac:dyDescent="0.35">
      <c r="B2526" s="17"/>
      <c r="C2526" s="19"/>
      <c r="D2526" s="21"/>
      <c r="E2526" s="21"/>
      <c r="F2526" s="21"/>
      <c r="G2526" s="21"/>
      <c r="H2526" s="21"/>
      <c r="I2526" s="21"/>
      <c r="J2526" s="21"/>
      <c r="K2526" s="21"/>
      <c r="L2526" s="21"/>
      <c r="M2526" s="21"/>
      <c r="N2526" s="21"/>
      <c r="O2526" s="21"/>
      <c r="P2526" s="21"/>
      <c r="Q2526" s="21"/>
      <c r="R2526" s="21"/>
    </row>
    <row r="2527" spans="2:18" x14ac:dyDescent="0.35">
      <c r="B2527" s="17"/>
      <c r="C2527" s="19"/>
      <c r="D2527" s="21"/>
      <c r="E2527" s="21"/>
      <c r="F2527" s="21"/>
      <c r="G2527" s="21"/>
      <c r="H2527" s="21"/>
      <c r="I2527" s="21"/>
      <c r="J2527" s="21"/>
      <c r="K2527" s="21"/>
      <c r="L2527" s="21"/>
      <c r="M2527" s="21"/>
      <c r="N2527" s="21"/>
      <c r="O2527" s="21"/>
      <c r="P2527" s="21"/>
      <c r="Q2527" s="21"/>
      <c r="R2527" s="21"/>
    </row>
    <row r="2528" spans="2:18" x14ac:dyDescent="0.35">
      <c r="B2528" s="17"/>
      <c r="C2528" s="13"/>
      <c r="D2528" s="14"/>
      <c r="E2528" s="14"/>
      <c r="F2528" s="14"/>
      <c r="G2528" s="14"/>
      <c r="H2528" s="14"/>
      <c r="I2528" s="14"/>
      <c r="J2528" s="14"/>
      <c r="K2528" s="14"/>
      <c r="L2528" s="14"/>
      <c r="M2528" s="14"/>
      <c r="N2528" s="14"/>
      <c r="O2528" s="14"/>
      <c r="P2528" s="14"/>
      <c r="Q2528" s="14"/>
      <c r="R2528" s="14"/>
    </row>
    <row r="2529" spans="2:18" x14ac:dyDescent="0.35">
      <c r="B2529" s="17"/>
      <c r="C2529" s="13"/>
      <c r="D2529" s="14"/>
      <c r="E2529" s="14"/>
      <c r="F2529" s="14"/>
      <c r="G2529" s="14"/>
      <c r="H2529" s="14"/>
      <c r="I2529" s="14"/>
      <c r="J2529" s="14"/>
      <c r="K2529" s="14"/>
      <c r="L2529" s="14"/>
      <c r="M2529" s="14"/>
      <c r="N2529" s="14"/>
      <c r="O2529" s="14"/>
      <c r="P2529" s="14"/>
      <c r="Q2529" s="14"/>
      <c r="R2529" s="14"/>
    </row>
    <row r="2530" spans="2:18" x14ac:dyDescent="0.35">
      <c r="B2530" s="17"/>
      <c r="C2530" s="13"/>
      <c r="D2530" s="14"/>
      <c r="E2530" s="14"/>
      <c r="F2530" s="14"/>
      <c r="G2530" s="14"/>
      <c r="H2530" s="14"/>
      <c r="I2530" s="14"/>
      <c r="J2530" s="14"/>
      <c r="K2530" s="14"/>
      <c r="L2530" s="14"/>
      <c r="M2530" s="14"/>
      <c r="N2530" s="14"/>
      <c r="O2530" s="14"/>
      <c r="P2530" s="14"/>
      <c r="Q2530" s="14"/>
      <c r="R2530" s="14"/>
    </row>
    <row r="2531" spans="2:18" x14ac:dyDescent="0.35">
      <c r="B2531" s="17"/>
      <c r="C2531" s="13"/>
      <c r="D2531" s="14"/>
      <c r="E2531" s="14"/>
      <c r="F2531" s="14"/>
      <c r="G2531" s="14"/>
      <c r="H2531" s="14"/>
      <c r="I2531" s="14"/>
      <c r="J2531" s="14"/>
      <c r="K2531" s="14"/>
      <c r="L2531" s="14"/>
      <c r="M2531" s="14"/>
      <c r="N2531" s="14"/>
      <c r="O2531" s="14"/>
      <c r="P2531" s="14"/>
      <c r="Q2531" s="14"/>
      <c r="R2531" s="14"/>
    </row>
    <row r="2532" spans="2:18" x14ac:dyDescent="0.35">
      <c r="B2532" s="17"/>
      <c r="C2532" s="13"/>
      <c r="D2532" s="14"/>
      <c r="E2532" s="14"/>
      <c r="F2532" s="14"/>
      <c r="G2532" s="14"/>
      <c r="H2532" s="14"/>
      <c r="I2532" s="14"/>
      <c r="J2532" s="14"/>
      <c r="K2532" s="14"/>
      <c r="L2532" s="14"/>
      <c r="M2532" s="14"/>
      <c r="N2532" s="14"/>
      <c r="O2532" s="14"/>
      <c r="P2532" s="14"/>
      <c r="Q2532" s="14"/>
      <c r="R2532" s="14"/>
    </row>
    <row r="2533" spans="2:18" x14ac:dyDescent="0.35">
      <c r="B2533" s="17"/>
      <c r="C2533" s="13"/>
      <c r="D2533" s="14"/>
      <c r="E2533" s="14"/>
      <c r="F2533" s="14"/>
      <c r="G2533" s="14"/>
      <c r="H2533" s="14"/>
      <c r="I2533" s="14"/>
      <c r="J2533" s="14"/>
      <c r="K2533" s="14"/>
      <c r="L2533" s="14"/>
      <c r="M2533" s="14"/>
      <c r="N2533" s="14"/>
      <c r="O2533" s="14"/>
      <c r="P2533" s="14"/>
      <c r="Q2533" s="14"/>
      <c r="R2533" s="14"/>
    </row>
    <row r="2534" spans="2:18" x14ac:dyDescent="0.35">
      <c r="B2534" s="17"/>
      <c r="C2534" s="13"/>
      <c r="D2534" s="14"/>
      <c r="E2534" s="14"/>
      <c r="F2534" s="14"/>
      <c r="G2534" s="14"/>
      <c r="H2534" s="14"/>
      <c r="I2534" s="14"/>
      <c r="J2534" s="14"/>
      <c r="K2534" s="14"/>
      <c r="L2534" s="14"/>
      <c r="M2534" s="14"/>
      <c r="N2534" s="14"/>
      <c r="O2534" s="14"/>
      <c r="P2534" s="14"/>
      <c r="Q2534" s="14"/>
      <c r="R2534" s="14"/>
    </row>
    <row r="2535" spans="2:18" x14ac:dyDescent="0.35">
      <c r="B2535" s="17"/>
      <c r="C2535" s="13"/>
      <c r="D2535" s="14"/>
      <c r="E2535" s="14"/>
      <c r="F2535" s="14"/>
      <c r="G2535" s="14"/>
      <c r="H2535" s="14"/>
      <c r="I2535" s="14"/>
      <c r="J2535" s="14"/>
      <c r="K2535" s="14"/>
      <c r="L2535" s="14"/>
      <c r="M2535" s="14"/>
      <c r="N2535" s="14"/>
      <c r="O2535" s="14"/>
      <c r="P2535" s="14"/>
      <c r="Q2535" s="14"/>
      <c r="R2535" s="14"/>
    </row>
    <row r="2536" spans="2:18" x14ac:dyDescent="0.35">
      <c r="B2536" s="17"/>
      <c r="C2536" s="13"/>
      <c r="D2536" s="14"/>
      <c r="E2536" s="14"/>
      <c r="F2536" s="14"/>
      <c r="G2536" s="14"/>
      <c r="H2536" s="14"/>
      <c r="I2536" s="14"/>
      <c r="J2536" s="14"/>
      <c r="K2536" s="14"/>
      <c r="L2536" s="14"/>
      <c r="M2536" s="14"/>
      <c r="N2536" s="14"/>
      <c r="O2536" s="14"/>
      <c r="P2536" s="14"/>
      <c r="Q2536" s="14"/>
      <c r="R2536" s="14"/>
    </row>
    <row r="2537" spans="2:18" x14ac:dyDescent="0.35">
      <c r="B2537" s="17"/>
      <c r="C2537" s="13"/>
      <c r="D2537" s="14"/>
      <c r="E2537" s="14"/>
      <c r="F2537" s="14"/>
      <c r="G2537" s="14"/>
      <c r="H2537" s="14"/>
      <c r="I2537" s="14"/>
      <c r="J2537" s="14"/>
      <c r="K2537" s="14"/>
      <c r="L2537" s="14"/>
      <c r="M2537" s="14"/>
      <c r="N2537" s="14"/>
      <c r="O2537" s="14"/>
      <c r="P2537" s="14"/>
      <c r="Q2537" s="14"/>
      <c r="R2537" s="14"/>
    </row>
    <row r="2538" spans="2:18" x14ac:dyDescent="0.35">
      <c r="B2538" s="17"/>
      <c r="C2538" s="13"/>
      <c r="D2538" s="14"/>
      <c r="E2538" s="14"/>
      <c r="F2538" s="14"/>
      <c r="G2538" s="14"/>
      <c r="H2538" s="14"/>
      <c r="I2538" s="14"/>
      <c r="J2538" s="14"/>
      <c r="K2538" s="14"/>
      <c r="L2538" s="14"/>
      <c r="M2538" s="14"/>
      <c r="N2538" s="14"/>
      <c r="O2538" s="14"/>
      <c r="P2538" s="14"/>
      <c r="Q2538" s="14"/>
      <c r="R2538" s="14"/>
    </row>
    <row r="2539" spans="2:18" x14ac:dyDescent="0.35">
      <c r="B2539" s="17"/>
      <c r="C2539" s="13"/>
      <c r="D2539" s="14"/>
      <c r="E2539" s="14"/>
      <c r="F2539" s="14"/>
      <c r="G2539" s="14"/>
      <c r="H2539" s="14"/>
      <c r="I2539" s="14"/>
      <c r="J2539" s="14"/>
      <c r="K2539" s="14"/>
      <c r="L2539" s="14"/>
      <c r="M2539" s="14"/>
      <c r="N2539" s="14"/>
      <c r="O2539" s="14"/>
      <c r="P2539" s="14"/>
      <c r="Q2539" s="14"/>
      <c r="R2539" s="14"/>
    </row>
    <row r="2540" spans="2:18" x14ac:dyDescent="0.35">
      <c r="B2540" s="17"/>
      <c r="C2540" s="13"/>
      <c r="D2540" s="14"/>
      <c r="E2540" s="14"/>
      <c r="F2540" s="14"/>
      <c r="G2540" s="14"/>
      <c r="H2540" s="14"/>
      <c r="I2540" s="14"/>
      <c r="J2540" s="14"/>
      <c r="K2540" s="14"/>
      <c r="L2540" s="14"/>
      <c r="M2540" s="14"/>
      <c r="N2540" s="14"/>
      <c r="O2540" s="14"/>
      <c r="P2540" s="14"/>
      <c r="Q2540" s="14"/>
      <c r="R2540" s="14"/>
    </row>
    <row r="2541" spans="2:18" x14ac:dyDescent="0.35">
      <c r="B2541" s="17"/>
      <c r="C2541" s="13"/>
      <c r="D2541" s="14"/>
      <c r="E2541" s="14"/>
      <c r="F2541" s="14"/>
      <c r="G2541" s="14"/>
      <c r="H2541" s="14"/>
      <c r="I2541" s="14"/>
      <c r="J2541" s="14"/>
      <c r="K2541" s="14"/>
      <c r="L2541" s="14"/>
      <c r="M2541" s="14"/>
      <c r="N2541" s="14"/>
      <c r="O2541" s="14"/>
      <c r="P2541" s="14"/>
      <c r="Q2541" s="14"/>
      <c r="R2541" s="14"/>
    </row>
    <row r="2542" spans="2:18" x14ac:dyDescent="0.35">
      <c r="B2542" s="17"/>
      <c r="C2542" s="13"/>
      <c r="D2542" s="14"/>
      <c r="E2542" s="14"/>
      <c r="F2542" s="14"/>
      <c r="G2542" s="14"/>
      <c r="H2542" s="14"/>
      <c r="I2542" s="14"/>
      <c r="J2542" s="14"/>
      <c r="K2542" s="14"/>
      <c r="L2542" s="14"/>
      <c r="M2542" s="14"/>
      <c r="N2542" s="14"/>
      <c r="O2542" s="14"/>
      <c r="P2542" s="14"/>
      <c r="Q2542" s="14"/>
      <c r="R2542" s="14"/>
    </row>
    <row r="2543" spans="2:18" x14ac:dyDescent="0.35">
      <c r="B2543" s="17"/>
      <c r="C2543" s="18"/>
      <c r="D2543" s="21"/>
      <c r="E2543" s="21"/>
      <c r="F2543" s="21"/>
      <c r="G2543" s="21"/>
      <c r="H2543" s="21"/>
      <c r="I2543" s="21"/>
      <c r="J2543" s="21"/>
      <c r="K2543" s="21"/>
      <c r="L2543" s="21"/>
      <c r="M2543" s="21"/>
      <c r="N2543" s="21"/>
      <c r="O2543" s="21"/>
      <c r="P2543" s="21"/>
      <c r="Q2543" s="21"/>
      <c r="R2543" s="21"/>
    </row>
    <row r="2544" spans="2:18" x14ac:dyDescent="0.35">
      <c r="B2544" s="17"/>
      <c r="C2544" s="18"/>
      <c r="D2544" s="21"/>
      <c r="E2544" s="21"/>
      <c r="F2544" s="21"/>
      <c r="G2544" s="21"/>
      <c r="H2544" s="21"/>
      <c r="I2544" s="21"/>
      <c r="J2544" s="21"/>
      <c r="K2544" s="21"/>
      <c r="L2544" s="21"/>
      <c r="M2544" s="21"/>
      <c r="N2544" s="21"/>
      <c r="O2544" s="21"/>
      <c r="P2544" s="21"/>
      <c r="Q2544" s="21"/>
      <c r="R2544" s="21"/>
    </row>
    <row r="2545" spans="2:18" x14ac:dyDescent="0.35">
      <c r="B2545" s="17"/>
      <c r="C2545" s="18"/>
      <c r="D2545" s="21"/>
      <c r="E2545" s="21"/>
      <c r="F2545" s="21"/>
      <c r="G2545" s="21"/>
      <c r="H2545" s="21"/>
      <c r="I2545" s="21"/>
      <c r="J2545" s="21"/>
      <c r="K2545" s="21"/>
      <c r="L2545" s="21"/>
      <c r="M2545" s="21"/>
      <c r="N2545" s="21"/>
      <c r="O2545" s="21"/>
      <c r="P2545" s="21"/>
      <c r="Q2545" s="21"/>
      <c r="R2545" s="21"/>
    </row>
    <row r="2546" spans="2:18" x14ac:dyDescent="0.35">
      <c r="B2546" s="17"/>
      <c r="C2546" s="18"/>
      <c r="D2546" s="21"/>
      <c r="E2546" s="21"/>
      <c r="F2546" s="21"/>
      <c r="G2546" s="21"/>
      <c r="H2546" s="21"/>
      <c r="I2546" s="21"/>
      <c r="J2546" s="21"/>
      <c r="K2546" s="21"/>
      <c r="L2546" s="21"/>
      <c r="M2546" s="21"/>
      <c r="N2546" s="21"/>
      <c r="O2546" s="21"/>
      <c r="P2546" s="21"/>
      <c r="Q2546" s="21"/>
      <c r="R2546" s="21"/>
    </row>
    <row r="2547" spans="2:18" x14ac:dyDescent="0.35">
      <c r="B2547" s="17"/>
      <c r="C2547" s="18"/>
      <c r="D2547" s="21"/>
      <c r="E2547" s="21"/>
      <c r="F2547" s="21"/>
      <c r="G2547" s="21"/>
      <c r="H2547" s="21"/>
      <c r="I2547" s="21"/>
      <c r="J2547" s="21"/>
      <c r="K2547" s="21"/>
      <c r="L2547" s="21"/>
      <c r="M2547" s="21"/>
      <c r="N2547" s="21"/>
      <c r="O2547" s="21"/>
      <c r="P2547" s="21"/>
      <c r="Q2547" s="21"/>
      <c r="R2547" s="21"/>
    </row>
    <row r="2548" spans="2:18" x14ac:dyDescent="0.35">
      <c r="B2548" s="17"/>
      <c r="C2548" s="18"/>
      <c r="D2548" s="21"/>
      <c r="E2548" s="21"/>
      <c r="F2548" s="21"/>
      <c r="G2548" s="21"/>
      <c r="H2548" s="21"/>
      <c r="I2548" s="21"/>
      <c r="J2548" s="21"/>
      <c r="K2548" s="21"/>
      <c r="L2548" s="21"/>
      <c r="M2548" s="21"/>
      <c r="N2548" s="21"/>
      <c r="O2548" s="21"/>
      <c r="P2548" s="21"/>
      <c r="Q2548" s="21"/>
      <c r="R2548" s="21"/>
    </row>
    <row r="2549" spans="2:18" x14ac:dyDescent="0.35">
      <c r="B2549" s="17"/>
      <c r="C2549" s="18"/>
      <c r="D2549" s="21"/>
      <c r="E2549" s="21"/>
      <c r="F2549" s="21"/>
      <c r="G2549" s="21"/>
      <c r="H2549" s="21"/>
      <c r="I2549" s="21"/>
      <c r="J2549" s="21"/>
      <c r="K2549" s="21"/>
      <c r="L2549" s="21"/>
      <c r="M2549" s="21"/>
      <c r="N2549" s="21"/>
      <c r="O2549" s="21"/>
      <c r="P2549" s="21"/>
      <c r="Q2549" s="21"/>
      <c r="R2549" s="21"/>
    </row>
    <row r="2550" spans="2:18" x14ac:dyDescent="0.35">
      <c r="B2550" s="17"/>
      <c r="C2550" s="18"/>
      <c r="D2550" s="21"/>
      <c r="E2550" s="21"/>
      <c r="F2550" s="21"/>
      <c r="G2550" s="21"/>
      <c r="H2550" s="21"/>
      <c r="I2550" s="21"/>
      <c r="J2550" s="21"/>
      <c r="K2550" s="21"/>
      <c r="L2550" s="21"/>
      <c r="M2550" s="21"/>
      <c r="N2550" s="21"/>
      <c r="O2550" s="21"/>
      <c r="P2550" s="21"/>
      <c r="Q2550" s="21"/>
      <c r="R2550" s="21"/>
    </row>
    <row r="2551" spans="2:18" x14ac:dyDescent="0.35">
      <c r="B2551" s="17"/>
      <c r="C2551" s="18"/>
      <c r="D2551" s="21"/>
      <c r="E2551" s="21"/>
      <c r="F2551" s="21"/>
      <c r="G2551" s="21"/>
      <c r="H2551" s="21"/>
      <c r="I2551" s="21"/>
      <c r="J2551" s="21"/>
      <c r="K2551" s="21"/>
      <c r="L2551" s="21"/>
      <c r="M2551" s="21"/>
      <c r="N2551" s="21"/>
      <c r="O2551" s="21"/>
      <c r="P2551" s="21"/>
      <c r="Q2551" s="21"/>
      <c r="R2551" s="21"/>
    </row>
    <row r="2552" spans="2:18" x14ac:dyDescent="0.35">
      <c r="B2552" s="17"/>
      <c r="C2552" s="18"/>
      <c r="D2552" s="21"/>
      <c r="E2552" s="21"/>
      <c r="F2552" s="21"/>
      <c r="G2552" s="21"/>
      <c r="H2552" s="21"/>
      <c r="I2552" s="21"/>
      <c r="J2552" s="21"/>
      <c r="K2552" s="21"/>
      <c r="L2552" s="21"/>
      <c r="M2552" s="21"/>
      <c r="N2552" s="21"/>
      <c r="O2552" s="21"/>
      <c r="P2552" s="21"/>
      <c r="Q2552" s="21"/>
      <c r="R2552" s="21"/>
    </row>
    <row r="2553" spans="2:18" x14ac:dyDescent="0.35">
      <c r="B2553" s="17"/>
      <c r="C2553" s="18"/>
      <c r="D2553" s="21"/>
      <c r="E2553" s="21"/>
      <c r="F2553" s="21"/>
      <c r="G2553" s="21"/>
      <c r="H2553" s="21"/>
      <c r="I2553" s="21"/>
      <c r="J2553" s="21"/>
      <c r="K2553" s="21"/>
      <c r="L2553" s="21"/>
      <c r="M2553" s="21"/>
      <c r="N2553" s="21"/>
      <c r="O2553" s="21"/>
      <c r="P2553" s="21"/>
      <c r="Q2553" s="21"/>
      <c r="R2553" s="21"/>
    </row>
    <row r="2554" spans="2:18" x14ac:dyDescent="0.35">
      <c r="B2554" s="17"/>
      <c r="C2554" s="18"/>
      <c r="D2554" s="21"/>
      <c r="E2554" s="21"/>
      <c r="F2554" s="21"/>
      <c r="G2554" s="21"/>
      <c r="H2554" s="21"/>
      <c r="I2554" s="21"/>
      <c r="J2554" s="21"/>
      <c r="K2554" s="21"/>
      <c r="L2554" s="21"/>
      <c r="M2554" s="21"/>
      <c r="N2554" s="21"/>
      <c r="O2554" s="21"/>
      <c r="P2554" s="21"/>
      <c r="Q2554" s="21"/>
      <c r="R2554" s="21"/>
    </row>
    <row r="2555" spans="2:18" x14ac:dyDescent="0.35">
      <c r="B2555" s="17"/>
      <c r="C2555" s="18"/>
      <c r="D2555" s="21"/>
      <c r="E2555" s="21"/>
      <c r="F2555" s="21"/>
      <c r="G2555" s="21"/>
      <c r="H2555" s="21"/>
      <c r="I2555" s="21"/>
      <c r="J2555" s="21"/>
      <c r="K2555" s="21"/>
      <c r="L2555" s="21"/>
      <c r="M2555" s="21"/>
      <c r="N2555" s="21"/>
      <c r="O2555" s="21"/>
      <c r="P2555" s="21"/>
      <c r="Q2555" s="21"/>
      <c r="R2555" s="21"/>
    </row>
    <row r="2556" spans="2:18" x14ac:dyDescent="0.35">
      <c r="B2556" s="17"/>
      <c r="C2556" s="18"/>
      <c r="D2556" s="21"/>
      <c r="E2556" s="21"/>
      <c r="F2556" s="21"/>
      <c r="G2556" s="21"/>
      <c r="H2556" s="21"/>
      <c r="I2556" s="21"/>
      <c r="J2556" s="21"/>
      <c r="K2556" s="21"/>
      <c r="L2556" s="21"/>
      <c r="M2556" s="21"/>
      <c r="N2556" s="21"/>
      <c r="O2556" s="21"/>
      <c r="P2556" s="21"/>
      <c r="Q2556" s="21"/>
      <c r="R2556" s="21"/>
    </row>
    <row r="2557" spans="2:18" x14ac:dyDescent="0.35">
      <c r="B2557" s="17"/>
      <c r="C2557" s="18"/>
      <c r="D2557" s="21"/>
      <c r="E2557" s="21"/>
      <c r="F2557" s="21"/>
      <c r="G2557" s="21"/>
      <c r="H2557" s="21"/>
      <c r="I2557" s="21"/>
      <c r="J2557" s="21"/>
      <c r="K2557" s="21"/>
      <c r="L2557" s="21"/>
      <c r="M2557" s="21"/>
      <c r="N2557" s="21"/>
      <c r="O2557" s="21"/>
      <c r="P2557" s="21"/>
      <c r="Q2557" s="21"/>
      <c r="R2557" s="21"/>
    </row>
    <row r="2558" spans="2:18" x14ac:dyDescent="0.35">
      <c r="B2558" s="17"/>
      <c r="C2558" s="18"/>
      <c r="D2558" s="21"/>
      <c r="E2558" s="21"/>
      <c r="F2558" s="21"/>
      <c r="G2558" s="21"/>
      <c r="H2558" s="21"/>
      <c r="I2558" s="21"/>
      <c r="J2558" s="21"/>
      <c r="K2558" s="21"/>
      <c r="L2558" s="21"/>
      <c r="M2558" s="21"/>
      <c r="N2558" s="21"/>
      <c r="O2558" s="21"/>
      <c r="P2558" s="21"/>
      <c r="Q2558" s="21"/>
      <c r="R2558" s="21"/>
    </row>
    <row r="2559" spans="2:18" x14ac:dyDescent="0.35">
      <c r="B2559" s="17"/>
      <c r="C2559" s="13"/>
      <c r="D2559" s="14"/>
      <c r="E2559" s="14"/>
      <c r="F2559" s="14"/>
      <c r="G2559" s="14"/>
      <c r="H2559" s="14"/>
      <c r="I2559" s="14"/>
      <c r="J2559" s="14"/>
      <c r="K2559" s="14"/>
      <c r="L2559" s="14"/>
      <c r="M2559" s="14"/>
      <c r="N2559" s="14"/>
      <c r="O2559" s="14"/>
      <c r="P2559" s="14"/>
      <c r="Q2559" s="14"/>
      <c r="R2559" s="14"/>
    </row>
    <row r="2560" spans="2:18" x14ac:dyDescent="0.35">
      <c r="B2560" s="17"/>
      <c r="C2560" s="13"/>
      <c r="D2560" s="14"/>
      <c r="E2560" s="14"/>
      <c r="F2560" s="14"/>
      <c r="G2560" s="14"/>
      <c r="H2560" s="14"/>
      <c r="I2560" s="14"/>
      <c r="J2560" s="14"/>
      <c r="K2560" s="14"/>
      <c r="L2560" s="14"/>
      <c r="M2560" s="14"/>
      <c r="N2560" s="14"/>
      <c r="O2560" s="14"/>
      <c r="P2560" s="14"/>
      <c r="Q2560" s="14"/>
      <c r="R2560" s="14"/>
    </row>
    <row r="2561" spans="1:18" x14ac:dyDescent="0.35">
      <c r="B2561" s="17"/>
      <c r="C2561" s="13"/>
      <c r="D2561" s="14"/>
      <c r="E2561" s="14"/>
      <c r="F2561" s="14"/>
      <c r="G2561" s="14"/>
      <c r="H2561" s="14"/>
      <c r="I2561" s="14"/>
      <c r="J2561" s="14"/>
      <c r="K2561" s="14"/>
      <c r="L2561" s="14"/>
      <c r="M2561" s="14"/>
      <c r="N2561" s="14"/>
      <c r="O2561" s="14"/>
      <c r="P2561" s="14"/>
      <c r="Q2561" s="14"/>
      <c r="R2561" s="14"/>
    </row>
    <row r="2562" spans="1:18" x14ac:dyDescent="0.35">
      <c r="B2562" s="17"/>
      <c r="C2562" s="13"/>
      <c r="D2562" s="14"/>
      <c r="E2562" s="14"/>
      <c r="F2562" s="14"/>
      <c r="G2562" s="14"/>
      <c r="H2562" s="14"/>
      <c r="I2562" s="14"/>
      <c r="J2562" s="14"/>
      <c r="K2562" s="14"/>
      <c r="L2562" s="14"/>
      <c r="M2562" s="14"/>
      <c r="N2562" s="14"/>
      <c r="O2562" s="14"/>
      <c r="P2562" s="14"/>
      <c r="Q2562" s="14"/>
      <c r="R2562" s="14"/>
    </row>
    <row r="2563" spans="1:18" x14ac:dyDescent="0.35">
      <c r="B2563" s="17"/>
      <c r="C2563" s="13"/>
      <c r="D2563" s="14"/>
      <c r="E2563" s="14"/>
      <c r="F2563" s="14"/>
      <c r="G2563" s="14"/>
      <c r="H2563" s="14"/>
      <c r="I2563" s="14"/>
      <c r="J2563" s="14"/>
      <c r="K2563" s="14"/>
      <c r="L2563" s="14"/>
      <c r="M2563" s="14"/>
      <c r="N2563" s="14"/>
      <c r="O2563" s="14"/>
      <c r="P2563" s="14"/>
      <c r="Q2563" s="14"/>
      <c r="R2563" s="14"/>
    </row>
    <row r="2564" spans="1:18" x14ac:dyDescent="0.35">
      <c r="B2564" s="17"/>
      <c r="C2564" s="13"/>
      <c r="D2564" s="14"/>
      <c r="E2564" s="14"/>
      <c r="F2564" s="14"/>
      <c r="G2564" s="14"/>
      <c r="H2564" s="14"/>
      <c r="I2564" s="14"/>
      <c r="J2564" s="14"/>
      <c r="K2564" s="14"/>
      <c r="L2564" s="14"/>
      <c r="M2564" s="14"/>
      <c r="N2564" s="14"/>
      <c r="O2564" s="14"/>
      <c r="P2564" s="14"/>
      <c r="Q2564" s="14"/>
      <c r="R2564" s="14"/>
    </row>
    <row r="2565" spans="1:18" x14ac:dyDescent="0.35">
      <c r="B2565" s="17"/>
      <c r="C2565" s="13"/>
      <c r="D2565" s="14"/>
      <c r="E2565" s="14"/>
      <c r="F2565" s="14"/>
      <c r="G2565" s="14"/>
      <c r="H2565" s="14"/>
      <c r="I2565" s="14"/>
      <c r="J2565" s="14"/>
      <c r="K2565" s="14"/>
      <c r="L2565" s="14"/>
      <c r="M2565" s="14"/>
      <c r="N2565" s="14"/>
      <c r="O2565" s="14"/>
      <c r="P2565" s="14"/>
      <c r="Q2565" s="14"/>
      <c r="R2565" s="14"/>
    </row>
    <row r="2566" spans="1:18" x14ac:dyDescent="0.35">
      <c r="A2566" s="20"/>
      <c r="B2566" s="17"/>
      <c r="C2566" s="18"/>
      <c r="D2566" s="21"/>
      <c r="E2566" s="21"/>
      <c r="F2566" s="21"/>
      <c r="G2566" s="21"/>
      <c r="H2566" s="21"/>
      <c r="I2566" s="21"/>
      <c r="J2566" s="21"/>
      <c r="K2566" s="21"/>
      <c r="L2566" s="21"/>
      <c r="M2566" s="21"/>
      <c r="N2566" s="21"/>
      <c r="O2566" s="21"/>
      <c r="P2566" s="21"/>
      <c r="Q2566" s="21"/>
      <c r="R2566" s="21"/>
    </row>
    <row r="2567" spans="1:18" x14ac:dyDescent="0.35">
      <c r="A2567" s="20"/>
      <c r="B2567" s="17"/>
      <c r="C2567" s="18"/>
      <c r="D2567" s="21"/>
      <c r="E2567" s="21"/>
      <c r="F2567" s="21"/>
      <c r="G2567" s="21"/>
      <c r="H2567" s="21"/>
      <c r="I2567" s="21"/>
      <c r="J2567" s="21"/>
      <c r="K2567" s="21"/>
      <c r="L2567" s="21"/>
      <c r="M2567" s="21"/>
      <c r="N2567" s="21"/>
      <c r="O2567" s="21"/>
      <c r="P2567" s="21"/>
      <c r="Q2567" s="21"/>
      <c r="R2567" s="21"/>
    </row>
    <row r="2568" spans="1:18" x14ac:dyDescent="0.35">
      <c r="A2568" s="20"/>
      <c r="B2568" s="17"/>
      <c r="C2568" s="18"/>
      <c r="D2568" s="21"/>
      <c r="E2568" s="21"/>
      <c r="F2568" s="21"/>
      <c r="G2568" s="21"/>
      <c r="H2568" s="21"/>
      <c r="I2568" s="21"/>
      <c r="J2568" s="21"/>
      <c r="K2568" s="21"/>
      <c r="L2568" s="21"/>
      <c r="M2568" s="21"/>
      <c r="N2568" s="21"/>
      <c r="O2568" s="21"/>
      <c r="P2568" s="21"/>
      <c r="Q2568" s="21"/>
      <c r="R2568" s="21"/>
    </row>
    <row r="2569" spans="1:18" x14ac:dyDescent="0.35">
      <c r="A2569" s="20"/>
      <c r="B2569" s="17"/>
      <c r="C2569" s="18"/>
      <c r="D2569" s="21"/>
      <c r="E2569" s="21"/>
      <c r="F2569" s="21"/>
      <c r="G2569" s="21"/>
      <c r="H2569" s="21"/>
      <c r="I2569" s="21"/>
      <c r="J2569" s="21"/>
      <c r="K2569" s="21"/>
      <c r="L2569" s="21"/>
      <c r="M2569" s="21"/>
      <c r="N2569" s="21"/>
      <c r="O2569" s="21"/>
      <c r="P2569" s="21"/>
      <c r="Q2569" s="21"/>
      <c r="R2569" s="21"/>
    </row>
    <row r="2570" spans="1:18" x14ac:dyDescent="0.35">
      <c r="A2570" s="20"/>
      <c r="B2570" s="17"/>
      <c r="C2570" s="18"/>
      <c r="D2570" s="21"/>
      <c r="E2570" s="21"/>
      <c r="F2570" s="21"/>
      <c r="G2570" s="21"/>
      <c r="H2570" s="21"/>
      <c r="I2570" s="21"/>
      <c r="J2570" s="21"/>
      <c r="K2570" s="21"/>
      <c r="L2570" s="21"/>
      <c r="M2570" s="21"/>
      <c r="N2570" s="21"/>
      <c r="O2570" s="21"/>
      <c r="P2570" s="21"/>
      <c r="Q2570" s="21"/>
      <c r="R2570" s="21"/>
    </row>
    <row r="2571" spans="1:18" x14ac:dyDescent="0.35">
      <c r="A2571" s="20"/>
      <c r="B2571" s="17"/>
      <c r="C2571" s="19"/>
      <c r="D2571" s="21"/>
      <c r="E2571" s="21"/>
      <c r="F2571" s="21"/>
      <c r="G2571" s="21"/>
      <c r="H2571" s="21"/>
      <c r="I2571" s="21"/>
      <c r="J2571" s="21"/>
      <c r="K2571" s="21"/>
      <c r="L2571" s="21"/>
      <c r="M2571" s="21"/>
      <c r="N2571" s="21"/>
      <c r="O2571" s="21"/>
      <c r="P2571" s="21"/>
      <c r="Q2571" s="21"/>
      <c r="R2571" s="21"/>
    </row>
    <row r="2572" spans="1:18" x14ac:dyDescent="0.35">
      <c r="A2572" s="20"/>
      <c r="B2572" s="17"/>
      <c r="C2572" s="19"/>
      <c r="D2572" s="21"/>
      <c r="E2572" s="21"/>
      <c r="F2572" s="21"/>
      <c r="G2572" s="21"/>
      <c r="H2572" s="21"/>
      <c r="I2572" s="21"/>
      <c r="J2572" s="21"/>
      <c r="K2572" s="21"/>
      <c r="L2572" s="21"/>
      <c r="M2572" s="21"/>
      <c r="N2572" s="21"/>
      <c r="O2572" s="21"/>
      <c r="P2572" s="21"/>
      <c r="Q2572" s="21"/>
      <c r="R2572" s="21"/>
    </row>
    <row r="2573" spans="1:18" x14ac:dyDescent="0.35">
      <c r="A2573" s="20"/>
      <c r="B2573" s="17"/>
      <c r="C2573" s="19"/>
      <c r="D2573" s="21"/>
      <c r="E2573" s="21"/>
      <c r="F2573" s="21"/>
      <c r="G2573" s="21"/>
      <c r="H2573" s="21"/>
      <c r="I2573" s="21"/>
      <c r="J2573" s="21"/>
      <c r="K2573" s="21"/>
      <c r="L2573" s="21"/>
      <c r="M2573" s="21"/>
      <c r="N2573" s="21"/>
      <c r="O2573" s="21"/>
      <c r="P2573" s="21"/>
      <c r="Q2573" s="21"/>
      <c r="R2573" s="21"/>
    </row>
    <row r="2574" spans="1:18" x14ac:dyDescent="0.35">
      <c r="A2574" s="20"/>
      <c r="B2574" s="17"/>
      <c r="C2574" s="19"/>
      <c r="D2574" s="21"/>
      <c r="E2574" s="21"/>
      <c r="F2574" s="21"/>
      <c r="G2574" s="21"/>
      <c r="H2574" s="21"/>
      <c r="I2574" s="21"/>
      <c r="J2574" s="21"/>
      <c r="K2574" s="21"/>
      <c r="L2574" s="21"/>
      <c r="M2574" s="21"/>
      <c r="N2574" s="21"/>
      <c r="O2574" s="21"/>
      <c r="P2574" s="21"/>
      <c r="Q2574" s="21"/>
      <c r="R2574" s="21"/>
    </row>
    <row r="2575" spans="1:18" x14ac:dyDescent="0.35">
      <c r="A2575" s="20"/>
      <c r="B2575" s="17"/>
      <c r="C2575" s="13"/>
      <c r="D2575" s="14"/>
      <c r="E2575" s="14"/>
      <c r="F2575" s="14"/>
      <c r="G2575" s="14"/>
      <c r="H2575" s="14"/>
      <c r="I2575" s="14"/>
      <c r="J2575" s="14"/>
      <c r="K2575" s="14"/>
      <c r="L2575" s="14"/>
      <c r="M2575" s="14"/>
      <c r="N2575" s="14"/>
      <c r="O2575" s="14"/>
      <c r="P2575" s="14"/>
      <c r="Q2575" s="14"/>
      <c r="R2575" s="14"/>
    </row>
    <row r="2576" spans="1:18" x14ac:dyDescent="0.35">
      <c r="A2576" s="20"/>
      <c r="B2576" s="17"/>
      <c r="C2576" s="13"/>
      <c r="D2576" s="14"/>
      <c r="E2576" s="14"/>
      <c r="F2576" s="14"/>
      <c r="G2576" s="14"/>
      <c r="H2576" s="14"/>
      <c r="I2576" s="14"/>
      <c r="J2576" s="14"/>
      <c r="K2576" s="14"/>
      <c r="L2576" s="14"/>
      <c r="M2576" s="14"/>
      <c r="N2576" s="14"/>
      <c r="O2576" s="14"/>
      <c r="P2576" s="14"/>
      <c r="Q2576" s="14"/>
      <c r="R2576" s="14"/>
    </row>
    <row r="2577" spans="1:18" x14ac:dyDescent="0.35">
      <c r="A2577" s="20"/>
      <c r="B2577" s="17"/>
      <c r="C2577" s="13"/>
      <c r="D2577" s="14"/>
      <c r="E2577" s="14"/>
      <c r="F2577" s="14"/>
      <c r="G2577" s="14"/>
      <c r="H2577" s="14"/>
      <c r="I2577" s="14"/>
      <c r="J2577" s="14"/>
      <c r="K2577" s="14"/>
      <c r="L2577" s="14"/>
      <c r="M2577" s="14"/>
      <c r="N2577" s="14"/>
      <c r="O2577" s="14"/>
      <c r="P2577" s="14"/>
      <c r="Q2577" s="14"/>
      <c r="R2577" s="14"/>
    </row>
    <row r="2578" spans="1:18" x14ac:dyDescent="0.35">
      <c r="A2578" s="20"/>
      <c r="B2578" s="17"/>
      <c r="C2578" s="13"/>
      <c r="D2578" s="14"/>
      <c r="E2578" s="14"/>
      <c r="F2578" s="14"/>
      <c r="G2578" s="14"/>
      <c r="H2578" s="14"/>
      <c r="I2578" s="14"/>
      <c r="J2578" s="14"/>
      <c r="K2578" s="14"/>
      <c r="L2578" s="14"/>
      <c r="M2578" s="14"/>
      <c r="N2578" s="14"/>
      <c r="O2578" s="14"/>
      <c r="P2578" s="14"/>
      <c r="Q2578" s="14"/>
      <c r="R2578" s="14"/>
    </row>
    <row r="2579" spans="1:18" x14ac:dyDescent="0.35">
      <c r="A2579" s="20"/>
      <c r="B2579" s="17"/>
      <c r="C2579" s="13"/>
      <c r="D2579" s="14"/>
      <c r="E2579" s="14"/>
      <c r="F2579" s="14"/>
      <c r="G2579" s="14"/>
      <c r="H2579" s="14"/>
      <c r="I2579" s="14"/>
      <c r="J2579" s="14"/>
      <c r="K2579" s="14"/>
      <c r="L2579" s="14"/>
      <c r="M2579" s="14"/>
      <c r="N2579" s="14"/>
      <c r="O2579" s="14"/>
      <c r="P2579" s="14"/>
      <c r="Q2579" s="14"/>
      <c r="R2579" s="14"/>
    </row>
    <row r="2580" spans="1:18" x14ac:dyDescent="0.35">
      <c r="A2580" s="20"/>
      <c r="B2580" s="17"/>
      <c r="C2580" s="13"/>
      <c r="D2580" s="14"/>
      <c r="E2580" s="14"/>
      <c r="F2580" s="14"/>
      <c r="G2580" s="14"/>
      <c r="H2580" s="14"/>
      <c r="I2580" s="14"/>
      <c r="J2580" s="14"/>
      <c r="K2580" s="14"/>
      <c r="L2580" s="14"/>
      <c r="M2580" s="14"/>
      <c r="N2580" s="14"/>
      <c r="O2580" s="14"/>
      <c r="P2580" s="14"/>
      <c r="Q2580" s="14"/>
      <c r="R2580" s="14"/>
    </row>
    <row r="2581" spans="1:18" x14ac:dyDescent="0.35">
      <c r="A2581" s="20"/>
      <c r="B2581" s="17"/>
      <c r="C2581" s="13"/>
      <c r="D2581" s="14"/>
      <c r="E2581" s="14"/>
      <c r="F2581" s="14"/>
      <c r="G2581" s="14"/>
      <c r="H2581" s="14"/>
      <c r="I2581" s="14"/>
      <c r="J2581" s="14"/>
      <c r="K2581" s="14"/>
      <c r="L2581" s="14"/>
      <c r="M2581" s="14"/>
      <c r="N2581" s="14"/>
      <c r="O2581" s="14"/>
      <c r="P2581" s="14"/>
      <c r="Q2581" s="14"/>
      <c r="R2581" s="14"/>
    </row>
    <row r="2582" spans="1:18" x14ac:dyDescent="0.35">
      <c r="A2582" s="20"/>
      <c r="B2582" s="17"/>
      <c r="C2582" s="13"/>
      <c r="D2582" s="14"/>
      <c r="E2582" s="14"/>
      <c r="F2582" s="14"/>
      <c r="G2582" s="14"/>
      <c r="H2582" s="14"/>
      <c r="I2582" s="14"/>
      <c r="J2582" s="14"/>
      <c r="K2582" s="14"/>
      <c r="L2582" s="14"/>
      <c r="M2582" s="14"/>
      <c r="N2582" s="14"/>
      <c r="O2582" s="14"/>
      <c r="P2582" s="14"/>
      <c r="Q2582" s="14"/>
      <c r="R2582" s="14"/>
    </row>
    <row r="2583" spans="1:18" x14ac:dyDescent="0.35">
      <c r="A2583" s="20"/>
      <c r="B2583" s="17"/>
      <c r="C2583" s="13"/>
      <c r="D2583" s="14"/>
      <c r="E2583" s="14"/>
      <c r="F2583" s="14"/>
      <c r="G2583" s="14"/>
      <c r="H2583" s="14"/>
      <c r="I2583" s="14"/>
      <c r="J2583" s="14"/>
      <c r="K2583" s="14"/>
      <c r="L2583" s="14"/>
      <c r="M2583" s="14"/>
      <c r="N2583" s="14"/>
      <c r="O2583" s="14"/>
      <c r="P2583" s="14"/>
      <c r="Q2583" s="14"/>
      <c r="R2583" s="14"/>
    </row>
    <row r="2584" spans="1:18" x14ac:dyDescent="0.35">
      <c r="A2584" s="20"/>
      <c r="B2584" s="17"/>
      <c r="C2584" s="13"/>
      <c r="D2584" s="14"/>
      <c r="E2584" s="14"/>
      <c r="F2584" s="14"/>
      <c r="G2584" s="14"/>
      <c r="H2584" s="14"/>
      <c r="I2584" s="14"/>
      <c r="J2584" s="14"/>
      <c r="K2584" s="14"/>
      <c r="L2584" s="14"/>
      <c r="M2584" s="14"/>
      <c r="N2584" s="14"/>
      <c r="O2584" s="14"/>
      <c r="P2584" s="14"/>
      <c r="Q2584" s="14"/>
      <c r="R2584" s="14"/>
    </row>
    <row r="2585" spans="1:18" x14ac:dyDescent="0.35">
      <c r="A2585" s="20"/>
      <c r="B2585" s="17"/>
      <c r="C2585" s="13"/>
      <c r="D2585" s="14"/>
      <c r="E2585" s="14"/>
      <c r="F2585" s="14"/>
      <c r="G2585" s="14"/>
      <c r="H2585" s="14"/>
      <c r="I2585" s="14"/>
      <c r="J2585" s="14"/>
      <c r="K2585" s="14"/>
      <c r="L2585" s="14"/>
      <c r="M2585" s="14"/>
      <c r="N2585" s="14"/>
      <c r="O2585" s="14"/>
      <c r="P2585" s="14"/>
      <c r="Q2585" s="14"/>
      <c r="R2585" s="14"/>
    </row>
    <row r="2586" spans="1:18" x14ac:dyDescent="0.35">
      <c r="A2586" s="20"/>
      <c r="B2586" s="17"/>
      <c r="C2586" s="13"/>
      <c r="D2586" s="14"/>
      <c r="E2586" s="14"/>
      <c r="F2586" s="14"/>
      <c r="G2586" s="14"/>
      <c r="H2586" s="14"/>
      <c r="I2586" s="14"/>
      <c r="J2586" s="14"/>
      <c r="K2586" s="14"/>
      <c r="L2586" s="14"/>
      <c r="M2586" s="14"/>
      <c r="N2586" s="14"/>
      <c r="O2586" s="14"/>
      <c r="P2586" s="14"/>
      <c r="Q2586" s="14"/>
      <c r="R2586" s="14"/>
    </row>
    <row r="2587" spans="1:18" x14ac:dyDescent="0.35">
      <c r="A2587" s="20"/>
      <c r="B2587" s="17"/>
      <c r="C2587" s="13"/>
      <c r="D2587" s="14"/>
      <c r="E2587" s="14"/>
      <c r="F2587" s="14"/>
      <c r="G2587" s="14"/>
      <c r="H2587" s="14"/>
      <c r="I2587" s="14"/>
      <c r="J2587" s="14"/>
      <c r="K2587" s="14"/>
      <c r="L2587" s="14"/>
      <c r="M2587" s="14"/>
      <c r="N2587" s="14"/>
      <c r="O2587" s="14"/>
      <c r="P2587" s="14"/>
      <c r="Q2587" s="14"/>
      <c r="R2587" s="14"/>
    </row>
    <row r="2588" spans="1:18" x14ac:dyDescent="0.35">
      <c r="A2588" s="20"/>
      <c r="B2588" s="17"/>
      <c r="C2588" s="13"/>
      <c r="D2588" s="14"/>
      <c r="E2588" s="14"/>
      <c r="F2588" s="14"/>
      <c r="G2588" s="14"/>
      <c r="H2588" s="14"/>
      <c r="I2588" s="14"/>
      <c r="J2588" s="14"/>
      <c r="K2588" s="14"/>
      <c r="L2588" s="14"/>
      <c r="M2588" s="14"/>
      <c r="N2588" s="14"/>
      <c r="O2588" s="14"/>
      <c r="P2588" s="14"/>
      <c r="Q2588" s="14"/>
      <c r="R2588" s="14"/>
    </row>
    <row r="2589" spans="1:18" x14ac:dyDescent="0.35">
      <c r="A2589" s="20"/>
      <c r="B2589" s="17"/>
      <c r="C2589" s="13"/>
      <c r="D2589" s="14"/>
      <c r="E2589" s="14"/>
      <c r="F2589" s="14"/>
      <c r="G2589" s="14"/>
      <c r="H2589" s="14"/>
      <c r="I2589" s="14"/>
      <c r="J2589" s="14"/>
      <c r="K2589" s="14"/>
      <c r="L2589" s="14"/>
      <c r="M2589" s="14"/>
      <c r="N2589" s="14"/>
      <c r="O2589" s="14"/>
      <c r="P2589" s="14"/>
      <c r="Q2589" s="14"/>
      <c r="R2589" s="14"/>
    </row>
    <row r="2590" spans="1:18" x14ac:dyDescent="0.35">
      <c r="A2590" s="20"/>
      <c r="B2590" s="17"/>
      <c r="C2590" s="18"/>
      <c r="D2590" s="21"/>
      <c r="E2590" s="21"/>
      <c r="F2590" s="21"/>
      <c r="G2590" s="21"/>
      <c r="H2590" s="21"/>
      <c r="I2590" s="21"/>
      <c r="J2590" s="21"/>
      <c r="K2590" s="21"/>
      <c r="L2590" s="21"/>
      <c r="M2590" s="21"/>
      <c r="N2590" s="21"/>
      <c r="O2590" s="21"/>
      <c r="P2590" s="21"/>
      <c r="Q2590" s="21"/>
      <c r="R2590" s="21"/>
    </row>
    <row r="2591" spans="1:18" x14ac:dyDescent="0.35">
      <c r="A2591" s="20"/>
      <c r="B2591" s="17"/>
      <c r="C2591" s="18"/>
      <c r="D2591" s="21"/>
      <c r="E2591" s="21"/>
      <c r="F2591" s="21"/>
      <c r="G2591" s="21"/>
      <c r="H2591" s="21"/>
      <c r="I2591" s="21"/>
      <c r="J2591" s="21"/>
      <c r="K2591" s="21"/>
      <c r="L2591" s="21"/>
      <c r="M2591" s="21"/>
      <c r="N2591" s="21"/>
      <c r="O2591" s="21"/>
      <c r="P2591" s="21"/>
      <c r="Q2591" s="21"/>
      <c r="R2591" s="21"/>
    </row>
    <row r="2592" spans="1:18" x14ac:dyDescent="0.35">
      <c r="A2592" s="20"/>
      <c r="B2592" s="17"/>
      <c r="C2592" s="18"/>
      <c r="D2592" s="21"/>
      <c r="E2592" s="21"/>
      <c r="F2592" s="21"/>
      <c r="G2592" s="21"/>
      <c r="H2592" s="21"/>
      <c r="I2592" s="21"/>
      <c r="J2592" s="21"/>
      <c r="K2592" s="21"/>
      <c r="L2592" s="21"/>
      <c r="M2592" s="21"/>
      <c r="N2592" s="21"/>
      <c r="O2592" s="21"/>
      <c r="P2592" s="21"/>
      <c r="Q2592" s="21"/>
      <c r="R2592" s="21"/>
    </row>
    <row r="2593" spans="1:18" x14ac:dyDescent="0.35">
      <c r="A2593" s="20"/>
      <c r="B2593" s="17"/>
      <c r="C2593" s="18"/>
      <c r="D2593" s="21"/>
      <c r="E2593" s="21"/>
      <c r="F2593" s="21"/>
      <c r="G2593" s="21"/>
      <c r="H2593" s="21"/>
      <c r="I2593" s="21"/>
      <c r="J2593" s="21"/>
      <c r="K2593" s="21"/>
      <c r="L2593" s="21"/>
      <c r="M2593" s="21"/>
      <c r="N2593" s="21"/>
      <c r="O2593" s="21"/>
      <c r="P2593" s="21"/>
      <c r="Q2593" s="21"/>
      <c r="R2593" s="21"/>
    </row>
    <row r="2594" spans="1:18" x14ac:dyDescent="0.35">
      <c r="A2594" s="20"/>
      <c r="B2594" s="17"/>
      <c r="C2594" s="18"/>
      <c r="D2594" s="21"/>
      <c r="E2594" s="21"/>
      <c r="F2594" s="21"/>
      <c r="G2594" s="21"/>
      <c r="H2594" s="21"/>
      <c r="I2594" s="21"/>
      <c r="J2594" s="21"/>
      <c r="K2594" s="21"/>
      <c r="L2594" s="21"/>
      <c r="M2594" s="21"/>
      <c r="N2594" s="21"/>
      <c r="O2594" s="21"/>
      <c r="P2594" s="21"/>
      <c r="Q2594" s="21"/>
      <c r="R2594" s="21"/>
    </row>
    <row r="2595" spans="1:18" x14ac:dyDescent="0.35">
      <c r="A2595" s="20"/>
      <c r="B2595" s="17"/>
      <c r="C2595" s="18"/>
      <c r="D2595" s="21"/>
      <c r="E2595" s="21"/>
      <c r="F2595" s="21"/>
      <c r="G2595" s="21"/>
      <c r="H2595" s="21"/>
      <c r="I2595" s="21"/>
      <c r="J2595" s="21"/>
      <c r="K2595" s="21"/>
      <c r="L2595" s="21"/>
      <c r="M2595" s="21"/>
      <c r="N2595" s="21"/>
      <c r="O2595" s="21"/>
      <c r="P2595" s="21"/>
      <c r="Q2595" s="21"/>
      <c r="R2595" s="21"/>
    </row>
    <row r="2596" spans="1:18" x14ac:dyDescent="0.35">
      <c r="A2596" s="20"/>
      <c r="B2596" s="17"/>
      <c r="C2596" s="18"/>
      <c r="D2596" s="21"/>
      <c r="E2596" s="21"/>
      <c r="F2596" s="21"/>
      <c r="G2596" s="21"/>
      <c r="H2596" s="21"/>
      <c r="I2596" s="21"/>
      <c r="J2596" s="21"/>
      <c r="K2596" s="21"/>
      <c r="L2596" s="21"/>
      <c r="M2596" s="21"/>
      <c r="N2596" s="21"/>
      <c r="O2596" s="21"/>
      <c r="P2596" s="21"/>
      <c r="Q2596" s="21"/>
      <c r="R2596" s="21"/>
    </row>
    <row r="2597" spans="1:18" x14ac:dyDescent="0.35">
      <c r="A2597" s="20"/>
      <c r="B2597" s="17"/>
      <c r="C2597" s="18"/>
      <c r="D2597" s="21"/>
      <c r="E2597" s="21"/>
      <c r="F2597" s="21"/>
      <c r="G2597" s="21"/>
      <c r="H2597" s="21"/>
      <c r="I2597" s="21"/>
      <c r="J2597" s="21"/>
      <c r="K2597" s="21"/>
      <c r="L2597" s="21"/>
      <c r="M2597" s="21"/>
      <c r="N2597" s="21"/>
      <c r="O2597" s="21"/>
      <c r="P2597" s="21"/>
      <c r="Q2597" s="21"/>
      <c r="R2597" s="21"/>
    </row>
    <row r="2598" spans="1:18" x14ac:dyDescent="0.35">
      <c r="A2598" s="20"/>
      <c r="B2598" s="17"/>
      <c r="C2598" s="18"/>
      <c r="D2598" s="21"/>
      <c r="E2598" s="21"/>
      <c r="F2598" s="21"/>
      <c r="G2598" s="21"/>
      <c r="H2598" s="21"/>
      <c r="I2598" s="21"/>
      <c r="J2598" s="21"/>
      <c r="K2598" s="21"/>
      <c r="L2598" s="21"/>
      <c r="M2598" s="21"/>
      <c r="N2598" s="21"/>
      <c r="O2598" s="21"/>
      <c r="P2598" s="21"/>
      <c r="Q2598" s="21"/>
      <c r="R2598" s="21"/>
    </row>
    <row r="2599" spans="1:18" x14ac:dyDescent="0.35">
      <c r="A2599" s="20"/>
      <c r="B2599" s="17"/>
      <c r="C2599" s="18"/>
      <c r="D2599" s="21"/>
      <c r="E2599" s="21"/>
      <c r="F2599" s="21"/>
      <c r="G2599" s="21"/>
      <c r="H2599" s="21"/>
      <c r="I2599" s="21"/>
      <c r="J2599" s="21"/>
      <c r="K2599" s="21"/>
      <c r="L2599" s="21"/>
      <c r="M2599" s="21"/>
      <c r="N2599" s="21"/>
      <c r="O2599" s="21"/>
      <c r="P2599" s="21"/>
      <c r="Q2599" s="21"/>
      <c r="R2599" s="21"/>
    </row>
    <row r="2600" spans="1:18" x14ac:dyDescent="0.35">
      <c r="A2600" s="20"/>
      <c r="B2600" s="17"/>
      <c r="C2600" s="18"/>
      <c r="D2600" s="21"/>
      <c r="E2600" s="21"/>
      <c r="F2600" s="21"/>
      <c r="G2600" s="21"/>
      <c r="H2600" s="21"/>
      <c r="I2600" s="21"/>
      <c r="J2600" s="21"/>
      <c r="K2600" s="21"/>
      <c r="L2600" s="21"/>
      <c r="M2600" s="21"/>
      <c r="N2600" s="21"/>
      <c r="O2600" s="21"/>
      <c r="P2600" s="21"/>
      <c r="Q2600" s="21"/>
      <c r="R2600" s="21"/>
    </row>
    <row r="2601" spans="1:18" x14ac:dyDescent="0.35">
      <c r="A2601" s="20"/>
      <c r="B2601" s="17"/>
      <c r="C2601" s="18"/>
      <c r="D2601" s="21"/>
      <c r="E2601" s="21"/>
      <c r="F2601" s="21"/>
      <c r="G2601" s="21"/>
      <c r="H2601" s="21"/>
      <c r="I2601" s="21"/>
      <c r="J2601" s="21"/>
      <c r="K2601" s="21"/>
      <c r="L2601" s="21"/>
      <c r="M2601" s="21"/>
      <c r="N2601" s="21"/>
      <c r="O2601" s="21"/>
      <c r="P2601" s="21"/>
      <c r="Q2601" s="21"/>
      <c r="R2601" s="21"/>
    </row>
    <row r="2602" spans="1:18" x14ac:dyDescent="0.35">
      <c r="A2602" s="20"/>
      <c r="B2602" s="17"/>
      <c r="C2602" s="18"/>
      <c r="D2602" s="21"/>
      <c r="E2602" s="21"/>
      <c r="F2602" s="21"/>
      <c r="G2602" s="21"/>
      <c r="H2602" s="21"/>
      <c r="I2602" s="21"/>
      <c r="J2602" s="21"/>
      <c r="K2602" s="21"/>
      <c r="L2602" s="21"/>
      <c r="M2602" s="21"/>
      <c r="N2602" s="21"/>
      <c r="O2602" s="21"/>
      <c r="P2602" s="21"/>
      <c r="Q2602" s="21"/>
      <c r="R2602" s="21"/>
    </row>
    <row r="2603" spans="1:18" x14ac:dyDescent="0.35">
      <c r="A2603" s="20"/>
      <c r="B2603" s="17"/>
      <c r="C2603" s="18"/>
      <c r="D2603" s="21"/>
      <c r="E2603" s="21"/>
      <c r="F2603" s="21"/>
      <c r="G2603" s="21"/>
      <c r="H2603" s="21"/>
      <c r="I2603" s="21"/>
      <c r="J2603" s="21"/>
      <c r="K2603" s="21"/>
      <c r="L2603" s="21"/>
      <c r="M2603" s="21"/>
      <c r="N2603" s="21"/>
      <c r="O2603" s="21"/>
      <c r="P2603" s="21"/>
      <c r="Q2603" s="21"/>
      <c r="R2603" s="21"/>
    </row>
    <row r="2604" spans="1:18" x14ac:dyDescent="0.35">
      <c r="A2604" s="20"/>
      <c r="B2604" s="17"/>
      <c r="C2604" s="18"/>
      <c r="D2604" s="21"/>
      <c r="E2604" s="21"/>
      <c r="F2604" s="21"/>
      <c r="G2604" s="21"/>
      <c r="H2604" s="21"/>
      <c r="I2604" s="21"/>
      <c r="J2604" s="21"/>
      <c r="K2604" s="21"/>
      <c r="L2604" s="21"/>
      <c r="M2604" s="21"/>
      <c r="N2604" s="21"/>
      <c r="O2604" s="21"/>
      <c r="P2604" s="21"/>
      <c r="Q2604" s="21"/>
      <c r="R2604" s="21"/>
    </row>
    <row r="2605" spans="1:18" x14ac:dyDescent="0.35">
      <c r="A2605" s="20"/>
      <c r="B2605" s="17"/>
      <c r="C2605" s="18"/>
      <c r="D2605" s="21"/>
      <c r="E2605" s="21"/>
      <c r="F2605" s="21"/>
      <c r="G2605" s="21"/>
      <c r="H2605" s="21"/>
      <c r="I2605" s="21"/>
      <c r="J2605" s="21"/>
      <c r="K2605" s="21"/>
      <c r="L2605" s="21"/>
      <c r="M2605" s="21"/>
      <c r="N2605" s="21"/>
      <c r="O2605" s="21"/>
      <c r="P2605" s="21"/>
      <c r="Q2605" s="21"/>
      <c r="R2605" s="21"/>
    </row>
    <row r="2606" spans="1:18" x14ac:dyDescent="0.35">
      <c r="A2606" s="20"/>
      <c r="B2606" s="17"/>
      <c r="C2606" s="13"/>
      <c r="D2606" s="14"/>
      <c r="E2606" s="14"/>
      <c r="F2606" s="14"/>
      <c r="G2606" s="14"/>
      <c r="H2606" s="14"/>
      <c r="I2606" s="14"/>
      <c r="J2606" s="14"/>
      <c r="K2606" s="14"/>
      <c r="L2606" s="14"/>
      <c r="M2606" s="14"/>
      <c r="N2606" s="14"/>
      <c r="O2606" s="14"/>
      <c r="P2606" s="14"/>
      <c r="Q2606" s="14"/>
      <c r="R2606" s="14"/>
    </row>
    <row r="2607" spans="1:18" x14ac:dyDescent="0.35">
      <c r="A2607" s="20"/>
      <c r="B2607" s="17"/>
      <c r="C2607" s="13"/>
      <c r="D2607" s="14"/>
      <c r="E2607" s="14"/>
      <c r="F2607" s="14"/>
      <c r="G2607" s="14"/>
      <c r="H2607" s="14"/>
      <c r="I2607" s="14"/>
      <c r="J2607" s="14"/>
      <c r="K2607" s="14"/>
      <c r="L2607" s="14"/>
      <c r="M2607" s="14"/>
      <c r="N2607" s="14"/>
      <c r="O2607" s="14"/>
      <c r="P2607" s="14"/>
      <c r="Q2607" s="14"/>
      <c r="R2607" s="14"/>
    </row>
    <row r="2608" spans="1:18" x14ac:dyDescent="0.35">
      <c r="A2608" s="20"/>
      <c r="B2608" s="17"/>
      <c r="C2608" s="13"/>
      <c r="D2608" s="14"/>
      <c r="E2608" s="14"/>
      <c r="F2608" s="14"/>
      <c r="G2608" s="14"/>
      <c r="H2608" s="14"/>
      <c r="I2608" s="14"/>
      <c r="J2608" s="14"/>
      <c r="K2608" s="14"/>
      <c r="L2608" s="14"/>
      <c r="M2608" s="14"/>
      <c r="N2608" s="14"/>
      <c r="O2608" s="14"/>
      <c r="P2608" s="14"/>
      <c r="Q2608" s="14"/>
      <c r="R2608" s="14"/>
    </row>
    <row r="2609" spans="1:18" x14ac:dyDescent="0.35">
      <c r="A2609" s="20"/>
      <c r="B2609" s="17"/>
      <c r="C2609" s="13"/>
      <c r="D2609" s="14"/>
      <c r="E2609" s="14"/>
      <c r="F2609" s="14"/>
      <c r="G2609" s="14"/>
      <c r="H2609" s="14"/>
      <c r="I2609" s="14"/>
      <c r="J2609" s="14"/>
      <c r="K2609" s="14"/>
      <c r="L2609" s="14"/>
      <c r="M2609" s="14"/>
      <c r="N2609" s="14"/>
      <c r="O2609" s="14"/>
      <c r="P2609" s="14"/>
      <c r="Q2609" s="14"/>
      <c r="R2609" s="14"/>
    </row>
    <row r="2610" spans="1:18" x14ac:dyDescent="0.35">
      <c r="A2610" s="20"/>
      <c r="B2610" s="17"/>
      <c r="C2610" s="13"/>
      <c r="D2610" s="14"/>
      <c r="E2610" s="14"/>
      <c r="F2610" s="14"/>
      <c r="G2610" s="14"/>
      <c r="H2610" s="14"/>
      <c r="I2610" s="14"/>
      <c r="J2610" s="14"/>
      <c r="K2610" s="14"/>
      <c r="L2610" s="14"/>
      <c r="M2610" s="14"/>
      <c r="N2610" s="14"/>
      <c r="O2610" s="14"/>
      <c r="P2610" s="14"/>
      <c r="Q2610" s="14"/>
      <c r="R2610" s="14"/>
    </row>
    <row r="2611" spans="1:18" x14ac:dyDescent="0.35">
      <c r="A2611" s="20"/>
      <c r="B2611" s="17"/>
      <c r="C2611" s="13"/>
      <c r="D2611" s="14"/>
      <c r="E2611" s="14"/>
      <c r="F2611" s="14"/>
      <c r="G2611" s="14"/>
      <c r="H2611" s="14"/>
      <c r="I2611" s="14"/>
      <c r="J2611" s="14"/>
      <c r="K2611" s="14"/>
      <c r="L2611" s="14"/>
      <c r="M2611" s="14"/>
      <c r="N2611" s="14"/>
      <c r="O2611" s="14"/>
      <c r="P2611" s="14"/>
      <c r="Q2611" s="14"/>
      <c r="R2611" s="14"/>
    </row>
    <row r="2612" spans="1:18" x14ac:dyDescent="0.35">
      <c r="A2612" s="20"/>
      <c r="B2612" s="17"/>
      <c r="C2612" s="13"/>
      <c r="D2612" s="14"/>
      <c r="E2612" s="14"/>
      <c r="F2612" s="14"/>
      <c r="G2612" s="14"/>
      <c r="H2612" s="14"/>
      <c r="I2612" s="14"/>
      <c r="J2612" s="14"/>
      <c r="K2612" s="14"/>
      <c r="L2612" s="14"/>
      <c r="M2612" s="14"/>
      <c r="N2612" s="14"/>
      <c r="O2612" s="14"/>
      <c r="P2612" s="14"/>
      <c r="Q2612" s="14"/>
      <c r="R2612" s="14"/>
    </row>
    <row r="2613" spans="1:18" x14ac:dyDescent="0.35">
      <c r="A2613" s="20"/>
      <c r="B2613" s="17"/>
      <c r="D2613" s="14"/>
      <c r="E2613" s="14"/>
      <c r="F2613" s="14"/>
      <c r="G2613" s="14"/>
      <c r="H2613" s="14"/>
      <c r="I2613" s="14"/>
      <c r="J2613" s="14"/>
      <c r="K2613" s="14"/>
      <c r="L2613" s="14"/>
      <c r="M2613" s="14"/>
      <c r="N2613" s="14"/>
      <c r="O2613" s="14"/>
      <c r="P2613" s="14"/>
      <c r="Q2613" s="14"/>
      <c r="R2613" s="14"/>
    </row>
    <row r="2614" spans="1:18" x14ac:dyDescent="0.35">
      <c r="A2614" s="20"/>
      <c r="B2614" s="17"/>
      <c r="D2614" s="14"/>
      <c r="E2614" s="14"/>
      <c r="F2614" s="14"/>
      <c r="G2614" s="14"/>
      <c r="H2614" s="14"/>
      <c r="I2614" s="14"/>
      <c r="J2614" s="14"/>
      <c r="K2614" s="14"/>
      <c r="L2614" s="14"/>
      <c r="M2614" s="14"/>
      <c r="N2614" s="14"/>
      <c r="O2614" s="14"/>
      <c r="P2614" s="14"/>
      <c r="Q2614" s="14"/>
      <c r="R2614" s="14"/>
    </row>
    <row r="2615" spans="1:18" x14ac:dyDescent="0.35">
      <c r="A2615" s="20"/>
      <c r="B2615" s="17"/>
      <c r="D2615" s="14"/>
      <c r="E2615" s="14"/>
      <c r="F2615" s="14"/>
      <c r="G2615" s="14"/>
      <c r="H2615" s="14"/>
      <c r="I2615" s="14"/>
      <c r="J2615" s="14"/>
      <c r="K2615" s="14"/>
      <c r="L2615" s="14"/>
      <c r="M2615" s="14"/>
      <c r="N2615" s="14"/>
      <c r="O2615" s="14"/>
      <c r="P2615" s="14"/>
      <c r="Q2615" s="14"/>
      <c r="R2615" s="14"/>
    </row>
    <row r="2616" spans="1:18" x14ac:dyDescent="0.35">
      <c r="A2616" s="20"/>
      <c r="B2616" s="17"/>
      <c r="D2616" s="14"/>
      <c r="E2616" s="14"/>
      <c r="F2616" s="14"/>
      <c r="G2616" s="14"/>
      <c r="H2616" s="14"/>
      <c r="I2616" s="14"/>
      <c r="J2616" s="14"/>
      <c r="K2616" s="14"/>
      <c r="L2616" s="14"/>
      <c r="M2616" s="14"/>
      <c r="N2616" s="14"/>
      <c r="O2616" s="14"/>
      <c r="P2616" s="14"/>
      <c r="Q2616" s="14"/>
      <c r="R2616" s="14"/>
    </row>
    <row r="2617" spans="1:18" x14ac:dyDescent="0.35">
      <c r="B2617" s="17"/>
      <c r="C2617" s="18"/>
      <c r="D2617" s="21"/>
      <c r="E2617" s="21"/>
      <c r="F2617" s="21"/>
      <c r="G2617" s="21"/>
      <c r="H2617" s="21"/>
      <c r="I2617" s="21"/>
      <c r="J2617" s="21"/>
      <c r="K2617" s="21"/>
      <c r="L2617" s="21"/>
      <c r="M2617" s="21"/>
      <c r="N2617" s="21"/>
      <c r="O2617" s="21"/>
      <c r="P2617" s="21"/>
      <c r="Q2617" s="21"/>
      <c r="R2617" s="21"/>
    </row>
    <row r="2618" spans="1:18" x14ac:dyDescent="0.35">
      <c r="B2618" s="17"/>
      <c r="C2618" s="18"/>
      <c r="D2618" s="21"/>
      <c r="E2618" s="21"/>
      <c r="F2618" s="21"/>
      <c r="G2618" s="21"/>
      <c r="H2618" s="21"/>
      <c r="I2618" s="21"/>
      <c r="J2618" s="21"/>
      <c r="K2618" s="21"/>
      <c r="L2618" s="21"/>
      <c r="M2618" s="21"/>
      <c r="N2618" s="21"/>
      <c r="O2618" s="21"/>
      <c r="P2618" s="21"/>
      <c r="Q2618" s="21"/>
      <c r="R2618" s="21"/>
    </row>
    <row r="2619" spans="1:18" x14ac:dyDescent="0.35">
      <c r="B2619" s="17"/>
      <c r="C2619" s="18"/>
      <c r="D2619" s="21"/>
      <c r="E2619" s="21"/>
      <c r="F2619" s="21"/>
      <c r="G2619" s="21"/>
      <c r="H2619" s="21"/>
      <c r="I2619" s="21"/>
      <c r="J2619" s="21"/>
      <c r="K2619" s="21"/>
      <c r="L2619" s="21"/>
      <c r="M2619" s="21"/>
      <c r="N2619" s="21"/>
      <c r="O2619" s="21"/>
      <c r="P2619" s="21"/>
      <c r="Q2619" s="21"/>
      <c r="R2619" s="21"/>
    </row>
    <row r="2620" spans="1:18" x14ac:dyDescent="0.35">
      <c r="B2620" s="17"/>
      <c r="C2620" s="18"/>
      <c r="D2620" s="21"/>
      <c r="E2620" s="21"/>
      <c r="F2620" s="21"/>
      <c r="G2620" s="21"/>
      <c r="H2620" s="21"/>
      <c r="I2620" s="21"/>
      <c r="J2620" s="21"/>
      <c r="K2620" s="21"/>
      <c r="L2620" s="21"/>
      <c r="M2620" s="21"/>
      <c r="N2620" s="21"/>
      <c r="O2620" s="21"/>
      <c r="P2620" s="21"/>
      <c r="Q2620" s="21"/>
      <c r="R2620" s="21"/>
    </row>
    <row r="2621" spans="1:18" x14ac:dyDescent="0.35">
      <c r="B2621" s="17"/>
      <c r="C2621" s="18"/>
      <c r="D2621" s="21"/>
      <c r="E2621" s="21"/>
      <c r="F2621" s="21"/>
      <c r="G2621" s="21"/>
      <c r="H2621" s="21"/>
      <c r="I2621" s="21"/>
      <c r="J2621" s="21"/>
      <c r="K2621" s="21"/>
      <c r="L2621" s="21"/>
      <c r="M2621" s="21"/>
      <c r="N2621" s="21"/>
      <c r="O2621" s="21"/>
      <c r="P2621" s="21"/>
      <c r="Q2621" s="21"/>
      <c r="R2621" s="21"/>
    </row>
    <row r="2622" spans="1:18" x14ac:dyDescent="0.35">
      <c r="B2622" s="17"/>
      <c r="C2622" s="19"/>
      <c r="D2622" s="21"/>
      <c r="E2622" s="21"/>
      <c r="F2622" s="21"/>
      <c r="G2622" s="21"/>
      <c r="H2622" s="21"/>
      <c r="I2622" s="21"/>
      <c r="J2622" s="21"/>
      <c r="K2622" s="21"/>
      <c r="L2622" s="21"/>
      <c r="M2622" s="21"/>
      <c r="N2622" s="21"/>
      <c r="O2622" s="21"/>
      <c r="P2622" s="21"/>
      <c r="Q2622" s="21"/>
      <c r="R2622" s="21"/>
    </row>
    <row r="2623" spans="1:18" x14ac:dyDescent="0.35">
      <c r="B2623" s="17"/>
      <c r="C2623" s="19"/>
      <c r="D2623" s="21"/>
      <c r="E2623" s="21"/>
      <c r="F2623" s="21"/>
      <c r="G2623" s="21"/>
      <c r="H2623" s="21"/>
      <c r="I2623" s="21"/>
      <c r="J2623" s="21"/>
      <c r="K2623" s="21"/>
      <c r="L2623" s="21"/>
      <c r="M2623" s="21"/>
      <c r="N2623" s="21"/>
      <c r="O2623" s="21"/>
      <c r="P2623" s="21"/>
      <c r="Q2623" s="21"/>
      <c r="R2623" s="21"/>
    </row>
    <row r="2624" spans="1:18" x14ac:dyDescent="0.35">
      <c r="B2624" s="17"/>
      <c r="C2624" s="19"/>
      <c r="D2624" s="21"/>
      <c r="E2624" s="21"/>
      <c r="F2624" s="21"/>
      <c r="G2624" s="21"/>
      <c r="H2624" s="21"/>
      <c r="I2624" s="21"/>
      <c r="J2624" s="21"/>
      <c r="K2624" s="21"/>
      <c r="L2624" s="21"/>
      <c r="M2624" s="21"/>
      <c r="N2624" s="21"/>
      <c r="O2624" s="21"/>
      <c r="P2624" s="21"/>
      <c r="Q2624" s="21"/>
      <c r="R2624" s="21"/>
    </row>
    <row r="2625" spans="2:18" x14ac:dyDescent="0.35">
      <c r="B2625" s="17"/>
      <c r="C2625" s="19"/>
      <c r="D2625" s="21"/>
      <c r="E2625" s="21"/>
      <c r="F2625" s="21"/>
      <c r="G2625" s="21"/>
      <c r="H2625" s="21"/>
      <c r="I2625" s="21"/>
      <c r="J2625" s="21"/>
      <c r="K2625" s="21"/>
      <c r="L2625" s="21"/>
      <c r="M2625" s="21"/>
      <c r="N2625" s="21"/>
      <c r="O2625" s="21"/>
      <c r="P2625" s="21"/>
      <c r="Q2625" s="21"/>
      <c r="R2625" s="21"/>
    </row>
    <row r="2626" spans="2:18" x14ac:dyDescent="0.35">
      <c r="B2626" s="17"/>
      <c r="C2626" s="13"/>
      <c r="D2626" s="14"/>
      <c r="E2626" s="14"/>
      <c r="F2626" s="14"/>
      <c r="G2626" s="14"/>
      <c r="H2626" s="14"/>
      <c r="I2626" s="14"/>
      <c r="J2626" s="14"/>
      <c r="K2626" s="14"/>
      <c r="L2626" s="14"/>
      <c r="M2626" s="14"/>
      <c r="N2626" s="14"/>
      <c r="O2626" s="14"/>
      <c r="P2626" s="14"/>
      <c r="Q2626" s="14"/>
      <c r="R2626" s="14"/>
    </row>
    <row r="2627" spans="2:18" x14ac:dyDescent="0.35">
      <c r="B2627" s="17"/>
      <c r="C2627" s="13"/>
      <c r="D2627" s="14"/>
      <c r="E2627" s="14"/>
      <c r="F2627" s="14"/>
      <c r="G2627" s="14"/>
      <c r="H2627" s="14"/>
      <c r="I2627" s="14"/>
      <c r="J2627" s="14"/>
      <c r="K2627" s="14"/>
      <c r="L2627" s="14"/>
      <c r="M2627" s="14"/>
      <c r="N2627" s="14"/>
      <c r="O2627" s="14"/>
      <c r="P2627" s="14"/>
      <c r="Q2627" s="14"/>
      <c r="R2627" s="14"/>
    </row>
    <row r="2628" spans="2:18" x14ac:dyDescent="0.35">
      <c r="B2628" s="17"/>
      <c r="C2628" s="13"/>
      <c r="D2628" s="14"/>
      <c r="E2628" s="14"/>
      <c r="F2628" s="14"/>
      <c r="G2628" s="14"/>
      <c r="H2628" s="14"/>
      <c r="I2628" s="14"/>
      <c r="J2628" s="14"/>
      <c r="K2628" s="14"/>
      <c r="L2628" s="14"/>
      <c r="M2628" s="14"/>
      <c r="N2628" s="14"/>
      <c r="O2628" s="14"/>
      <c r="P2628" s="14"/>
      <c r="Q2628" s="14"/>
      <c r="R2628" s="14"/>
    </row>
    <row r="2629" spans="2:18" x14ac:dyDescent="0.35">
      <c r="B2629" s="17"/>
      <c r="C2629" s="13"/>
      <c r="D2629" s="14"/>
      <c r="E2629" s="14"/>
      <c r="F2629" s="14"/>
      <c r="G2629" s="14"/>
      <c r="H2629" s="14"/>
      <c r="I2629" s="14"/>
      <c r="J2629" s="14"/>
      <c r="K2629" s="14"/>
      <c r="L2629" s="14"/>
      <c r="M2629" s="14"/>
      <c r="N2629" s="14"/>
      <c r="O2629" s="14"/>
      <c r="P2629" s="14"/>
      <c r="Q2629" s="14"/>
      <c r="R2629" s="14"/>
    </row>
    <row r="2630" spans="2:18" x14ac:dyDescent="0.35">
      <c r="B2630" s="17"/>
      <c r="C2630" s="13"/>
      <c r="D2630" s="14"/>
      <c r="E2630" s="14"/>
      <c r="F2630" s="14"/>
      <c r="G2630" s="14"/>
      <c r="H2630" s="14"/>
      <c r="I2630" s="14"/>
      <c r="J2630" s="14"/>
      <c r="K2630" s="14"/>
      <c r="L2630" s="14"/>
      <c r="M2630" s="14"/>
      <c r="N2630" s="14"/>
      <c r="O2630" s="14"/>
      <c r="P2630" s="14"/>
      <c r="Q2630" s="14"/>
      <c r="R2630" s="14"/>
    </row>
    <row r="2631" spans="2:18" x14ac:dyDescent="0.35">
      <c r="B2631" s="17"/>
      <c r="C2631" s="13"/>
      <c r="D2631" s="14"/>
      <c r="E2631" s="14"/>
      <c r="F2631" s="14"/>
      <c r="G2631" s="14"/>
      <c r="H2631" s="14"/>
      <c r="I2631" s="14"/>
      <c r="J2631" s="14"/>
      <c r="K2631" s="14"/>
      <c r="L2631" s="14"/>
      <c r="M2631" s="14"/>
      <c r="N2631" s="14"/>
      <c r="O2631" s="14"/>
      <c r="P2631" s="14"/>
      <c r="Q2631" s="14"/>
      <c r="R2631" s="14"/>
    </row>
    <row r="2632" spans="2:18" x14ac:dyDescent="0.35">
      <c r="B2632" s="17"/>
      <c r="C2632" s="13"/>
      <c r="D2632" s="14"/>
      <c r="E2632" s="14"/>
      <c r="F2632" s="14"/>
      <c r="G2632" s="14"/>
      <c r="H2632" s="14"/>
      <c r="I2632" s="14"/>
      <c r="J2632" s="14"/>
      <c r="K2632" s="14"/>
      <c r="L2632" s="14"/>
      <c r="M2632" s="14"/>
      <c r="N2632" s="14"/>
      <c r="O2632" s="14"/>
      <c r="P2632" s="14"/>
      <c r="Q2632" s="14"/>
      <c r="R2632" s="14"/>
    </row>
    <row r="2633" spans="2:18" x14ac:dyDescent="0.35">
      <c r="B2633" s="17"/>
      <c r="C2633" s="13"/>
      <c r="D2633" s="14"/>
      <c r="E2633" s="14"/>
      <c r="F2633" s="14"/>
      <c r="G2633" s="14"/>
      <c r="H2633" s="14"/>
      <c r="I2633" s="14"/>
      <c r="J2633" s="14"/>
      <c r="K2633" s="14"/>
      <c r="L2633" s="14"/>
      <c r="M2633" s="14"/>
      <c r="N2633" s="14"/>
      <c r="O2633" s="14"/>
      <c r="P2633" s="14"/>
      <c r="Q2633" s="14"/>
      <c r="R2633" s="14"/>
    </row>
    <row r="2634" spans="2:18" x14ac:dyDescent="0.35">
      <c r="B2634" s="17"/>
      <c r="C2634" s="13"/>
      <c r="D2634" s="14"/>
      <c r="E2634" s="14"/>
      <c r="F2634" s="14"/>
      <c r="G2634" s="14"/>
      <c r="H2634" s="14"/>
      <c r="I2634" s="14"/>
      <c r="J2634" s="14"/>
      <c r="K2634" s="14"/>
      <c r="L2634" s="14"/>
      <c r="M2634" s="14"/>
      <c r="N2634" s="14"/>
      <c r="O2634" s="14"/>
      <c r="P2634" s="14"/>
      <c r="Q2634" s="14"/>
      <c r="R2634" s="14"/>
    </row>
    <row r="2635" spans="2:18" x14ac:dyDescent="0.35">
      <c r="B2635" s="17"/>
      <c r="C2635" s="13"/>
      <c r="D2635" s="14"/>
      <c r="E2635" s="14"/>
      <c r="F2635" s="14"/>
      <c r="G2635" s="14"/>
      <c r="H2635" s="14"/>
      <c r="I2635" s="14"/>
      <c r="J2635" s="14"/>
      <c r="K2635" s="14"/>
      <c r="L2635" s="14"/>
      <c r="M2635" s="14"/>
      <c r="N2635" s="14"/>
      <c r="O2635" s="14"/>
      <c r="P2635" s="14"/>
      <c r="Q2635" s="14"/>
      <c r="R2635" s="14"/>
    </row>
    <row r="2636" spans="2:18" x14ac:dyDescent="0.35">
      <c r="B2636" s="17"/>
      <c r="C2636" s="13"/>
      <c r="D2636" s="14"/>
      <c r="E2636" s="14"/>
      <c r="F2636" s="14"/>
      <c r="G2636" s="14"/>
      <c r="H2636" s="14"/>
      <c r="I2636" s="14"/>
      <c r="J2636" s="14"/>
      <c r="K2636" s="14"/>
      <c r="L2636" s="14"/>
      <c r="M2636" s="14"/>
      <c r="N2636" s="14"/>
      <c r="O2636" s="14"/>
      <c r="P2636" s="14"/>
      <c r="Q2636" s="14"/>
      <c r="R2636" s="14"/>
    </row>
    <row r="2637" spans="2:18" x14ac:dyDescent="0.35">
      <c r="B2637" s="17"/>
      <c r="C2637" s="13"/>
      <c r="D2637" s="14"/>
      <c r="E2637" s="14"/>
      <c r="F2637" s="14"/>
      <c r="G2637" s="14"/>
      <c r="H2637" s="14"/>
      <c r="I2637" s="14"/>
      <c r="J2637" s="14"/>
      <c r="K2637" s="14"/>
      <c r="L2637" s="14"/>
      <c r="M2637" s="14"/>
      <c r="N2637" s="14"/>
      <c r="O2637" s="14"/>
      <c r="P2637" s="14"/>
      <c r="Q2637" s="14"/>
      <c r="R2637" s="14"/>
    </row>
    <row r="2638" spans="2:18" x14ac:dyDescent="0.35">
      <c r="B2638" s="17"/>
      <c r="C2638" s="13"/>
      <c r="D2638" s="14"/>
      <c r="E2638" s="14"/>
      <c r="F2638" s="14"/>
      <c r="G2638" s="14"/>
      <c r="H2638" s="14"/>
      <c r="I2638" s="14"/>
      <c r="J2638" s="14"/>
      <c r="K2638" s="14"/>
      <c r="L2638" s="14"/>
      <c r="M2638" s="14"/>
      <c r="N2638" s="14"/>
      <c r="O2638" s="14"/>
      <c r="P2638" s="14"/>
      <c r="Q2638" s="14"/>
      <c r="R2638" s="14"/>
    </row>
    <row r="2639" spans="2:18" x14ac:dyDescent="0.35">
      <c r="B2639" s="17"/>
      <c r="C2639" s="13"/>
      <c r="D2639" s="14"/>
      <c r="E2639" s="14"/>
      <c r="F2639" s="14"/>
      <c r="G2639" s="14"/>
      <c r="H2639" s="14"/>
      <c r="I2639" s="14"/>
      <c r="J2639" s="14"/>
      <c r="K2639" s="14"/>
      <c r="L2639" s="14"/>
      <c r="M2639" s="14"/>
      <c r="N2639" s="14"/>
      <c r="O2639" s="14"/>
      <c r="P2639" s="14"/>
      <c r="Q2639" s="14"/>
      <c r="R2639" s="14"/>
    </row>
    <row r="2640" spans="2:18" x14ac:dyDescent="0.35">
      <c r="B2640" s="17"/>
      <c r="C2640" s="13"/>
      <c r="D2640" s="14"/>
      <c r="E2640" s="14"/>
      <c r="F2640" s="14"/>
      <c r="G2640" s="14"/>
      <c r="H2640" s="14"/>
      <c r="I2640" s="14"/>
      <c r="J2640" s="14"/>
      <c r="K2640" s="14"/>
      <c r="L2640" s="14"/>
      <c r="M2640" s="14"/>
      <c r="N2640" s="14"/>
      <c r="O2640" s="14"/>
      <c r="P2640" s="14"/>
      <c r="Q2640" s="14"/>
      <c r="R2640" s="14"/>
    </row>
    <row r="2641" spans="2:18" x14ac:dyDescent="0.35">
      <c r="B2641" s="17"/>
      <c r="C2641" s="18"/>
      <c r="D2641" s="21"/>
      <c r="E2641" s="21"/>
      <c r="F2641" s="21"/>
      <c r="G2641" s="21"/>
      <c r="H2641" s="21"/>
      <c r="I2641" s="21"/>
      <c r="J2641" s="21"/>
      <c r="K2641" s="21"/>
      <c r="L2641" s="21"/>
      <c r="M2641" s="21"/>
      <c r="N2641" s="21"/>
      <c r="O2641" s="21"/>
      <c r="P2641" s="21"/>
      <c r="Q2641" s="21"/>
      <c r="R2641" s="21"/>
    </row>
    <row r="2642" spans="2:18" x14ac:dyDescent="0.35">
      <c r="B2642" s="17"/>
      <c r="C2642" s="18"/>
      <c r="D2642" s="21"/>
      <c r="E2642" s="21"/>
      <c r="F2642" s="21"/>
      <c r="G2642" s="21"/>
      <c r="H2642" s="21"/>
      <c r="I2642" s="21"/>
      <c r="J2642" s="21"/>
      <c r="K2642" s="21"/>
      <c r="L2642" s="21"/>
      <c r="M2642" s="21"/>
      <c r="N2642" s="21"/>
      <c r="O2642" s="21"/>
      <c r="P2642" s="21"/>
      <c r="Q2642" s="21"/>
      <c r="R2642" s="21"/>
    </row>
    <row r="2643" spans="2:18" x14ac:dyDescent="0.35">
      <c r="B2643" s="17"/>
      <c r="C2643" s="18"/>
      <c r="D2643" s="21"/>
      <c r="E2643" s="21"/>
      <c r="F2643" s="21"/>
      <c r="G2643" s="21"/>
      <c r="H2643" s="21"/>
      <c r="I2643" s="21"/>
      <c r="J2643" s="21"/>
      <c r="K2643" s="21"/>
      <c r="L2643" s="21"/>
      <c r="M2643" s="21"/>
      <c r="N2643" s="21"/>
      <c r="O2643" s="21"/>
      <c r="P2643" s="21"/>
      <c r="Q2643" s="21"/>
      <c r="R2643" s="21"/>
    </row>
    <row r="2644" spans="2:18" x14ac:dyDescent="0.35">
      <c r="B2644" s="17"/>
      <c r="C2644" s="18"/>
      <c r="D2644" s="21"/>
      <c r="E2644" s="21"/>
      <c r="F2644" s="21"/>
      <c r="G2644" s="21"/>
      <c r="H2644" s="21"/>
      <c r="I2644" s="21"/>
      <c r="J2644" s="21"/>
      <c r="K2644" s="21"/>
      <c r="L2644" s="21"/>
      <c r="M2644" s="21"/>
      <c r="N2644" s="21"/>
      <c r="O2644" s="21"/>
      <c r="P2644" s="21"/>
      <c r="Q2644" s="21"/>
      <c r="R2644" s="21"/>
    </row>
    <row r="2645" spans="2:18" x14ac:dyDescent="0.35">
      <c r="B2645" s="17"/>
      <c r="C2645" s="18"/>
      <c r="D2645" s="21"/>
      <c r="E2645" s="21"/>
      <c r="F2645" s="21"/>
      <c r="G2645" s="21"/>
      <c r="H2645" s="21"/>
      <c r="I2645" s="21"/>
      <c r="J2645" s="21"/>
      <c r="K2645" s="21"/>
      <c r="L2645" s="21"/>
      <c r="M2645" s="21"/>
      <c r="N2645" s="21"/>
      <c r="O2645" s="21"/>
      <c r="P2645" s="21"/>
      <c r="Q2645" s="21"/>
      <c r="R2645" s="21"/>
    </row>
    <row r="2646" spans="2:18" x14ac:dyDescent="0.35">
      <c r="B2646" s="17"/>
      <c r="C2646" s="18"/>
      <c r="D2646" s="21"/>
      <c r="E2646" s="21"/>
      <c r="F2646" s="21"/>
      <c r="G2646" s="21"/>
      <c r="H2646" s="21"/>
      <c r="I2646" s="21"/>
      <c r="J2646" s="21"/>
      <c r="K2646" s="21"/>
      <c r="L2646" s="21"/>
      <c r="M2646" s="21"/>
      <c r="N2646" s="21"/>
      <c r="O2646" s="21"/>
      <c r="P2646" s="21"/>
      <c r="Q2646" s="21"/>
      <c r="R2646" s="21"/>
    </row>
    <row r="2647" spans="2:18" x14ac:dyDescent="0.35">
      <c r="B2647" s="17"/>
      <c r="C2647" s="18"/>
      <c r="D2647" s="21"/>
      <c r="E2647" s="21"/>
      <c r="F2647" s="21"/>
      <c r="G2647" s="21"/>
      <c r="H2647" s="21"/>
      <c r="I2647" s="21"/>
      <c r="J2647" s="21"/>
      <c r="K2647" s="21"/>
      <c r="L2647" s="21"/>
      <c r="M2647" s="21"/>
      <c r="N2647" s="21"/>
      <c r="O2647" s="21"/>
      <c r="P2647" s="21"/>
      <c r="Q2647" s="21"/>
      <c r="R2647" s="21"/>
    </row>
    <row r="2648" spans="2:18" x14ac:dyDescent="0.35">
      <c r="B2648" s="17"/>
      <c r="C2648" s="18"/>
      <c r="D2648" s="21"/>
      <c r="E2648" s="21"/>
      <c r="F2648" s="21"/>
      <c r="G2648" s="21"/>
      <c r="H2648" s="21"/>
      <c r="I2648" s="21"/>
      <c r="J2648" s="21"/>
      <c r="K2648" s="21"/>
      <c r="L2648" s="21"/>
      <c r="M2648" s="21"/>
      <c r="N2648" s="21"/>
      <c r="O2648" s="21"/>
      <c r="P2648" s="21"/>
      <c r="Q2648" s="21"/>
      <c r="R2648" s="21"/>
    </row>
    <row r="2649" spans="2:18" x14ac:dyDescent="0.35">
      <c r="B2649" s="17"/>
      <c r="C2649" s="18"/>
      <c r="D2649" s="21"/>
      <c r="E2649" s="21"/>
      <c r="F2649" s="21"/>
      <c r="G2649" s="21"/>
      <c r="H2649" s="21"/>
      <c r="I2649" s="21"/>
      <c r="J2649" s="21"/>
      <c r="K2649" s="21"/>
      <c r="L2649" s="21"/>
      <c r="M2649" s="21"/>
      <c r="N2649" s="21"/>
      <c r="O2649" s="21"/>
      <c r="P2649" s="21"/>
      <c r="Q2649" s="21"/>
      <c r="R2649" s="21"/>
    </row>
    <row r="2650" spans="2:18" x14ac:dyDescent="0.35">
      <c r="B2650" s="17"/>
      <c r="C2650" s="18"/>
      <c r="D2650" s="21"/>
      <c r="E2650" s="21"/>
      <c r="F2650" s="21"/>
      <c r="G2650" s="21"/>
      <c r="H2650" s="21"/>
      <c r="I2650" s="21"/>
      <c r="J2650" s="21"/>
      <c r="K2650" s="21"/>
      <c r="L2650" s="21"/>
      <c r="M2650" s="21"/>
      <c r="N2650" s="21"/>
      <c r="O2650" s="21"/>
      <c r="P2650" s="21"/>
      <c r="Q2650" s="21"/>
      <c r="R2650" s="21"/>
    </row>
    <row r="2651" spans="2:18" x14ac:dyDescent="0.35">
      <c r="B2651" s="17"/>
      <c r="C2651" s="18"/>
      <c r="D2651" s="21"/>
      <c r="E2651" s="21"/>
      <c r="F2651" s="21"/>
      <c r="G2651" s="21"/>
      <c r="H2651" s="21"/>
      <c r="I2651" s="21"/>
      <c r="J2651" s="21"/>
      <c r="K2651" s="21"/>
      <c r="L2651" s="21"/>
      <c r="M2651" s="21"/>
      <c r="N2651" s="21"/>
      <c r="O2651" s="21"/>
      <c r="P2651" s="21"/>
      <c r="Q2651" s="21"/>
      <c r="R2651" s="21"/>
    </row>
    <row r="2652" spans="2:18" x14ac:dyDescent="0.35">
      <c r="B2652" s="17"/>
      <c r="C2652" s="18"/>
      <c r="D2652" s="21"/>
      <c r="E2652" s="21"/>
      <c r="F2652" s="21"/>
      <c r="G2652" s="21"/>
      <c r="H2652" s="21"/>
      <c r="I2652" s="21"/>
      <c r="J2652" s="21"/>
      <c r="K2652" s="21"/>
      <c r="L2652" s="21"/>
      <c r="M2652" s="21"/>
      <c r="N2652" s="21"/>
      <c r="O2652" s="21"/>
      <c r="P2652" s="21"/>
      <c r="Q2652" s="21"/>
      <c r="R2652" s="21"/>
    </row>
    <row r="2653" spans="2:18" x14ac:dyDescent="0.35">
      <c r="B2653" s="17"/>
      <c r="C2653" s="18"/>
      <c r="D2653" s="21"/>
      <c r="E2653" s="21"/>
      <c r="F2653" s="21"/>
      <c r="G2653" s="21"/>
      <c r="H2653" s="21"/>
      <c r="I2653" s="21"/>
      <c r="J2653" s="21"/>
      <c r="K2653" s="21"/>
      <c r="L2653" s="21"/>
      <c r="M2653" s="21"/>
      <c r="N2653" s="21"/>
      <c r="O2653" s="21"/>
      <c r="P2653" s="21"/>
      <c r="Q2653" s="21"/>
      <c r="R2653" s="21"/>
    </row>
    <row r="2654" spans="2:18" x14ac:dyDescent="0.35">
      <c r="B2654" s="17"/>
      <c r="C2654" s="18"/>
      <c r="D2654" s="21"/>
      <c r="E2654" s="21"/>
      <c r="F2654" s="21"/>
      <c r="G2654" s="21"/>
      <c r="H2654" s="21"/>
      <c r="I2654" s="21"/>
      <c r="J2654" s="21"/>
      <c r="K2654" s="21"/>
      <c r="L2654" s="21"/>
      <c r="M2654" s="21"/>
      <c r="N2654" s="21"/>
      <c r="O2654" s="21"/>
      <c r="P2654" s="21"/>
      <c r="Q2654" s="21"/>
      <c r="R2654" s="21"/>
    </row>
    <row r="2655" spans="2:18" x14ac:dyDescent="0.35">
      <c r="B2655" s="17"/>
      <c r="C2655" s="18"/>
      <c r="D2655" s="21"/>
      <c r="E2655" s="21"/>
      <c r="F2655" s="21"/>
      <c r="G2655" s="21"/>
      <c r="H2655" s="21"/>
      <c r="I2655" s="21"/>
      <c r="J2655" s="21"/>
      <c r="K2655" s="21"/>
      <c r="L2655" s="21"/>
      <c r="M2655" s="21"/>
      <c r="N2655" s="21"/>
      <c r="O2655" s="21"/>
      <c r="P2655" s="21"/>
      <c r="Q2655" s="21"/>
      <c r="R2655" s="21"/>
    </row>
    <row r="2656" spans="2:18" x14ac:dyDescent="0.35">
      <c r="B2656" s="17"/>
      <c r="C2656" s="18"/>
      <c r="D2656" s="21"/>
      <c r="E2656" s="21"/>
      <c r="F2656" s="21"/>
      <c r="G2656" s="21"/>
      <c r="H2656" s="21"/>
      <c r="I2656" s="21"/>
      <c r="J2656" s="21"/>
      <c r="K2656" s="21"/>
      <c r="L2656" s="21"/>
      <c r="M2656" s="21"/>
      <c r="N2656" s="21"/>
      <c r="O2656" s="21"/>
      <c r="P2656" s="21"/>
      <c r="Q2656" s="21"/>
      <c r="R2656" s="21"/>
    </row>
    <row r="2657" spans="2:18" x14ac:dyDescent="0.35">
      <c r="B2657" s="17"/>
      <c r="C2657" s="13"/>
      <c r="D2657" s="14"/>
      <c r="E2657" s="14"/>
      <c r="F2657" s="14"/>
      <c r="G2657" s="14"/>
      <c r="H2657" s="14"/>
      <c r="I2657" s="14"/>
      <c r="J2657" s="14"/>
      <c r="K2657" s="14"/>
      <c r="L2657" s="14"/>
      <c r="M2657" s="14"/>
      <c r="N2657" s="14"/>
      <c r="O2657" s="14"/>
      <c r="P2657" s="14"/>
      <c r="Q2657" s="14"/>
      <c r="R2657" s="14"/>
    </row>
    <row r="2658" spans="2:18" x14ac:dyDescent="0.35">
      <c r="B2658" s="17"/>
      <c r="C2658" s="13"/>
      <c r="D2658" s="14"/>
      <c r="E2658" s="14"/>
      <c r="F2658" s="14"/>
      <c r="G2658" s="14"/>
      <c r="H2658" s="14"/>
      <c r="I2658" s="14"/>
      <c r="J2658" s="14"/>
      <c r="K2658" s="14"/>
      <c r="L2658" s="14"/>
      <c r="M2658" s="14"/>
      <c r="N2658" s="14"/>
      <c r="O2658" s="14"/>
      <c r="P2658" s="14"/>
      <c r="Q2658" s="14"/>
      <c r="R2658" s="14"/>
    </row>
    <row r="2659" spans="2:18" x14ac:dyDescent="0.35">
      <c r="B2659" s="17"/>
      <c r="C2659" s="13"/>
      <c r="D2659" s="14"/>
      <c r="E2659" s="14"/>
      <c r="F2659" s="14"/>
      <c r="G2659" s="14"/>
      <c r="H2659" s="14"/>
      <c r="I2659" s="14"/>
      <c r="J2659" s="14"/>
      <c r="K2659" s="14"/>
      <c r="L2659" s="14"/>
      <c r="M2659" s="14"/>
      <c r="N2659" s="14"/>
      <c r="O2659" s="14"/>
      <c r="P2659" s="14"/>
      <c r="Q2659" s="14"/>
      <c r="R2659" s="14"/>
    </row>
    <row r="2660" spans="2:18" x14ac:dyDescent="0.35">
      <c r="B2660" s="17"/>
      <c r="C2660" s="13"/>
      <c r="D2660" s="14"/>
      <c r="E2660" s="14"/>
      <c r="F2660" s="14"/>
      <c r="G2660" s="14"/>
      <c r="H2660" s="14"/>
      <c r="I2660" s="14"/>
      <c r="J2660" s="14"/>
      <c r="K2660" s="14"/>
      <c r="L2660" s="14"/>
      <c r="M2660" s="14"/>
      <c r="N2660" s="14"/>
      <c r="O2660" s="14"/>
      <c r="P2660" s="14"/>
      <c r="Q2660" s="14"/>
      <c r="R2660" s="14"/>
    </row>
    <row r="2661" spans="2:18" x14ac:dyDescent="0.35">
      <c r="B2661" s="17"/>
      <c r="C2661" s="13"/>
      <c r="D2661" s="14"/>
      <c r="E2661" s="14"/>
      <c r="F2661" s="14"/>
      <c r="G2661" s="14"/>
      <c r="H2661" s="14"/>
      <c r="I2661" s="14"/>
      <c r="J2661" s="14"/>
      <c r="K2661" s="14"/>
      <c r="L2661" s="14"/>
      <c r="M2661" s="14"/>
      <c r="N2661" s="14"/>
      <c r="O2661" s="14"/>
      <c r="P2661" s="14"/>
      <c r="Q2661" s="14"/>
      <c r="R2661" s="14"/>
    </row>
    <row r="2662" spans="2:18" x14ac:dyDescent="0.35">
      <c r="B2662" s="17"/>
      <c r="C2662" s="13"/>
      <c r="D2662" s="14"/>
      <c r="E2662" s="14"/>
      <c r="F2662" s="14"/>
      <c r="G2662" s="14"/>
      <c r="H2662" s="14"/>
      <c r="I2662" s="14"/>
      <c r="J2662" s="14"/>
      <c r="K2662" s="14"/>
      <c r="L2662" s="14"/>
      <c r="M2662" s="14"/>
      <c r="N2662" s="14"/>
      <c r="O2662" s="14"/>
      <c r="P2662" s="14"/>
      <c r="Q2662" s="14"/>
      <c r="R2662" s="14"/>
    </row>
    <row r="2663" spans="2:18" x14ac:dyDescent="0.35">
      <c r="B2663" s="17"/>
      <c r="C2663" s="13"/>
      <c r="D2663" s="14"/>
      <c r="E2663" s="14"/>
      <c r="F2663" s="14"/>
      <c r="G2663" s="14"/>
      <c r="H2663" s="14"/>
      <c r="I2663" s="14"/>
      <c r="J2663" s="14"/>
      <c r="K2663" s="14"/>
      <c r="L2663" s="14"/>
      <c r="M2663" s="14"/>
      <c r="N2663" s="14"/>
      <c r="O2663" s="14"/>
      <c r="P2663" s="14"/>
      <c r="Q2663" s="14"/>
      <c r="R2663" s="14"/>
    </row>
    <row r="2664" spans="2:18" x14ac:dyDescent="0.35">
      <c r="B2664" s="17"/>
      <c r="C2664" s="18"/>
      <c r="D2664" s="21"/>
      <c r="E2664" s="21"/>
      <c r="F2664" s="21"/>
      <c r="G2664" s="21"/>
      <c r="H2664" s="21"/>
      <c r="I2664" s="21"/>
      <c r="J2664" s="21"/>
      <c r="K2664" s="21"/>
      <c r="L2664" s="21"/>
      <c r="M2664" s="21"/>
      <c r="N2664" s="21"/>
      <c r="O2664" s="21"/>
      <c r="P2664" s="21"/>
      <c r="Q2664" s="21"/>
      <c r="R2664" s="21"/>
    </row>
    <row r="2665" spans="2:18" x14ac:dyDescent="0.35">
      <c r="B2665" s="17"/>
      <c r="C2665" s="18"/>
      <c r="D2665" s="21"/>
      <c r="E2665" s="21"/>
      <c r="F2665" s="21"/>
      <c r="G2665" s="21"/>
      <c r="H2665" s="21"/>
      <c r="I2665" s="21"/>
      <c r="J2665" s="21"/>
      <c r="K2665" s="21"/>
      <c r="L2665" s="21"/>
      <c r="M2665" s="21"/>
      <c r="N2665" s="21"/>
      <c r="O2665" s="21"/>
      <c r="P2665" s="21"/>
      <c r="Q2665" s="21"/>
      <c r="R2665" s="21"/>
    </row>
    <row r="2666" spans="2:18" x14ac:dyDescent="0.35">
      <c r="B2666" s="17"/>
      <c r="C2666" s="18"/>
      <c r="D2666" s="21"/>
      <c r="E2666" s="21"/>
      <c r="F2666" s="21"/>
      <c r="G2666" s="21"/>
      <c r="H2666" s="21"/>
      <c r="I2666" s="21"/>
      <c r="J2666" s="21"/>
      <c r="K2666" s="21"/>
      <c r="L2666" s="21"/>
      <c r="M2666" s="21"/>
      <c r="N2666" s="21"/>
      <c r="O2666" s="21"/>
      <c r="P2666" s="21"/>
      <c r="Q2666" s="21"/>
      <c r="R2666" s="21"/>
    </row>
    <row r="2667" spans="2:18" x14ac:dyDescent="0.35">
      <c r="B2667" s="17"/>
      <c r="C2667" s="18"/>
      <c r="D2667" s="21"/>
      <c r="E2667" s="21"/>
      <c r="F2667" s="21"/>
      <c r="G2667" s="21"/>
      <c r="H2667" s="21"/>
      <c r="I2667" s="21"/>
      <c r="J2667" s="21"/>
      <c r="K2667" s="21"/>
      <c r="L2667" s="21"/>
      <c r="M2667" s="21"/>
      <c r="N2667" s="21"/>
      <c r="O2667" s="21"/>
      <c r="P2667" s="21"/>
      <c r="Q2667" s="21"/>
      <c r="R2667" s="21"/>
    </row>
    <row r="2668" spans="2:18" x14ac:dyDescent="0.35">
      <c r="B2668" s="17"/>
      <c r="C2668" s="18"/>
      <c r="D2668" s="21"/>
      <c r="E2668" s="21"/>
      <c r="F2668" s="21"/>
      <c r="G2668" s="21"/>
      <c r="H2668" s="21"/>
      <c r="I2668" s="21"/>
      <c r="J2668" s="21"/>
      <c r="K2668" s="21"/>
      <c r="L2668" s="21"/>
      <c r="M2668" s="21"/>
      <c r="N2668" s="21"/>
      <c r="O2668" s="21"/>
      <c r="P2668" s="21"/>
      <c r="Q2668" s="21"/>
      <c r="R2668" s="21"/>
    </row>
    <row r="2669" spans="2:18" x14ac:dyDescent="0.35">
      <c r="B2669" s="17"/>
      <c r="C2669" s="19"/>
      <c r="D2669" s="21"/>
      <c r="E2669" s="21"/>
      <c r="F2669" s="21"/>
      <c r="G2669" s="21"/>
      <c r="H2669" s="21"/>
      <c r="I2669" s="21"/>
      <c r="J2669" s="21"/>
      <c r="K2669" s="21"/>
      <c r="L2669" s="21"/>
      <c r="M2669" s="21"/>
      <c r="N2669" s="21"/>
      <c r="O2669" s="21"/>
      <c r="P2669" s="21"/>
      <c r="Q2669" s="21"/>
      <c r="R2669" s="21"/>
    </row>
    <row r="2670" spans="2:18" x14ac:dyDescent="0.35">
      <c r="B2670" s="17"/>
      <c r="C2670" s="19"/>
      <c r="D2670" s="21"/>
      <c r="E2670" s="21"/>
      <c r="F2670" s="21"/>
      <c r="G2670" s="21"/>
      <c r="H2670" s="21"/>
      <c r="I2670" s="21"/>
      <c r="J2670" s="21"/>
      <c r="K2670" s="21"/>
      <c r="L2670" s="21"/>
      <c r="M2670" s="21"/>
      <c r="N2670" s="21"/>
      <c r="O2670" s="21"/>
      <c r="P2670" s="21"/>
      <c r="Q2670" s="21"/>
      <c r="R2670" s="21"/>
    </row>
    <row r="2671" spans="2:18" x14ac:dyDescent="0.35">
      <c r="B2671" s="17"/>
      <c r="C2671" s="19"/>
      <c r="D2671" s="21"/>
      <c r="E2671" s="21"/>
      <c r="F2671" s="21"/>
      <c r="G2671" s="21"/>
      <c r="H2671" s="21"/>
      <c r="I2671" s="21"/>
      <c r="J2671" s="21"/>
      <c r="K2671" s="21"/>
      <c r="L2671" s="21"/>
      <c r="M2671" s="21"/>
      <c r="N2671" s="21"/>
      <c r="O2671" s="21"/>
      <c r="P2671" s="21"/>
      <c r="Q2671" s="21"/>
      <c r="R2671" s="21"/>
    </row>
    <row r="2672" spans="2:18" x14ac:dyDescent="0.35">
      <c r="B2672" s="17"/>
      <c r="C2672" s="19"/>
      <c r="D2672" s="21"/>
      <c r="E2672" s="21"/>
      <c r="F2672" s="21"/>
      <c r="G2672" s="21"/>
      <c r="H2672" s="21"/>
      <c r="I2672" s="21"/>
      <c r="J2672" s="21"/>
      <c r="K2672" s="21"/>
      <c r="L2672" s="21"/>
      <c r="M2672" s="21"/>
      <c r="N2672" s="21"/>
      <c r="O2672" s="21"/>
      <c r="P2672" s="21"/>
      <c r="Q2672" s="21"/>
      <c r="R2672" s="21"/>
    </row>
    <row r="2673" spans="2:18" x14ac:dyDescent="0.35">
      <c r="B2673" s="17"/>
      <c r="C2673" s="13"/>
      <c r="D2673" s="14"/>
      <c r="E2673" s="14"/>
      <c r="F2673" s="14"/>
      <c r="G2673" s="14"/>
      <c r="H2673" s="14"/>
      <c r="I2673" s="14"/>
      <c r="J2673" s="14"/>
      <c r="K2673" s="14"/>
      <c r="L2673" s="14"/>
      <c r="M2673" s="14"/>
      <c r="N2673" s="14"/>
      <c r="O2673" s="14"/>
      <c r="P2673" s="14"/>
      <c r="Q2673" s="14"/>
      <c r="R2673" s="14"/>
    </row>
    <row r="2674" spans="2:18" x14ac:dyDescent="0.35">
      <c r="B2674" s="17"/>
      <c r="C2674" s="13"/>
      <c r="D2674" s="14"/>
      <c r="E2674" s="14"/>
      <c r="F2674" s="14"/>
      <c r="G2674" s="14"/>
      <c r="H2674" s="14"/>
      <c r="I2674" s="14"/>
      <c r="J2674" s="14"/>
      <c r="K2674" s="14"/>
      <c r="L2674" s="14"/>
      <c r="M2674" s="14"/>
      <c r="N2674" s="14"/>
      <c r="O2674" s="14"/>
      <c r="P2674" s="14"/>
      <c r="Q2674" s="14"/>
      <c r="R2674" s="14"/>
    </row>
    <row r="2675" spans="2:18" x14ac:dyDescent="0.35">
      <c r="B2675" s="17"/>
      <c r="C2675" s="13"/>
      <c r="D2675" s="14"/>
      <c r="E2675" s="14"/>
      <c r="F2675" s="14"/>
      <c r="G2675" s="14"/>
      <c r="H2675" s="14"/>
      <c r="I2675" s="14"/>
      <c r="J2675" s="14"/>
      <c r="K2675" s="14"/>
      <c r="L2675" s="14"/>
      <c r="M2675" s="14"/>
      <c r="N2675" s="14"/>
      <c r="O2675" s="14"/>
      <c r="P2675" s="14"/>
      <c r="Q2675" s="14"/>
      <c r="R2675" s="14"/>
    </row>
    <row r="2676" spans="2:18" x14ac:dyDescent="0.35">
      <c r="B2676" s="17"/>
      <c r="C2676" s="13"/>
      <c r="D2676" s="14"/>
      <c r="E2676" s="14"/>
      <c r="F2676" s="14"/>
      <c r="G2676" s="14"/>
      <c r="H2676" s="14"/>
      <c r="I2676" s="14"/>
      <c r="J2676" s="14"/>
      <c r="K2676" s="14"/>
      <c r="L2676" s="14"/>
      <c r="M2676" s="14"/>
      <c r="N2676" s="14"/>
      <c r="O2676" s="14"/>
      <c r="P2676" s="14"/>
      <c r="Q2676" s="14"/>
      <c r="R2676" s="14"/>
    </row>
    <row r="2677" spans="2:18" x14ac:dyDescent="0.35">
      <c r="B2677" s="17"/>
      <c r="C2677" s="13"/>
      <c r="D2677" s="14"/>
      <c r="E2677" s="14"/>
      <c r="F2677" s="14"/>
      <c r="G2677" s="14"/>
      <c r="H2677" s="14"/>
      <c r="I2677" s="14"/>
      <c r="J2677" s="14"/>
      <c r="K2677" s="14"/>
      <c r="L2677" s="14"/>
      <c r="M2677" s="14"/>
      <c r="N2677" s="14"/>
      <c r="O2677" s="14"/>
      <c r="P2677" s="14"/>
      <c r="Q2677" s="14"/>
      <c r="R2677" s="14"/>
    </row>
    <row r="2678" spans="2:18" x14ac:dyDescent="0.35">
      <c r="B2678" s="17"/>
      <c r="C2678" s="13"/>
      <c r="D2678" s="14"/>
      <c r="E2678" s="14"/>
      <c r="F2678" s="14"/>
      <c r="G2678" s="14"/>
      <c r="H2678" s="14"/>
      <c r="I2678" s="14"/>
      <c r="J2678" s="14"/>
      <c r="K2678" s="14"/>
      <c r="L2678" s="14"/>
      <c r="M2678" s="14"/>
      <c r="N2678" s="14"/>
      <c r="O2678" s="14"/>
      <c r="P2678" s="14"/>
      <c r="Q2678" s="14"/>
      <c r="R2678" s="14"/>
    </row>
    <row r="2679" spans="2:18" x14ac:dyDescent="0.35">
      <c r="B2679" s="17"/>
      <c r="C2679" s="13"/>
      <c r="D2679" s="14"/>
      <c r="E2679" s="14"/>
      <c r="F2679" s="14"/>
      <c r="G2679" s="14"/>
      <c r="H2679" s="14"/>
      <c r="I2679" s="14"/>
      <c r="J2679" s="14"/>
      <c r="K2679" s="14"/>
      <c r="L2679" s="14"/>
      <c r="M2679" s="14"/>
      <c r="N2679" s="14"/>
      <c r="O2679" s="14"/>
      <c r="P2679" s="14"/>
      <c r="Q2679" s="14"/>
      <c r="R2679" s="14"/>
    </row>
    <row r="2680" spans="2:18" x14ac:dyDescent="0.35">
      <c r="B2680" s="17"/>
      <c r="C2680" s="13"/>
      <c r="D2680" s="14"/>
      <c r="E2680" s="14"/>
      <c r="F2680" s="14"/>
      <c r="G2680" s="14"/>
      <c r="H2680" s="14"/>
      <c r="I2680" s="14"/>
      <c r="J2680" s="14"/>
      <c r="K2680" s="14"/>
      <c r="L2680" s="14"/>
      <c r="M2680" s="14"/>
      <c r="N2680" s="14"/>
      <c r="O2680" s="14"/>
      <c r="P2680" s="14"/>
      <c r="Q2680" s="14"/>
      <c r="R2680" s="14"/>
    </row>
    <row r="2681" spans="2:18" x14ac:dyDescent="0.35">
      <c r="B2681" s="17"/>
      <c r="C2681" s="13"/>
      <c r="D2681" s="14"/>
      <c r="E2681" s="14"/>
      <c r="F2681" s="14"/>
      <c r="G2681" s="14"/>
      <c r="H2681" s="14"/>
      <c r="I2681" s="14"/>
      <c r="J2681" s="14"/>
      <c r="K2681" s="14"/>
      <c r="L2681" s="14"/>
      <c r="M2681" s="14"/>
      <c r="N2681" s="14"/>
      <c r="O2681" s="14"/>
      <c r="P2681" s="14"/>
      <c r="Q2681" s="14"/>
      <c r="R2681" s="14"/>
    </row>
    <row r="2682" spans="2:18" x14ac:dyDescent="0.35">
      <c r="B2682" s="17"/>
      <c r="C2682" s="13"/>
      <c r="D2682" s="14"/>
      <c r="E2682" s="14"/>
      <c r="F2682" s="14"/>
      <c r="G2682" s="14"/>
      <c r="H2682" s="14"/>
      <c r="I2682" s="14"/>
      <c r="J2682" s="14"/>
      <c r="K2682" s="14"/>
      <c r="L2682" s="14"/>
      <c r="M2682" s="14"/>
      <c r="N2682" s="14"/>
      <c r="O2682" s="14"/>
      <c r="P2682" s="14"/>
      <c r="Q2682" s="14"/>
      <c r="R2682" s="14"/>
    </row>
    <row r="2683" spans="2:18" x14ac:dyDescent="0.35">
      <c r="B2683" s="17"/>
      <c r="C2683" s="13"/>
      <c r="D2683" s="14"/>
      <c r="E2683" s="14"/>
      <c r="F2683" s="14"/>
      <c r="G2683" s="14"/>
      <c r="H2683" s="14"/>
      <c r="I2683" s="14"/>
      <c r="J2683" s="14"/>
      <c r="K2683" s="14"/>
      <c r="L2683" s="14"/>
      <c r="M2683" s="14"/>
      <c r="N2683" s="14"/>
      <c r="O2683" s="14"/>
      <c r="P2683" s="14"/>
      <c r="Q2683" s="14"/>
      <c r="R2683" s="14"/>
    </row>
    <row r="2684" spans="2:18" x14ac:dyDescent="0.35">
      <c r="B2684" s="17"/>
      <c r="C2684" s="13"/>
      <c r="D2684" s="14"/>
      <c r="E2684" s="14"/>
      <c r="F2684" s="14"/>
      <c r="G2684" s="14"/>
      <c r="H2684" s="14"/>
      <c r="I2684" s="14"/>
      <c r="J2684" s="14"/>
      <c r="K2684" s="14"/>
      <c r="L2684" s="14"/>
      <c r="M2684" s="14"/>
      <c r="N2684" s="14"/>
      <c r="O2684" s="14"/>
      <c r="P2684" s="14"/>
      <c r="Q2684" s="14"/>
      <c r="R2684" s="14"/>
    </row>
    <row r="2685" spans="2:18" x14ac:dyDescent="0.35">
      <c r="B2685" s="17"/>
      <c r="C2685" s="13"/>
      <c r="D2685" s="14"/>
      <c r="E2685" s="14"/>
      <c r="F2685" s="14"/>
      <c r="G2685" s="14"/>
      <c r="H2685" s="14"/>
      <c r="I2685" s="14"/>
      <c r="J2685" s="14"/>
      <c r="K2685" s="14"/>
      <c r="L2685" s="14"/>
      <c r="M2685" s="14"/>
      <c r="N2685" s="14"/>
      <c r="O2685" s="14"/>
      <c r="P2685" s="14"/>
      <c r="Q2685" s="14"/>
      <c r="R2685" s="14"/>
    </row>
    <row r="2686" spans="2:18" x14ac:dyDescent="0.35">
      <c r="B2686" s="17"/>
      <c r="C2686" s="13"/>
      <c r="D2686" s="14"/>
      <c r="E2686" s="14"/>
      <c r="F2686" s="14"/>
      <c r="G2686" s="14"/>
      <c r="H2686" s="14"/>
      <c r="I2686" s="14"/>
      <c r="J2686" s="14"/>
      <c r="K2686" s="14"/>
      <c r="L2686" s="14"/>
      <c r="M2686" s="14"/>
      <c r="N2686" s="14"/>
      <c r="O2686" s="14"/>
      <c r="P2686" s="14"/>
      <c r="Q2686" s="14"/>
      <c r="R2686" s="14"/>
    </row>
    <row r="2687" spans="2:18" x14ac:dyDescent="0.35">
      <c r="B2687" s="17"/>
      <c r="C2687" s="13"/>
      <c r="D2687" s="14"/>
      <c r="E2687" s="14"/>
      <c r="F2687" s="14"/>
      <c r="G2687" s="14"/>
      <c r="H2687" s="14"/>
      <c r="I2687" s="14"/>
      <c r="J2687" s="14"/>
      <c r="K2687" s="14"/>
      <c r="L2687" s="14"/>
      <c r="M2687" s="14"/>
      <c r="N2687" s="14"/>
      <c r="O2687" s="14"/>
      <c r="P2687" s="14"/>
      <c r="Q2687" s="14"/>
      <c r="R2687" s="14"/>
    </row>
    <row r="2688" spans="2:18" x14ac:dyDescent="0.35">
      <c r="B2688" s="17"/>
      <c r="C2688" s="18"/>
      <c r="D2688" s="21"/>
      <c r="E2688" s="21"/>
      <c r="F2688" s="21"/>
      <c r="G2688" s="21"/>
      <c r="H2688" s="21"/>
      <c r="I2688" s="21"/>
      <c r="J2688" s="21"/>
      <c r="K2688" s="21"/>
      <c r="L2688" s="21"/>
      <c r="M2688" s="21"/>
      <c r="N2688" s="21"/>
      <c r="O2688" s="21"/>
      <c r="P2688" s="21"/>
      <c r="Q2688" s="21"/>
      <c r="R2688" s="21"/>
    </row>
    <row r="2689" spans="2:18" x14ac:dyDescent="0.35">
      <c r="B2689" s="17"/>
      <c r="C2689" s="18"/>
      <c r="D2689" s="21"/>
      <c r="E2689" s="21"/>
      <c r="F2689" s="21"/>
      <c r="G2689" s="21"/>
      <c r="H2689" s="21"/>
      <c r="I2689" s="21"/>
      <c r="J2689" s="21"/>
      <c r="K2689" s="21"/>
      <c r="L2689" s="21"/>
      <c r="M2689" s="21"/>
      <c r="N2689" s="21"/>
      <c r="O2689" s="21"/>
      <c r="P2689" s="21"/>
      <c r="Q2689" s="21"/>
      <c r="R2689" s="21"/>
    </row>
    <row r="2690" spans="2:18" x14ac:dyDescent="0.35">
      <c r="B2690" s="17"/>
      <c r="C2690" s="18"/>
      <c r="D2690" s="21"/>
      <c r="E2690" s="21"/>
      <c r="F2690" s="21"/>
      <c r="G2690" s="21"/>
      <c r="H2690" s="21"/>
      <c r="I2690" s="21"/>
      <c r="J2690" s="21"/>
      <c r="K2690" s="21"/>
      <c r="L2690" s="21"/>
      <c r="M2690" s="21"/>
      <c r="N2690" s="21"/>
      <c r="O2690" s="21"/>
      <c r="P2690" s="21"/>
      <c r="Q2690" s="21"/>
      <c r="R2690" s="21"/>
    </row>
    <row r="2691" spans="2:18" x14ac:dyDescent="0.35">
      <c r="B2691" s="17"/>
      <c r="C2691" s="18"/>
      <c r="D2691" s="21"/>
      <c r="E2691" s="21"/>
      <c r="F2691" s="21"/>
      <c r="G2691" s="21"/>
      <c r="H2691" s="21"/>
      <c r="I2691" s="21"/>
      <c r="J2691" s="21"/>
      <c r="K2691" s="21"/>
      <c r="L2691" s="21"/>
      <c r="M2691" s="21"/>
      <c r="N2691" s="21"/>
      <c r="O2691" s="21"/>
      <c r="P2691" s="21"/>
      <c r="Q2691" s="21"/>
      <c r="R2691" s="21"/>
    </row>
    <row r="2692" spans="2:18" x14ac:dyDescent="0.35">
      <c r="B2692" s="17"/>
      <c r="C2692" s="18"/>
      <c r="D2692" s="21"/>
      <c r="E2692" s="21"/>
      <c r="F2692" s="21"/>
      <c r="G2692" s="21"/>
      <c r="H2692" s="21"/>
      <c r="I2692" s="21"/>
      <c r="J2692" s="21"/>
      <c r="K2692" s="21"/>
      <c r="L2692" s="21"/>
      <c r="M2692" s="21"/>
      <c r="N2692" s="21"/>
      <c r="O2692" s="21"/>
      <c r="P2692" s="21"/>
      <c r="Q2692" s="21"/>
      <c r="R2692" s="21"/>
    </row>
    <row r="2693" spans="2:18" x14ac:dyDescent="0.35">
      <c r="B2693" s="17"/>
      <c r="C2693" s="18"/>
      <c r="D2693" s="21"/>
      <c r="E2693" s="21"/>
      <c r="F2693" s="21"/>
      <c r="G2693" s="21"/>
      <c r="H2693" s="21"/>
      <c r="I2693" s="21"/>
      <c r="J2693" s="21"/>
      <c r="K2693" s="21"/>
      <c r="L2693" s="21"/>
      <c r="M2693" s="21"/>
      <c r="N2693" s="21"/>
      <c r="O2693" s="21"/>
      <c r="P2693" s="21"/>
      <c r="Q2693" s="21"/>
      <c r="R2693" s="21"/>
    </row>
    <row r="2694" spans="2:18" x14ac:dyDescent="0.35">
      <c r="B2694" s="17"/>
      <c r="C2694" s="18"/>
      <c r="D2694" s="21"/>
      <c r="E2694" s="21"/>
      <c r="F2694" s="21"/>
      <c r="G2694" s="21"/>
      <c r="H2694" s="21"/>
      <c r="I2694" s="21"/>
      <c r="J2694" s="21"/>
      <c r="K2694" s="21"/>
      <c r="L2694" s="21"/>
      <c r="M2694" s="21"/>
      <c r="N2694" s="21"/>
      <c r="O2694" s="21"/>
      <c r="P2694" s="21"/>
      <c r="Q2694" s="21"/>
      <c r="R2694" s="21"/>
    </row>
    <row r="2695" spans="2:18" x14ac:dyDescent="0.35">
      <c r="B2695" s="17"/>
      <c r="C2695" s="18"/>
      <c r="D2695" s="21"/>
      <c r="E2695" s="21"/>
      <c r="F2695" s="21"/>
      <c r="G2695" s="21"/>
      <c r="H2695" s="21"/>
      <c r="I2695" s="21"/>
      <c r="J2695" s="21"/>
      <c r="K2695" s="21"/>
      <c r="L2695" s="21"/>
      <c r="M2695" s="21"/>
      <c r="N2695" s="21"/>
      <c r="O2695" s="21"/>
      <c r="P2695" s="21"/>
      <c r="Q2695" s="21"/>
      <c r="R2695" s="21"/>
    </row>
    <row r="2696" spans="2:18" x14ac:dyDescent="0.35">
      <c r="B2696" s="17"/>
      <c r="C2696" s="18"/>
      <c r="D2696" s="21"/>
      <c r="E2696" s="21"/>
      <c r="F2696" s="21"/>
      <c r="G2696" s="21"/>
      <c r="H2696" s="21"/>
      <c r="I2696" s="21"/>
      <c r="J2696" s="21"/>
      <c r="K2696" s="21"/>
      <c r="L2696" s="21"/>
      <c r="M2696" s="21"/>
      <c r="N2696" s="21"/>
      <c r="O2696" s="21"/>
      <c r="P2696" s="21"/>
      <c r="Q2696" s="21"/>
      <c r="R2696" s="21"/>
    </row>
    <row r="2697" spans="2:18" x14ac:dyDescent="0.35">
      <c r="B2697" s="17"/>
      <c r="C2697" s="18"/>
      <c r="D2697" s="21"/>
      <c r="E2697" s="21"/>
      <c r="F2697" s="21"/>
      <c r="G2697" s="21"/>
      <c r="H2697" s="21"/>
      <c r="I2697" s="21"/>
      <c r="J2697" s="21"/>
      <c r="K2697" s="21"/>
      <c r="L2697" s="21"/>
      <c r="M2697" s="21"/>
      <c r="N2697" s="21"/>
      <c r="O2697" s="21"/>
      <c r="P2697" s="21"/>
      <c r="Q2697" s="21"/>
      <c r="R2697" s="21"/>
    </row>
    <row r="2698" spans="2:18" x14ac:dyDescent="0.35">
      <c r="B2698" s="17"/>
      <c r="C2698" s="18"/>
      <c r="D2698" s="21"/>
      <c r="E2698" s="21"/>
      <c r="F2698" s="21"/>
      <c r="G2698" s="21"/>
      <c r="H2698" s="21"/>
      <c r="I2698" s="21"/>
      <c r="J2698" s="21"/>
      <c r="K2698" s="21"/>
      <c r="L2698" s="21"/>
      <c r="M2698" s="21"/>
      <c r="N2698" s="21"/>
      <c r="O2698" s="21"/>
      <c r="P2698" s="21"/>
      <c r="Q2698" s="21"/>
      <c r="R2698" s="21"/>
    </row>
    <row r="2699" spans="2:18" x14ac:dyDescent="0.35">
      <c r="B2699" s="17"/>
      <c r="C2699" s="18"/>
      <c r="D2699" s="21"/>
      <c r="E2699" s="21"/>
      <c r="F2699" s="21"/>
      <c r="G2699" s="21"/>
      <c r="H2699" s="21"/>
      <c r="I2699" s="21"/>
      <c r="J2699" s="21"/>
      <c r="K2699" s="21"/>
      <c r="L2699" s="21"/>
      <c r="M2699" s="21"/>
      <c r="N2699" s="21"/>
      <c r="O2699" s="21"/>
      <c r="P2699" s="21"/>
      <c r="Q2699" s="21"/>
      <c r="R2699" s="21"/>
    </row>
    <row r="2700" spans="2:18" x14ac:dyDescent="0.35">
      <c r="B2700" s="17"/>
      <c r="C2700" s="18"/>
      <c r="D2700" s="21"/>
      <c r="E2700" s="21"/>
      <c r="F2700" s="21"/>
      <c r="G2700" s="21"/>
      <c r="H2700" s="21"/>
      <c r="I2700" s="21"/>
      <c r="J2700" s="21"/>
      <c r="K2700" s="21"/>
      <c r="L2700" s="21"/>
      <c r="M2700" s="21"/>
      <c r="N2700" s="21"/>
      <c r="O2700" s="21"/>
      <c r="P2700" s="21"/>
      <c r="Q2700" s="21"/>
      <c r="R2700" s="21"/>
    </row>
    <row r="2701" spans="2:18" x14ac:dyDescent="0.35">
      <c r="B2701" s="17"/>
      <c r="C2701" s="18"/>
      <c r="D2701" s="21"/>
      <c r="E2701" s="21"/>
      <c r="F2701" s="21"/>
      <c r="G2701" s="21"/>
      <c r="H2701" s="21"/>
      <c r="I2701" s="21"/>
      <c r="J2701" s="21"/>
      <c r="K2701" s="21"/>
      <c r="L2701" s="21"/>
      <c r="M2701" s="21"/>
      <c r="N2701" s="21"/>
      <c r="O2701" s="21"/>
      <c r="P2701" s="21"/>
      <c r="Q2701" s="21"/>
      <c r="R2701" s="21"/>
    </row>
    <row r="2702" spans="2:18" x14ac:dyDescent="0.35">
      <c r="B2702" s="17"/>
      <c r="C2702" s="18"/>
      <c r="D2702" s="21"/>
      <c r="E2702" s="21"/>
      <c r="F2702" s="21"/>
      <c r="G2702" s="21"/>
      <c r="H2702" s="21"/>
      <c r="I2702" s="21"/>
      <c r="J2702" s="21"/>
      <c r="K2702" s="21"/>
      <c r="L2702" s="21"/>
      <c r="M2702" s="21"/>
      <c r="N2702" s="21"/>
      <c r="O2702" s="21"/>
      <c r="P2702" s="21"/>
      <c r="Q2702" s="21"/>
      <c r="R2702" s="21"/>
    </row>
    <row r="2703" spans="2:18" x14ac:dyDescent="0.35">
      <c r="B2703" s="17"/>
      <c r="C2703" s="18"/>
      <c r="D2703" s="21"/>
      <c r="E2703" s="21"/>
      <c r="F2703" s="21"/>
      <c r="G2703" s="21"/>
      <c r="H2703" s="21"/>
      <c r="I2703" s="21"/>
      <c r="J2703" s="21"/>
      <c r="K2703" s="21"/>
      <c r="L2703" s="21"/>
      <c r="M2703" s="21"/>
      <c r="N2703" s="21"/>
      <c r="O2703" s="21"/>
      <c r="P2703" s="21"/>
      <c r="Q2703" s="21"/>
      <c r="R2703" s="21"/>
    </row>
    <row r="2704" spans="2:18" x14ac:dyDescent="0.35">
      <c r="B2704" s="17"/>
      <c r="C2704" s="13"/>
      <c r="D2704" s="14"/>
      <c r="E2704" s="14"/>
      <c r="F2704" s="14"/>
      <c r="G2704" s="14"/>
      <c r="H2704" s="14"/>
      <c r="I2704" s="14"/>
      <c r="J2704" s="14"/>
      <c r="K2704" s="14"/>
      <c r="L2704" s="14"/>
      <c r="M2704" s="14"/>
      <c r="N2704" s="14"/>
      <c r="O2704" s="14"/>
      <c r="P2704" s="14"/>
      <c r="Q2704" s="14"/>
      <c r="R2704" s="14"/>
    </row>
    <row r="2705" spans="2:18" x14ac:dyDescent="0.35">
      <c r="B2705" s="17"/>
      <c r="C2705" s="13"/>
      <c r="D2705" s="14"/>
      <c r="E2705" s="14"/>
      <c r="F2705" s="14"/>
      <c r="G2705" s="14"/>
      <c r="H2705" s="14"/>
      <c r="I2705" s="14"/>
      <c r="J2705" s="14"/>
      <c r="K2705" s="14"/>
      <c r="L2705" s="14"/>
      <c r="M2705" s="14"/>
      <c r="N2705" s="14"/>
      <c r="O2705" s="14"/>
      <c r="P2705" s="14"/>
      <c r="Q2705" s="14"/>
      <c r="R2705" s="14"/>
    </row>
    <row r="2706" spans="2:18" x14ac:dyDescent="0.35">
      <c r="B2706" s="17"/>
      <c r="C2706" s="13"/>
      <c r="D2706" s="14"/>
      <c r="E2706" s="14"/>
      <c r="F2706" s="14"/>
      <c r="G2706" s="14"/>
      <c r="H2706" s="14"/>
      <c r="I2706" s="14"/>
      <c r="J2706" s="14"/>
      <c r="K2706" s="14"/>
      <c r="L2706" s="14"/>
      <c r="M2706" s="14"/>
      <c r="N2706" s="14"/>
      <c r="O2706" s="14"/>
      <c r="P2706" s="14"/>
      <c r="Q2706" s="14"/>
      <c r="R2706" s="14"/>
    </row>
    <row r="2707" spans="2:18" x14ac:dyDescent="0.35">
      <c r="B2707" s="17"/>
      <c r="C2707" s="13"/>
      <c r="D2707" s="14"/>
      <c r="E2707" s="14"/>
      <c r="F2707" s="14"/>
      <c r="G2707" s="14"/>
      <c r="H2707" s="14"/>
      <c r="I2707" s="14"/>
      <c r="J2707" s="14"/>
      <c r="K2707" s="14"/>
      <c r="L2707" s="14"/>
      <c r="M2707" s="14"/>
      <c r="N2707" s="14"/>
      <c r="O2707" s="14"/>
      <c r="P2707" s="14"/>
      <c r="Q2707" s="14"/>
      <c r="R2707" s="14"/>
    </row>
    <row r="2708" spans="2:18" x14ac:dyDescent="0.35">
      <c r="B2708" s="17"/>
      <c r="C2708" s="13"/>
      <c r="D2708" s="14"/>
      <c r="E2708" s="14"/>
      <c r="F2708" s="14"/>
      <c r="G2708" s="14"/>
      <c r="H2708" s="14"/>
      <c r="I2708" s="14"/>
      <c r="J2708" s="14"/>
      <c r="K2708" s="14"/>
      <c r="L2708" s="14"/>
      <c r="M2708" s="14"/>
      <c r="N2708" s="14"/>
      <c r="O2708" s="14"/>
      <c r="P2708" s="14"/>
      <c r="Q2708" s="14"/>
      <c r="R2708" s="14"/>
    </row>
    <row r="2709" spans="2:18" x14ac:dyDescent="0.35">
      <c r="B2709" s="17"/>
      <c r="C2709" s="13"/>
      <c r="D2709" s="14"/>
      <c r="E2709" s="14"/>
      <c r="F2709" s="14"/>
      <c r="G2709" s="14"/>
      <c r="H2709" s="14"/>
      <c r="I2709" s="14"/>
      <c r="J2709" s="14"/>
      <c r="K2709" s="14"/>
      <c r="L2709" s="14"/>
      <c r="M2709" s="14"/>
      <c r="N2709" s="14"/>
      <c r="O2709" s="14"/>
      <c r="P2709" s="14"/>
      <c r="Q2709" s="14"/>
      <c r="R2709" s="14"/>
    </row>
    <row r="2710" spans="2:18" x14ac:dyDescent="0.35">
      <c r="B2710" s="17"/>
      <c r="C2710" s="13"/>
      <c r="D2710" s="14"/>
      <c r="E2710" s="14"/>
      <c r="F2710" s="14"/>
      <c r="G2710" s="14"/>
      <c r="H2710" s="14"/>
      <c r="I2710" s="14"/>
      <c r="J2710" s="14"/>
      <c r="K2710" s="14"/>
      <c r="L2710" s="14"/>
      <c r="M2710" s="14"/>
      <c r="N2710" s="14"/>
      <c r="O2710" s="14"/>
      <c r="P2710" s="14"/>
      <c r="Q2710" s="14"/>
      <c r="R2710" s="14"/>
    </row>
    <row r="2711" spans="2:18" x14ac:dyDescent="0.35">
      <c r="B2711" s="17"/>
      <c r="C2711" s="18"/>
      <c r="D2711" s="21"/>
      <c r="E2711" s="21"/>
      <c r="F2711" s="21"/>
      <c r="G2711" s="21"/>
      <c r="H2711" s="21"/>
      <c r="I2711" s="21"/>
      <c r="J2711" s="21"/>
      <c r="K2711" s="21"/>
      <c r="L2711" s="21"/>
      <c r="M2711" s="21"/>
      <c r="N2711" s="21"/>
      <c r="O2711" s="21"/>
      <c r="P2711" s="21"/>
      <c r="Q2711" s="21"/>
      <c r="R2711" s="21"/>
    </row>
    <row r="2712" spans="2:18" x14ac:dyDescent="0.35">
      <c r="B2712" s="17"/>
      <c r="C2712" s="18"/>
      <c r="D2712" s="21"/>
      <c r="E2712" s="21"/>
      <c r="F2712" s="21"/>
      <c r="G2712" s="21"/>
      <c r="H2712" s="21"/>
      <c r="I2712" s="21"/>
      <c r="J2712" s="21"/>
      <c r="K2712" s="21"/>
      <c r="L2712" s="21"/>
      <c r="M2712" s="21"/>
      <c r="N2712" s="21"/>
      <c r="O2712" s="21"/>
      <c r="P2712" s="21"/>
      <c r="Q2712" s="21"/>
      <c r="R2712" s="21"/>
    </row>
    <row r="2713" spans="2:18" x14ac:dyDescent="0.35">
      <c r="B2713" s="17"/>
      <c r="C2713" s="18"/>
      <c r="D2713" s="21"/>
      <c r="E2713" s="21"/>
      <c r="F2713" s="21"/>
      <c r="G2713" s="21"/>
      <c r="H2713" s="21"/>
      <c r="I2713" s="21"/>
      <c r="J2713" s="21"/>
      <c r="K2713" s="21"/>
      <c r="L2713" s="21"/>
      <c r="M2713" s="21"/>
      <c r="N2713" s="21"/>
      <c r="O2713" s="21"/>
      <c r="P2713" s="21"/>
      <c r="Q2713" s="21"/>
      <c r="R2713" s="21"/>
    </row>
    <row r="2714" spans="2:18" x14ac:dyDescent="0.35">
      <c r="B2714" s="17"/>
      <c r="C2714" s="18"/>
      <c r="D2714" s="21"/>
      <c r="E2714" s="21"/>
      <c r="F2714" s="21"/>
      <c r="G2714" s="21"/>
      <c r="H2714" s="21"/>
      <c r="I2714" s="21"/>
      <c r="J2714" s="21"/>
      <c r="K2714" s="21"/>
      <c r="L2714" s="21"/>
      <c r="M2714" s="21"/>
      <c r="N2714" s="21"/>
      <c r="O2714" s="21"/>
      <c r="P2714" s="21"/>
      <c r="Q2714" s="21"/>
      <c r="R2714" s="21"/>
    </row>
    <row r="2715" spans="2:18" x14ac:dyDescent="0.35">
      <c r="B2715" s="17"/>
      <c r="C2715" s="18"/>
      <c r="D2715" s="21"/>
      <c r="E2715" s="21"/>
      <c r="F2715" s="21"/>
      <c r="G2715" s="21"/>
      <c r="H2715" s="21"/>
      <c r="I2715" s="21"/>
      <c r="J2715" s="21"/>
      <c r="K2715" s="21"/>
      <c r="L2715" s="21"/>
      <c r="M2715" s="21"/>
      <c r="N2715" s="21"/>
      <c r="O2715" s="21"/>
      <c r="P2715" s="21"/>
      <c r="Q2715" s="21"/>
      <c r="R2715" s="21"/>
    </row>
    <row r="2716" spans="2:18" x14ac:dyDescent="0.35">
      <c r="B2716" s="17"/>
      <c r="C2716" s="19"/>
      <c r="D2716" s="21"/>
      <c r="E2716" s="21"/>
      <c r="F2716" s="21"/>
      <c r="G2716" s="21"/>
      <c r="H2716" s="21"/>
      <c r="I2716" s="21"/>
      <c r="J2716" s="21"/>
      <c r="K2716" s="21"/>
      <c r="L2716" s="21"/>
      <c r="M2716" s="21"/>
      <c r="N2716" s="21"/>
      <c r="O2716" s="21"/>
      <c r="P2716" s="21"/>
      <c r="Q2716" s="21"/>
      <c r="R2716" s="21"/>
    </row>
    <row r="2717" spans="2:18" x14ac:dyDescent="0.35">
      <c r="B2717" s="17"/>
      <c r="C2717" s="19"/>
      <c r="D2717" s="21"/>
      <c r="E2717" s="21"/>
      <c r="F2717" s="21"/>
      <c r="G2717" s="21"/>
      <c r="H2717" s="21"/>
      <c r="I2717" s="21"/>
      <c r="J2717" s="21"/>
      <c r="K2717" s="21"/>
      <c r="L2717" s="21"/>
      <c r="M2717" s="21"/>
      <c r="N2717" s="21"/>
      <c r="O2717" s="21"/>
      <c r="P2717" s="21"/>
      <c r="Q2717" s="21"/>
      <c r="R2717" s="21"/>
    </row>
    <row r="2718" spans="2:18" x14ac:dyDescent="0.35">
      <c r="B2718" s="17"/>
      <c r="C2718" s="19"/>
      <c r="D2718" s="21"/>
      <c r="E2718" s="21"/>
      <c r="F2718" s="21"/>
      <c r="G2718" s="21"/>
      <c r="H2718" s="21"/>
      <c r="I2718" s="21"/>
      <c r="J2718" s="21"/>
      <c r="K2718" s="21"/>
      <c r="L2718" s="21"/>
      <c r="M2718" s="21"/>
      <c r="N2718" s="21"/>
      <c r="O2718" s="21"/>
      <c r="P2718" s="21"/>
      <c r="Q2718" s="21"/>
      <c r="R2718" s="21"/>
    </row>
    <row r="2719" spans="2:18" x14ac:dyDescent="0.35">
      <c r="B2719" s="17"/>
      <c r="C2719" s="19"/>
      <c r="D2719" s="21"/>
      <c r="E2719" s="21"/>
      <c r="F2719" s="21"/>
      <c r="G2719" s="21"/>
      <c r="H2719" s="21"/>
      <c r="I2719" s="21"/>
      <c r="J2719" s="21"/>
      <c r="K2719" s="21"/>
      <c r="L2719" s="21"/>
      <c r="M2719" s="21"/>
      <c r="N2719" s="21"/>
      <c r="O2719" s="21"/>
      <c r="P2719" s="21"/>
      <c r="Q2719" s="21"/>
      <c r="R2719" s="21"/>
    </row>
    <row r="2720" spans="2:18" x14ac:dyDescent="0.35">
      <c r="B2720" s="17"/>
      <c r="C2720" s="13"/>
      <c r="D2720" s="14"/>
      <c r="E2720" s="14"/>
      <c r="F2720" s="14"/>
      <c r="G2720" s="14"/>
      <c r="H2720" s="14"/>
      <c r="I2720" s="14"/>
      <c r="J2720" s="14"/>
      <c r="K2720" s="14"/>
      <c r="L2720" s="14"/>
      <c r="M2720" s="14"/>
      <c r="N2720" s="14"/>
      <c r="O2720" s="14"/>
      <c r="P2720" s="14"/>
      <c r="Q2720" s="14"/>
      <c r="R2720" s="14"/>
    </row>
    <row r="2721" spans="2:18" x14ac:dyDescent="0.35">
      <c r="B2721" s="17"/>
      <c r="C2721" s="13"/>
      <c r="D2721" s="14"/>
      <c r="E2721" s="14"/>
      <c r="F2721" s="14"/>
      <c r="G2721" s="14"/>
      <c r="H2721" s="14"/>
      <c r="I2721" s="14"/>
      <c r="J2721" s="14"/>
      <c r="K2721" s="14"/>
      <c r="L2721" s="14"/>
      <c r="M2721" s="14"/>
      <c r="N2721" s="14"/>
      <c r="O2721" s="14"/>
      <c r="P2721" s="14"/>
      <c r="Q2721" s="14"/>
      <c r="R2721" s="14"/>
    </row>
    <row r="2722" spans="2:18" x14ac:dyDescent="0.35">
      <c r="B2722" s="17"/>
      <c r="C2722" s="13"/>
      <c r="D2722" s="14"/>
      <c r="E2722" s="14"/>
      <c r="F2722" s="14"/>
      <c r="G2722" s="14"/>
      <c r="H2722" s="14"/>
      <c r="I2722" s="14"/>
      <c r="J2722" s="14"/>
      <c r="K2722" s="14"/>
      <c r="L2722" s="14"/>
      <c r="M2722" s="14"/>
      <c r="N2722" s="14"/>
      <c r="O2722" s="14"/>
      <c r="P2722" s="14"/>
      <c r="Q2722" s="14"/>
      <c r="R2722" s="14"/>
    </row>
    <row r="2723" spans="2:18" x14ac:dyDescent="0.35">
      <c r="B2723" s="17"/>
      <c r="C2723" s="13"/>
      <c r="D2723" s="14"/>
      <c r="E2723" s="14"/>
      <c r="F2723" s="14"/>
      <c r="G2723" s="14"/>
      <c r="H2723" s="14"/>
      <c r="I2723" s="14"/>
      <c r="J2723" s="14"/>
      <c r="K2723" s="14"/>
      <c r="L2723" s="14"/>
      <c r="M2723" s="14"/>
      <c r="N2723" s="14"/>
      <c r="O2723" s="14"/>
      <c r="P2723" s="14"/>
      <c r="Q2723" s="14"/>
      <c r="R2723" s="14"/>
    </row>
    <row r="2724" spans="2:18" x14ac:dyDescent="0.35">
      <c r="B2724" s="17"/>
      <c r="C2724" s="13"/>
      <c r="D2724" s="14"/>
      <c r="E2724" s="14"/>
      <c r="F2724" s="14"/>
      <c r="G2724" s="14"/>
      <c r="H2724" s="14"/>
      <c r="I2724" s="14"/>
      <c r="J2724" s="14"/>
      <c r="K2724" s="14"/>
      <c r="L2724" s="14"/>
      <c r="M2724" s="14"/>
      <c r="N2724" s="14"/>
      <c r="O2724" s="14"/>
      <c r="P2724" s="14"/>
      <c r="Q2724" s="14"/>
      <c r="R2724" s="14"/>
    </row>
    <row r="2725" spans="2:18" x14ac:dyDescent="0.35">
      <c r="B2725" s="17"/>
      <c r="C2725" s="13"/>
      <c r="D2725" s="14"/>
      <c r="E2725" s="14"/>
      <c r="F2725" s="14"/>
      <c r="G2725" s="14"/>
      <c r="H2725" s="14"/>
      <c r="I2725" s="14"/>
      <c r="J2725" s="14"/>
      <c r="K2725" s="14"/>
      <c r="L2725" s="14"/>
      <c r="M2725" s="14"/>
      <c r="N2725" s="14"/>
      <c r="O2725" s="14"/>
      <c r="P2725" s="14"/>
      <c r="Q2725" s="14"/>
      <c r="R2725" s="14"/>
    </row>
    <row r="2726" spans="2:18" x14ac:dyDescent="0.35">
      <c r="B2726" s="17"/>
      <c r="C2726" s="13"/>
      <c r="D2726" s="14"/>
      <c r="E2726" s="14"/>
      <c r="F2726" s="14"/>
      <c r="G2726" s="14"/>
      <c r="H2726" s="14"/>
      <c r="I2726" s="14"/>
      <c r="J2726" s="14"/>
      <c r="K2726" s="14"/>
      <c r="L2726" s="14"/>
      <c r="M2726" s="14"/>
      <c r="N2726" s="14"/>
      <c r="O2726" s="14"/>
      <c r="P2726" s="14"/>
      <c r="Q2726" s="14"/>
      <c r="R2726" s="14"/>
    </row>
    <row r="2727" spans="2:18" x14ac:dyDescent="0.35">
      <c r="B2727" s="17"/>
      <c r="C2727" s="13"/>
      <c r="D2727" s="14"/>
      <c r="E2727" s="14"/>
      <c r="F2727" s="14"/>
      <c r="G2727" s="14"/>
      <c r="H2727" s="14"/>
      <c r="I2727" s="14"/>
      <c r="J2727" s="14"/>
      <c r="K2727" s="14"/>
      <c r="L2727" s="14"/>
      <c r="M2727" s="14"/>
      <c r="N2727" s="14"/>
      <c r="O2727" s="14"/>
      <c r="P2727" s="14"/>
      <c r="Q2727" s="14"/>
      <c r="R2727" s="14"/>
    </row>
    <row r="2728" spans="2:18" x14ac:dyDescent="0.35">
      <c r="B2728" s="17"/>
      <c r="C2728" s="13"/>
      <c r="D2728" s="14"/>
      <c r="E2728" s="14"/>
      <c r="F2728" s="14"/>
      <c r="G2728" s="14"/>
      <c r="H2728" s="14"/>
      <c r="I2728" s="14"/>
      <c r="J2728" s="14"/>
      <c r="K2728" s="14"/>
      <c r="L2728" s="14"/>
      <c r="M2728" s="14"/>
      <c r="N2728" s="14"/>
      <c r="O2728" s="14"/>
      <c r="P2728" s="14"/>
      <c r="Q2728" s="14"/>
      <c r="R2728" s="14"/>
    </row>
    <row r="2729" spans="2:18" x14ac:dyDescent="0.35">
      <c r="B2729" s="17"/>
      <c r="C2729" s="13"/>
      <c r="D2729" s="14"/>
      <c r="E2729" s="14"/>
      <c r="F2729" s="14"/>
      <c r="G2729" s="14"/>
      <c r="H2729" s="14"/>
      <c r="I2729" s="14"/>
      <c r="J2729" s="14"/>
      <c r="K2729" s="14"/>
      <c r="L2729" s="14"/>
      <c r="M2729" s="14"/>
      <c r="N2729" s="14"/>
      <c r="O2729" s="14"/>
      <c r="P2729" s="14"/>
      <c r="Q2729" s="14"/>
      <c r="R2729" s="14"/>
    </row>
    <row r="2730" spans="2:18" x14ac:dyDescent="0.35">
      <c r="B2730" s="17"/>
      <c r="C2730" s="13"/>
      <c r="D2730" s="14"/>
      <c r="E2730" s="14"/>
      <c r="F2730" s="14"/>
      <c r="G2730" s="14"/>
      <c r="H2730" s="14"/>
      <c r="I2730" s="14"/>
      <c r="J2730" s="14"/>
      <c r="K2730" s="14"/>
      <c r="L2730" s="14"/>
      <c r="M2730" s="14"/>
      <c r="N2730" s="14"/>
      <c r="O2730" s="14"/>
      <c r="P2730" s="14"/>
      <c r="Q2730" s="14"/>
      <c r="R2730" s="14"/>
    </row>
    <row r="2731" spans="2:18" x14ac:dyDescent="0.35">
      <c r="B2731" s="17"/>
      <c r="C2731" s="13"/>
      <c r="D2731" s="14"/>
      <c r="E2731" s="14"/>
      <c r="F2731" s="14"/>
      <c r="G2731" s="14"/>
      <c r="H2731" s="14"/>
      <c r="I2731" s="14"/>
      <c r="J2731" s="14"/>
      <c r="K2731" s="14"/>
      <c r="L2731" s="14"/>
      <c r="M2731" s="14"/>
      <c r="N2731" s="14"/>
      <c r="O2731" s="14"/>
      <c r="P2731" s="14"/>
      <c r="Q2731" s="14"/>
      <c r="R2731" s="14"/>
    </row>
    <row r="2732" spans="2:18" x14ac:dyDescent="0.35">
      <c r="B2732" s="17"/>
      <c r="C2732" s="13"/>
      <c r="D2732" s="14"/>
      <c r="E2732" s="14"/>
      <c r="F2732" s="14"/>
      <c r="G2732" s="14"/>
      <c r="H2732" s="14"/>
      <c r="I2732" s="14"/>
      <c r="J2732" s="14"/>
      <c r="K2732" s="14"/>
      <c r="L2732" s="14"/>
      <c r="M2732" s="14"/>
      <c r="N2732" s="14"/>
      <c r="O2732" s="14"/>
      <c r="P2732" s="14"/>
      <c r="Q2732" s="14"/>
      <c r="R2732" s="14"/>
    </row>
    <row r="2733" spans="2:18" x14ac:dyDescent="0.35">
      <c r="B2733" s="17"/>
      <c r="C2733" s="13"/>
      <c r="D2733" s="14"/>
      <c r="E2733" s="14"/>
      <c r="F2733" s="14"/>
      <c r="G2733" s="14"/>
      <c r="H2733" s="14"/>
      <c r="I2733" s="14"/>
      <c r="J2733" s="14"/>
      <c r="K2733" s="14"/>
      <c r="L2733" s="14"/>
      <c r="M2733" s="14"/>
      <c r="N2733" s="14"/>
      <c r="O2733" s="14"/>
      <c r="P2733" s="14"/>
      <c r="Q2733" s="14"/>
      <c r="R2733" s="14"/>
    </row>
    <row r="2734" spans="2:18" x14ac:dyDescent="0.35">
      <c r="B2734" s="17"/>
      <c r="C2734" s="13"/>
      <c r="D2734" s="14"/>
      <c r="E2734" s="14"/>
      <c r="F2734" s="14"/>
      <c r="G2734" s="14"/>
      <c r="H2734" s="14"/>
      <c r="I2734" s="14"/>
      <c r="J2734" s="14"/>
      <c r="K2734" s="14"/>
      <c r="L2734" s="14"/>
      <c r="M2734" s="14"/>
      <c r="N2734" s="14"/>
      <c r="O2734" s="14"/>
      <c r="P2734" s="14"/>
      <c r="Q2734" s="14"/>
      <c r="R2734" s="14"/>
    </row>
    <row r="2735" spans="2:18" x14ac:dyDescent="0.35">
      <c r="B2735" s="17"/>
      <c r="C2735" s="18"/>
      <c r="D2735" s="21"/>
      <c r="E2735" s="21"/>
      <c r="F2735" s="21"/>
      <c r="G2735" s="21"/>
      <c r="H2735" s="21"/>
      <c r="I2735" s="21"/>
      <c r="J2735" s="21"/>
      <c r="K2735" s="21"/>
      <c r="L2735" s="21"/>
      <c r="M2735" s="21"/>
      <c r="N2735" s="21"/>
      <c r="O2735" s="21"/>
      <c r="P2735" s="21"/>
      <c r="Q2735" s="21"/>
      <c r="R2735" s="21"/>
    </row>
    <row r="2736" spans="2:18" x14ac:dyDescent="0.35">
      <c r="B2736" s="17"/>
      <c r="C2736" s="18"/>
      <c r="D2736" s="21"/>
      <c r="E2736" s="21"/>
      <c r="F2736" s="21"/>
      <c r="G2736" s="21"/>
      <c r="H2736" s="21"/>
      <c r="I2736" s="21"/>
      <c r="J2736" s="21"/>
      <c r="K2736" s="21"/>
      <c r="L2736" s="21"/>
      <c r="M2736" s="21"/>
      <c r="N2736" s="21"/>
      <c r="O2736" s="21"/>
      <c r="P2736" s="21"/>
      <c r="Q2736" s="21"/>
      <c r="R2736" s="21"/>
    </row>
    <row r="2737" spans="2:18" x14ac:dyDescent="0.35">
      <c r="B2737" s="17"/>
      <c r="C2737" s="18"/>
      <c r="D2737" s="21"/>
      <c r="E2737" s="21"/>
      <c r="F2737" s="21"/>
      <c r="G2737" s="21"/>
      <c r="H2737" s="21"/>
      <c r="I2737" s="21"/>
      <c r="J2737" s="21"/>
      <c r="K2737" s="21"/>
      <c r="L2737" s="21"/>
      <c r="M2737" s="21"/>
      <c r="N2737" s="21"/>
      <c r="O2737" s="21"/>
      <c r="P2737" s="21"/>
      <c r="Q2737" s="21"/>
      <c r="R2737" s="21"/>
    </row>
    <row r="2738" spans="2:18" x14ac:dyDescent="0.35">
      <c r="B2738" s="17"/>
      <c r="C2738" s="18"/>
      <c r="D2738" s="21"/>
      <c r="E2738" s="21"/>
      <c r="F2738" s="21"/>
      <c r="G2738" s="21"/>
      <c r="H2738" s="21"/>
      <c r="I2738" s="21"/>
      <c r="J2738" s="21"/>
      <c r="K2738" s="21"/>
      <c r="L2738" s="21"/>
      <c r="M2738" s="21"/>
      <c r="N2738" s="21"/>
      <c r="O2738" s="21"/>
      <c r="P2738" s="21"/>
      <c r="Q2738" s="21"/>
      <c r="R2738" s="21"/>
    </row>
    <row r="2739" spans="2:18" x14ac:dyDescent="0.35">
      <c r="B2739" s="17"/>
      <c r="C2739" s="18"/>
      <c r="D2739" s="21"/>
      <c r="E2739" s="21"/>
      <c r="F2739" s="21"/>
      <c r="G2739" s="21"/>
      <c r="H2739" s="21"/>
      <c r="I2739" s="21"/>
      <c r="J2739" s="21"/>
      <c r="K2739" s="21"/>
      <c r="L2739" s="21"/>
      <c r="M2739" s="21"/>
      <c r="N2739" s="21"/>
      <c r="O2739" s="21"/>
      <c r="P2739" s="21"/>
      <c r="Q2739" s="21"/>
      <c r="R2739" s="21"/>
    </row>
    <row r="2740" spans="2:18" x14ac:dyDescent="0.35">
      <c r="B2740" s="17"/>
      <c r="C2740" s="18"/>
      <c r="D2740" s="21"/>
      <c r="E2740" s="21"/>
      <c r="F2740" s="21"/>
      <c r="G2740" s="21"/>
      <c r="H2740" s="21"/>
      <c r="I2740" s="21"/>
      <c r="J2740" s="21"/>
      <c r="K2740" s="21"/>
      <c r="L2740" s="21"/>
      <c r="M2740" s="21"/>
      <c r="N2740" s="21"/>
      <c r="O2740" s="21"/>
      <c r="P2740" s="21"/>
      <c r="Q2740" s="21"/>
      <c r="R2740" s="21"/>
    </row>
    <row r="2741" spans="2:18" x14ac:dyDescent="0.35">
      <c r="B2741" s="17"/>
      <c r="C2741" s="18"/>
      <c r="D2741" s="21"/>
      <c r="E2741" s="21"/>
      <c r="F2741" s="21"/>
      <c r="G2741" s="21"/>
      <c r="H2741" s="21"/>
      <c r="I2741" s="21"/>
      <c r="J2741" s="21"/>
      <c r="K2741" s="21"/>
      <c r="L2741" s="21"/>
      <c r="M2741" s="21"/>
      <c r="N2741" s="21"/>
      <c r="O2741" s="21"/>
      <c r="P2741" s="21"/>
      <c r="Q2741" s="21"/>
      <c r="R2741" s="21"/>
    </row>
    <row r="2742" spans="2:18" x14ac:dyDescent="0.35">
      <c r="B2742" s="17"/>
      <c r="C2742" s="18"/>
      <c r="D2742" s="21"/>
      <c r="E2742" s="21"/>
      <c r="F2742" s="21"/>
      <c r="G2742" s="21"/>
      <c r="H2742" s="21"/>
      <c r="I2742" s="21"/>
      <c r="J2742" s="21"/>
      <c r="K2742" s="21"/>
      <c r="L2742" s="21"/>
      <c r="M2742" s="21"/>
      <c r="N2742" s="21"/>
      <c r="O2742" s="21"/>
      <c r="P2742" s="21"/>
      <c r="Q2742" s="21"/>
      <c r="R2742" s="21"/>
    </row>
    <row r="2743" spans="2:18" x14ac:dyDescent="0.35">
      <c r="B2743" s="17"/>
      <c r="C2743" s="18"/>
      <c r="D2743" s="21"/>
      <c r="E2743" s="21"/>
      <c r="F2743" s="21"/>
      <c r="G2743" s="21"/>
      <c r="H2743" s="21"/>
      <c r="I2743" s="21"/>
      <c r="J2743" s="21"/>
      <c r="K2743" s="21"/>
      <c r="L2743" s="21"/>
      <c r="M2743" s="21"/>
      <c r="N2743" s="21"/>
      <c r="O2743" s="21"/>
      <c r="P2743" s="21"/>
      <c r="Q2743" s="21"/>
      <c r="R2743" s="21"/>
    </row>
    <row r="2744" spans="2:18" x14ac:dyDescent="0.35">
      <c r="B2744" s="17"/>
      <c r="C2744" s="18"/>
      <c r="D2744" s="21"/>
      <c r="E2744" s="21"/>
      <c r="F2744" s="21"/>
      <c r="G2744" s="21"/>
      <c r="H2744" s="21"/>
      <c r="I2744" s="21"/>
      <c r="J2744" s="21"/>
      <c r="K2744" s="21"/>
      <c r="L2744" s="21"/>
      <c r="M2744" s="21"/>
      <c r="N2744" s="21"/>
      <c r="O2744" s="21"/>
      <c r="P2744" s="21"/>
      <c r="Q2744" s="21"/>
      <c r="R2744" s="21"/>
    </row>
    <row r="2745" spans="2:18" x14ac:dyDescent="0.35">
      <c r="B2745" s="17"/>
      <c r="C2745" s="18"/>
      <c r="D2745" s="21"/>
      <c r="E2745" s="21"/>
      <c r="F2745" s="21"/>
      <c r="G2745" s="21"/>
      <c r="H2745" s="21"/>
      <c r="I2745" s="21"/>
      <c r="J2745" s="21"/>
      <c r="K2745" s="21"/>
      <c r="L2745" s="21"/>
      <c r="M2745" s="21"/>
      <c r="N2745" s="21"/>
      <c r="O2745" s="21"/>
      <c r="P2745" s="21"/>
      <c r="Q2745" s="21"/>
      <c r="R2745" s="21"/>
    </row>
    <row r="2746" spans="2:18" x14ac:dyDescent="0.35">
      <c r="B2746" s="17"/>
      <c r="C2746" s="18"/>
      <c r="D2746" s="21"/>
      <c r="E2746" s="21"/>
      <c r="F2746" s="21"/>
      <c r="G2746" s="21"/>
      <c r="H2746" s="21"/>
      <c r="I2746" s="21"/>
      <c r="J2746" s="21"/>
      <c r="K2746" s="21"/>
      <c r="L2746" s="21"/>
      <c r="M2746" s="21"/>
      <c r="N2746" s="21"/>
      <c r="O2746" s="21"/>
      <c r="P2746" s="21"/>
      <c r="Q2746" s="21"/>
      <c r="R2746" s="21"/>
    </row>
    <row r="2747" spans="2:18" x14ac:dyDescent="0.35">
      <c r="B2747" s="17"/>
      <c r="C2747" s="18"/>
      <c r="D2747" s="21"/>
      <c r="E2747" s="21"/>
      <c r="F2747" s="21"/>
      <c r="G2747" s="21"/>
      <c r="H2747" s="21"/>
      <c r="I2747" s="21"/>
      <c r="J2747" s="21"/>
      <c r="K2747" s="21"/>
      <c r="L2747" s="21"/>
      <c r="M2747" s="21"/>
      <c r="N2747" s="21"/>
      <c r="O2747" s="21"/>
      <c r="P2747" s="21"/>
      <c r="Q2747" s="21"/>
      <c r="R2747" s="21"/>
    </row>
    <row r="2748" spans="2:18" x14ac:dyDescent="0.35">
      <c r="B2748" s="17"/>
      <c r="C2748" s="18"/>
      <c r="D2748" s="21"/>
      <c r="E2748" s="21"/>
      <c r="F2748" s="21"/>
      <c r="G2748" s="21"/>
      <c r="H2748" s="21"/>
      <c r="I2748" s="21"/>
      <c r="J2748" s="21"/>
      <c r="K2748" s="21"/>
      <c r="L2748" s="21"/>
      <c r="M2748" s="21"/>
      <c r="N2748" s="21"/>
      <c r="O2748" s="21"/>
      <c r="P2748" s="21"/>
      <c r="Q2748" s="21"/>
      <c r="R2748" s="21"/>
    </row>
    <row r="2749" spans="2:18" x14ac:dyDescent="0.35">
      <c r="B2749" s="17"/>
      <c r="C2749" s="18"/>
      <c r="D2749" s="21"/>
      <c r="E2749" s="21"/>
      <c r="F2749" s="21"/>
      <c r="G2749" s="21"/>
      <c r="H2749" s="21"/>
      <c r="I2749" s="21"/>
      <c r="J2749" s="21"/>
      <c r="K2749" s="21"/>
      <c r="L2749" s="21"/>
      <c r="M2749" s="21"/>
      <c r="N2749" s="21"/>
      <c r="O2749" s="21"/>
      <c r="P2749" s="21"/>
      <c r="Q2749" s="21"/>
      <c r="R2749" s="21"/>
    </row>
    <row r="2750" spans="2:18" x14ac:dyDescent="0.35">
      <c r="B2750" s="17"/>
      <c r="C2750" s="18"/>
      <c r="D2750" s="21"/>
      <c r="E2750" s="21"/>
      <c r="F2750" s="21"/>
      <c r="G2750" s="21"/>
      <c r="H2750" s="21"/>
      <c r="I2750" s="21"/>
      <c r="J2750" s="21"/>
      <c r="K2750" s="21"/>
      <c r="L2750" s="21"/>
      <c r="M2750" s="21"/>
      <c r="N2750" s="21"/>
      <c r="O2750" s="21"/>
      <c r="P2750" s="21"/>
      <c r="Q2750" s="21"/>
      <c r="R2750" s="21"/>
    </row>
    <row r="2751" spans="2:18" x14ac:dyDescent="0.35">
      <c r="B2751" s="17"/>
      <c r="C2751" s="13"/>
      <c r="D2751" s="14"/>
      <c r="E2751" s="14"/>
      <c r="F2751" s="14"/>
      <c r="G2751" s="14"/>
      <c r="H2751" s="14"/>
      <c r="I2751" s="14"/>
      <c r="J2751" s="14"/>
      <c r="K2751" s="14"/>
      <c r="L2751" s="14"/>
      <c r="M2751" s="14"/>
      <c r="N2751" s="14"/>
      <c r="O2751" s="14"/>
      <c r="P2751" s="14"/>
      <c r="Q2751" s="14"/>
      <c r="R2751" s="14"/>
    </row>
    <row r="2752" spans="2:18" x14ac:dyDescent="0.35">
      <c r="B2752" s="17"/>
      <c r="C2752" s="13"/>
      <c r="D2752" s="14"/>
      <c r="E2752" s="14"/>
      <c r="F2752" s="14"/>
      <c r="G2752" s="14"/>
      <c r="H2752" s="14"/>
      <c r="I2752" s="14"/>
      <c r="J2752" s="14"/>
      <c r="K2752" s="14"/>
      <c r="L2752" s="14"/>
      <c r="M2752" s="14"/>
      <c r="N2752" s="14"/>
      <c r="O2752" s="14"/>
      <c r="P2752" s="14"/>
      <c r="Q2752" s="14"/>
      <c r="R2752" s="14"/>
    </row>
    <row r="2753" spans="2:18" x14ac:dyDescent="0.35">
      <c r="B2753" s="17"/>
      <c r="C2753" s="13"/>
      <c r="D2753" s="14"/>
      <c r="E2753" s="14"/>
      <c r="F2753" s="14"/>
      <c r="G2753" s="14"/>
      <c r="H2753" s="14"/>
      <c r="I2753" s="14"/>
      <c r="J2753" s="14"/>
      <c r="K2753" s="14"/>
      <c r="L2753" s="14"/>
      <c r="M2753" s="14"/>
      <c r="N2753" s="14"/>
      <c r="O2753" s="14"/>
      <c r="P2753" s="14"/>
      <c r="Q2753" s="14"/>
      <c r="R2753" s="14"/>
    </row>
    <row r="2754" spans="2:18" x14ac:dyDescent="0.35">
      <c r="B2754" s="17"/>
      <c r="C2754" s="13"/>
      <c r="D2754" s="14"/>
      <c r="E2754" s="14"/>
      <c r="F2754" s="14"/>
      <c r="G2754" s="14"/>
      <c r="H2754" s="14"/>
      <c r="I2754" s="14"/>
      <c r="J2754" s="14"/>
      <c r="K2754" s="14"/>
      <c r="L2754" s="14"/>
      <c r="M2754" s="14"/>
      <c r="N2754" s="14"/>
      <c r="O2754" s="14"/>
      <c r="P2754" s="14"/>
      <c r="Q2754" s="14"/>
      <c r="R2754" s="14"/>
    </row>
    <row r="2755" spans="2:18" x14ac:dyDescent="0.35">
      <c r="B2755" s="17"/>
      <c r="C2755" s="13"/>
      <c r="D2755" s="14"/>
      <c r="E2755" s="14"/>
      <c r="F2755" s="14"/>
      <c r="G2755" s="14"/>
      <c r="H2755" s="14"/>
      <c r="I2755" s="14"/>
      <c r="J2755" s="14"/>
      <c r="K2755" s="14"/>
      <c r="L2755" s="14"/>
      <c r="M2755" s="14"/>
      <c r="N2755" s="14"/>
      <c r="O2755" s="14"/>
      <c r="P2755" s="14"/>
      <c r="Q2755" s="14"/>
      <c r="R2755" s="14"/>
    </row>
    <row r="2756" spans="2:18" x14ac:dyDescent="0.35">
      <c r="B2756" s="17"/>
      <c r="C2756" s="13"/>
      <c r="D2756" s="14"/>
      <c r="E2756" s="14"/>
      <c r="F2756" s="14"/>
      <c r="G2756" s="14"/>
      <c r="H2756" s="14"/>
      <c r="I2756" s="14"/>
      <c r="J2756" s="14"/>
      <c r="K2756" s="14"/>
      <c r="L2756" s="14"/>
      <c r="M2756" s="14"/>
      <c r="N2756" s="14"/>
      <c r="O2756" s="14"/>
      <c r="P2756" s="14"/>
      <c r="Q2756" s="14"/>
      <c r="R2756" s="14"/>
    </row>
    <row r="2757" spans="2:18" x14ac:dyDescent="0.35">
      <c r="B2757" s="17"/>
      <c r="C2757" s="13"/>
      <c r="D2757" s="14"/>
      <c r="E2757" s="14"/>
      <c r="F2757" s="14"/>
      <c r="G2757" s="14"/>
      <c r="H2757" s="14"/>
      <c r="I2757" s="14"/>
      <c r="J2757" s="14"/>
      <c r="K2757" s="14"/>
      <c r="L2757" s="14"/>
      <c r="M2757" s="14"/>
      <c r="N2757" s="14"/>
      <c r="O2757" s="14"/>
      <c r="P2757" s="14"/>
      <c r="Q2757" s="14"/>
      <c r="R2757" s="14"/>
    </row>
    <row r="2758" spans="2:18" x14ac:dyDescent="0.35">
      <c r="B2758" s="17"/>
      <c r="C2758" s="18"/>
      <c r="D2758" s="21"/>
      <c r="E2758" s="21"/>
      <c r="F2758" s="21"/>
      <c r="G2758" s="21"/>
      <c r="H2758" s="21"/>
      <c r="I2758" s="21"/>
      <c r="J2758" s="21"/>
      <c r="K2758" s="21"/>
      <c r="L2758" s="21"/>
      <c r="M2758" s="21"/>
      <c r="N2758" s="21"/>
      <c r="O2758" s="21"/>
      <c r="P2758" s="21"/>
      <c r="Q2758" s="21"/>
      <c r="R2758" s="21"/>
    </row>
    <row r="2759" spans="2:18" x14ac:dyDescent="0.35">
      <c r="B2759" s="17"/>
      <c r="C2759" s="18"/>
      <c r="D2759" s="21"/>
      <c r="E2759" s="21"/>
      <c r="F2759" s="21"/>
      <c r="G2759" s="21"/>
      <c r="H2759" s="21"/>
      <c r="I2759" s="21"/>
      <c r="J2759" s="21"/>
      <c r="K2759" s="21"/>
      <c r="L2759" s="21"/>
      <c r="M2759" s="21"/>
      <c r="N2759" s="21"/>
      <c r="O2759" s="21"/>
      <c r="P2759" s="21"/>
      <c r="Q2759" s="21"/>
      <c r="R2759" s="21"/>
    </row>
    <row r="2760" spans="2:18" x14ac:dyDescent="0.35">
      <c r="B2760" s="17"/>
      <c r="C2760" s="18"/>
      <c r="D2760" s="21"/>
      <c r="E2760" s="21"/>
      <c r="F2760" s="21"/>
      <c r="G2760" s="21"/>
      <c r="H2760" s="21"/>
      <c r="I2760" s="21"/>
      <c r="J2760" s="21"/>
      <c r="K2760" s="21"/>
      <c r="L2760" s="21"/>
      <c r="M2760" s="21"/>
      <c r="N2760" s="21"/>
      <c r="O2760" s="21"/>
      <c r="P2760" s="21"/>
      <c r="Q2760" s="21"/>
      <c r="R2760" s="21"/>
    </row>
    <row r="2761" spans="2:18" x14ac:dyDescent="0.35">
      <c r="B2761" s="17"/>
      <c r="C2761" s="18"/>
      <c r="D2761" s="21"/>
      <c r="E2761" s="21"/>
      <c r="F2761" s="21"/>
      <c r="G2761" s="21"/>
      <c r="H2761" s="21"/>
      <c r="I2761" s="21"/>
      <c r="J2761" s="21"/>
      <c r="K2761" s="21"/>
      <c r="L2761" s="21"/>
      <c r="M2761" s="21"/>
      <c r="N2761" s="21"/>
      <c r="O2761" s="21"/>
      <c r="P2761" s="21"/>
      <c r="Q2761" s="21"/>
      <c r="R2761" s="21"/>
    </row>
    <row r="2762" spans="2:18" x14ac:dyDescent="0.35">
      <c r="B2762" s="17"/>
      <c r="C2762" s="18"/>
      <c r="D2762" s="21"/>
      <c r="E2762" s="21"/>
      <c r="F2762" s="21"/>
      <c r="G2762" s="21"/>
      <c r="H2762" s="21"/>
      <c r="I2762" s="21"/>
      <c r="J2762" s="21"/>
      <c r="K2762" s="21"/>
      <c r="L2762" s="21"/>
      <c r="M2762" s="21"/>
      <c r="N2762" s="21"/>
      <c r="O2762" s="21"/>
      <c r="P2762" s="21"/>
      <c r="Q2762" s="21"/>
      <c r="R2762" s="21"/>
    </row>
    <row r="2763" spans="2:18" x14ac:dyDescent="0.35">
      <c r="B2763" s="17"/>
      <c r="C2763" s="19"/>
      <c r="D2763" s="21"/>
      <c r="E2763" s="21"/>
      <c r="F2763" s="21"/>
      <c r="G2763" s="21"/>
      <c r="H2763" s="21"/>
      <c r="I2763" s="21"/>
      <c r="J2763" s="21"/>
      <c r="K2763" s="21"/>
      <c r="L2763" s="21"/>
      <c r="M2763" s="21"/>
      <c r="N2763" s="21"/>
      <c r="O2763" s="21"/>
      <c r="P2763" s="21"/>
      <c r="Q2763" s="21"/>
      <c r="R2763" s="21"/>
    </row>
    <row r="2764" spans="2:18" x14ac:dyDescent="0.35">
      <c r="B2764" s="17"/>
      <c r="C2764" s="19"/>
      <c r="D2764" s="21"/>
      <c r="E2764" s="21"/>
      <c r="F2764" s="21"/>
      <c r="G2764" s="21"/>
      <c r="H2764" s="21"/>
      <c r="I2764" s="21"/>
      <c r="J2764" s="21"/>
      <c r="K2764" s="21"/>
      <c r="L2764" s="21"/>
      <c r="M2764" s="21"/>
      <c r="N2764" s="21"/>
      <c r="O2764" s="21"/>
      <c r="P2764" s="21"/>
      <c r="Q2764" s="21"/>
      <c r="R2764" s="21"/>
    </row>
    <row r="2765" spans="2:18" x14ac:dyDescent="0.35">
      <c r="B2765" s="17"/>
      <c r="C2765" s="19"/>
      <c r="D2765" s="21"/>
      <c r="E2765" s="21"/>
      <c r="F2765" s="21"/>
      <c r="G2765" s="21"/>
      <c r="H2765" s="21"/>
      <c r="I2765" s="21"/>
      <c r="J2765" s="21"/>
      <c r="K2765" s="21"/>
      <c r="L2765" s="21"/>
      <c r="M2765" s="21"/>
      <c r="N2765" s="21"/>
      <c r="O2765" s="21"/>
      <c r="P2765" s="21"/>
      <c r="Q2765" s="21"/>
      <c r="R2765" s="21"/>
    </row>
    <row r="2766" spans="2:18" x14ac:dyDescent="0.35">
      <c r="B2766" s="17"/>
      <c r="C2766" s="19"/>
      <c r="D2766" s="21"/>
      <c r="E2766" s="21"/>
      <c r="F2766" s="21"/>
      <c r="G2766" s="21"/>
      <c r="H2766" s="21"/>
      <c r="I2766" s="21"/>
      <c r="J2766" s="21"/>
      <c r="K2766" s="21"/>
      <c r="L2766" s="21"/>
      <c r="M2766" s="21"/>
      <c r="N2766" s="21"/>
      <c r="O2766" s="21"/>
      <c r="P2766" s="21"/>
      <c r="Q2766" s="21"/>
      <c r="R2766" s="21"/>
    </row>
    <row r="2767" spans="2:18" x14ac:dyDescent="0.35">
      <c r="B2767" s="17"/>
      <c r="C2767" s="13"/>
      <c r="D2767" s="14"/>
      <c r="E2767" s="14"/>
      <c r="F2767" s="14"/>
      <c r="G2767" s="14"/>
      <c r="H2767" s="14"/>
      <c r="I2767" s="14"/>
      <c r="J2767" s="14"/>
      <c r="K2767" s="14"/>
      <c r="L2767" s="14"/>
      <c r="M2767" s="14"/>
      <c r="N2767" s="14"/>
      <c r="O2767" s="14"/>
      <c r="P2767" s="14"/>
      <c r="Q2767" s="14"/>
      <c r="R2767" s="14"/>
    </row>
    <row r="2768" spans="2:18" x14ac:dyDescent="0.35">
      <c r="B2768" s="17"/>
      <c r="C2768" s="13"/>
      <c r="D2768" s="14"/>
      <c r="E2768" s="14"/>
      <c r="F2768" s="14"/>
      <c r="G2768" s="14"/>
      <c r="H2768" s="14"/>
      <c r="I2768" s="14"/>
      <c r="J2768" s="14"/>
      <c r="K2768" s="14"/>
      <c r="L2768" s="14"/>
      <c r="M2768" s="14"/>
      <c r="N2768" s="14"/>
      <c r="O2768" s="14"/>
      <c r="P2768" s="14"/>
      <c r="Q2768" s="14"/>
      <c r="R2768" s="14"/>
    </row>
    <row r="2769" spans="2:18" x14ac:dyDescent="0.35">
      <c r="B2769" s="17"/>
      <c r="C2769" s="13"/>
      <c r="D2769" s="14"/>
      <c r="E2769" s="14"/>
      <c r="F2769" s="14"/>
      <c r="G2769" s="14"/>
      <c r="H2769" s="14"/>
      <c r="I2769" s="14"/>
      <c r="J2769" s="14"/>
      <c r="K2769" s="14"/>
      <c r="L2769" s="14"/>
      <c r="M2769" s="14"/>
      <c r="N2769" s="14"/>
      <c r="O2769" s="14"/>
      <c r="P2769" s="14"/>
      <c r="Q2769" s="14"/>
      <c r="R2769" s="14"/>
    </row>
    <row r="2770" spans="2:18" x14ac:dyDescent="0.35">
      <c r="B2770" s="17"/>
      <c r="C2770" s="13"/>
      <c r="D2770" s="14"/>
      <c r="E2770" s="14"/>
      <c r="F2770" s="14"/>
      <c r="G2770" s="14"/>
      <c r="H2770" s="14"/>
      <c r="I2770" s="14"/>
      <c r="J2770" s="14"/>
      <c r="K2770" s="14"/>
      <c r="L2770" s="14"/>
      <c r="M2770" s="14"/>
      <c r="N2770" s="14"/>
      <c r="O2770" s="14"/>
      <c r="P2770" s="14"/>
      <c r="Q2770" s="14"/>
      <c r="R2770" s="14"/>
    </row>
    <row r="2771" spans="2:18" x14ac:dyDescent="0.35">
      <c r="B2771" s="17"/>
      <c r="C2771" s="13"/>
      <c r="D2771" s="14"/>
      <c r="E2771" s="14"/>
      <c r="F2771" s="14"/>
      <c r="G2771" s="14"/>
      <c r="H2771" s="14"/>
      <c r="I2771" s="14"/>
      <c r="J2771" s="14"/>
      <c r="K2771" s="14"/>
      <c r="L2771" s="14"/>
      <c r="M2771" s="14"/>
      <c r="N2771" s="14"/>
      <c r="O2771" s="14"/>
      <c r="P2771" s="14"/>
      <c r="Q2771" s="14"/>
      <c r="R2771" s="14"/>
    </row>
    <row r="2772" spans="2:18" x14ac:dyDescent="0.35">
      <c r="B2772" s="17"/>
      <c r="C2772" s="13"/>
      <c r="D2772" s="14"/>
      <c r="E2772" s="14"/>
      <c r="F2772" s="14"/>
      <c r="G2772" s="14"/>
      <c r="H2772" s="14"/>
      <c r="I2772" s="14"/>
      <c r="J2772" s="14"/>
      <c r="K2772" s="14"/>
      <c r="L2772" s="14"/>
      <c r="M2772" s="14"/>
      <c r="N2772" s="14"/>
      <c r="O2772" s="14"/>
      <c r="P2772" s="14"/>
      <c r="Q2772" s="14"/>
      <c r="R2772" s="14"/>
    </row>
    <row r="2773" spans="2:18" x14ac:dyDescent="0.35">
      <c r="B2773" s="17"/>
      <c r="C2773" s="13"/>
      <c r="D2773" s="14"/>
      <c r="E2773" s="14"/>
      <c r="F2773" s="14"/>
      <c r="G2773" s="14"/>
      <c r="H2773" s="14"/>
      <c r="I2773" s="14"/>
      <c r="J2773" s="14"/>
      <c r="K2773" s="14"/>
      <c r="L2773" s="14"/>
      <c r="M2773" s="14"/>
      <c r="N2773" s="14"/>
      <c r="O2773" s="14"/>
      <c r="P2773" s="14"/>
      <c r="Q2773" s="14"/>
      <c r="R2773" s="14"/>
    </row>
    <row r="2774" spans="2:18" x14ac:dyDescent="0.35">
      <c r="B2774" s="17"/>
      <c r="C2774" s="13"/>
      <c r="D2774" s="14"/>
      <c r="E2774" s="14"/>
      <c r="F2774" s="14"/>
      <c r="G2774" s="14"/>
      <c r="H2774" s="14"/>
      <c r="I2774" s="14"/>
      <c r="J2774" s="14"/>
      <c r="K2774" s="14"/>
      <c r="L2774" s="14"/>
      <c r="M2774" s="14"/>
      <c r="N2774" s="14"/>
      <c r="O2774" s="14"/>
      <c r="P2774" s="14"/>
      <c r="Q2774" s="14"/>
      <c r="R2774" s="14"/>
    </row>
    <row r="2775" spans="2:18" x14ac:dyDescent="0.35">
      <c r="B2775" s="17"/>
      <c r="C2775" s="13"/>
      <c r="D2775" s="14"/>
      <c r="E2775" s="14"/>
      <c r="F2775" s="14"/>
      <c r="G2775" s="14"/>
      <c r="H2775" s="14"/>
      <c r="I2775" s="14"/>
      <c r="J2775" s="14"/>
      <c r="K2775" s="14"/>
      <c r="L2775" s="14"/>
      <c r="M2775" s="14"/>
      <c r="N2775" s="14"/>
      <c r="O2775" s="14"/>
      <c r="P2775" s="14"/>
      <c r="Q2775" s="14"/>
      <c r="R2775" s="14"/>
    </row>
    <row r="2776" spans="2:18" x14ac:dyDescent="0.35">
      <c r="B2776" s="17"/>
      <c r="C2776" s="13"/>
      <c r="D2776" s="14"/>
      <c r="E2776" s="14"/>
      <c r="F2776" s="14"/>
      <c r="G2776" s="14"/>
      <c r="H2776" s="14"/>
      <c r="I2776" s="14"/>
      <c r="J2776" s="14"/>
      <c r="K2776" s="14"/>
      <c r="L2776" s="14"/>
      <c r="M2776" s="14"/>
      <c r="N2776" s="14"/>
      <c r="O2776" s="14"/>
      <c r="P2776" s="14"/>
      <c r="Q2776" s="14"/>
      <c r="R2776" s="14"/>
    </row>
    <row r="2777" spans="2:18" x14ac:dyDescent="0.35">
      <c r="B2777" s="17"/>
      <c r="C2777" s="13"/>
      <c r="D2777" s="14"/>
      <c r="E2777" s="14"/>
      <c r="F2777" s="14"/>
      <c r="G2777" s="14"/>
      <c r="H2777" s="14"/>
      <c r="I2777" s="14"/>
      <c r="J2777" s="14"/>
      <c r="K2777" s="14"/>
      <c r="L2777" s="14"/>
      <c r="M2777" s="14"/>
      <c r="N2777" s="14"/>
      <c r="O2777" s="14"/>
      <c r="P2777" s="14"/>
      <c r="Q2777" s="14"/>
      <c r="R2777" s="14"/>
    </row>
    <row r="2778" spans="2:18" x14ac:dyDescent="0.35">
      <c r="B2778" s="17"/>
      <c r="C2778" s="13"/>
      <c r="D2778" s="14"/>
      <c r="E2778" s="14"/>
      <c r="F2778" s="14"/>
      <c r="G2778" s="14"/>
      <c r="H2778" s="14"/>
      <c r="I2778" s="14"/>
      <c r="J2778" s="14"/>
      <c r="K2778" s="14"/>
      <c r="L2778" s="14"/>
      <c r="M2778" s="14"/>
      <c r="N2778" s="14"/>
      <c r="O2778" s="14"/>
      <c r="P2778" s="14"/>
      <c r="Q2778" s="14"/>
      <c r="R2778" s="14"/>
    </row>
    <row r="2779" spans="2:18" x14ac:dyDescent="0.35">
      <c r="B2779" s="17"/>
      <c r="C2779" s="13"/>
      <c r="D2779" s="14"/>
      <c r="E2779" s="14"/>
      <c r="F2779" s="14"/>
      <c r="G2779" s="14"/>
      <c r="H2779" s="14"/>
      <c r="I2779" s="14"/>
      <c r="J2779" s="14"/>
      <c r="K2779" s="14"/>
      <c r="L2779" s="14"/>
      <c r="M2779" s="14"/>
      <c r="N2779" s="14"/>
      <c r="O2779" s="14"/>
      <c r="P2779" s="14"/>
      <c r="Q2779" s="14"/>
      <c r="R2779" s="14"/>
    </row>
    <row r="2780" spans="2:18" x14ac:dyDescent="0.35">
      <c r="B2780" s="17"/>
      <c r="C2780" s="13"/>
      <c r="D2780" s="14"/>
      <c r="E2780" s="14"/>
      <c r="F2780" s="14"/>
      <c r="G2780" s="14"/>
      <c r="H2780" s="14"/>
      <c r="I2780" s="14"/>
      <c r="J2780" s="14"/>
      <c r="K2780" s="14"/>
      <c r="L2780" s="14"/>
      <c r="M2780" s="14"/>
      <c r="N2780" s="14"/>
      <c r="O2780" s="14"/>
      <c r="P2780" s="14"/>
      <c r="Q2780" s="14"/>
      <c r="R2780" s="14"/>
    </row>
    <row r="2781" spans="2:18" x14ac:dyDescent="0.35">
      <c r="B2781" s="17"/>
      <c r="C2781" s="13"/>
      <c r="D2781" s="14"/>
      <c r="E2781" s="14"/>
      <c r="F2781" s="14"/>
      <c r="G2781" s="14"/>
      <c r="H2781" s="14"/>
      <c r="I2781" s="14"/>
      <c r="J2781" s="14"/>
      <c r="K2781" s="14"/>
      <c r="L2781" s="14"/>
      <c r="M2781" s="14"/>
      <c r="N2781" s="14"/>
      <c r="O2781" s="14"/>
      <c r="P2781" s="14"/>
      <c r="Q2781" s="14"/>
      <c r="R2781" s="14"/>
    </row>
    <row r="2782" spans="2:18" x14ac:dyDescent="0.35">
      <c r="B2782" s="17"/>
      <c r="C2782" s="18"/>
      <c r="D2782" s="21"/>
      <c r="E2782" s="21"/>
      <c r="F2782" s="21"/>
      <c r="G2782" s="21"/>
      <c r="H2782" s="21"/>
      <c r="I2782" s="21"/>
      <c r="J2782" s="21"/>
      <c r="K2782" s="21"/>
      <c r="L2782" s="21"/>
      <c r="M2782" s="21"/>
      <c r="N2782" s="21"/>
      <c r="O2782" s="21"/>
      <c r="P2782" s="21"/>
      <c r="Q2782" s="21"/>
      <c r="R2782" s="21"/>
    </row>
    <row r="2783" spans="2:18" x14ac:dyDescent="0.35">
      <c r="B2783" s="17"/>
      <c r="C2783" s="18"/>
      <c r="D2783" s="21"/>
      <c r="E2783" s="21"/>
      <c r="F2783" s="21"/>
      <c r="G2783" s="21"/>
      <c r="H2783" s="21"/>
      <c r="I2783" s="21"/>
      <c r="J2783" s="21"/>
      <c r="K2783" s="21"/>
      <c r="L2783" s="21"/>
      <c r="M2783" s="21"/>
      <c r="N2783" s="21"/>
      <c r="O2783" s="21"/>
      <c r="P2783" s="21"/>
      <c r="Q2783" s="21"/>
      <c r="R2783" s="21"/>
    </row>
    <row r="2784" spans="2:18" x14ac:dyDescent="0.35">
      <c r="B2784" s="17"/>
      <c r="C2784" s="18"/>
      <c r="D2784" s="21"/>
      <c r="E2784" s="21"/>
      <c r="F2784" s="21"/>
      <c r="G2784" s="21"/>
      <c r="H2784" s="21"/>
      <c r="I2784" s="21"/>
      <c r="J2784" s="21"/>
      <c r="K2784" s="21"/>
      <c r="L2784" s="21"/>
      <c r="M2784" s="21"/>
      <c r="N2784" s="21"/>
      <c r="O2784" s="21"/>
      <c r="P2784" s="21"/>
      <c r="Q2784" s="21"/>
      <c r="R2784" s="21"/>
    </row>
    <row r="2785" spans="2:18" x14ac:dyDescent="0.35">
      <c r="B2785" s="17"/>
      <c r="C2785" s="18"/>
      <c r="D2785" s="21"/>
      <c r="E2785" s="21"/>
      <c r="F2785" s="21"/>
      <c r="G2785" s="21"/>
      <c r="H2785" s="21"/>
      <c r="I2785" s="21"/>
      <c r="J2785" s="21"/>
      <c r="K2785" s="21"/>
      <c r="L2785" s="21"/>
      <c r="M2785" s="21"/>
      <c r="N2785" s="21"/>
      <c r="O2785" s="21"/>
      <c r="P2785" s="21"/>
      <c r="Q2785" s="21"/>
      <c r="R2785" s="21"/>
    </row>
    <row r="2786" spans="2:18" x14ac:dyDescent="0.35">
      <c r="B2786" s="17"/>
      <c r="C2786" s="18"/>
      <c r="D2786" s="21"/>
      <c r="E2786" s="21"/>
      <c r="F2786" s="21"/>
      <c r="G2786" s="21"/>
      <c r="H2786" s="21"/>
      <c r="I2786" s="21"/>
      <c r="J2786" s="21"/>
      <c r="K2786" s="21"/>
      <c r="L2786" s="21"/>
      <c r="M2786" s="21"/>
      <c r="N2786" s="21"/>
      <c r="O2786" s="21"/>
      <c r="P2786" s="21"/>
      <c r="Q2786" s="21"/>
      <c r="R2786" s="21"/>
    </row>
    <row r="2787" spans="2:18" x14ac:dyDescent="0.35">
      <c r="B2787" s="17"/>
      <c r="C2787" s="18"/>
      <c r="D2787" s="21"/>
      <c r="E2787" s="21"/>
      <c r="F2787" s="21"/>
      <c r="G2787" s="21"/>
      <c r="H2787" s="21"/>
      <c r="I2787" s="21"/>
      <c r="J2787" s="21"/>
      <c r="K2787" s="21"/>
      <c r="L2787" s="21"/>
      <c r="M2787" s="21"/>
      <c r="N2787" s="21"/>
      <c r="O2787" s="21"/>
      <c r="P2787" s="21"/>
      <c r="Q2787" s="21"/>
      <c r="R2787" s="21"/>
    </row>
    <row r="2788" spans="2:18" x14ac:dyDescent="0.35">
      <c r="B2788" s="17"/>
      <c r="C2788" s="18"/>
      <c r="D2788" s="21"/>
      <c r="E2788" s="21"/>
      <c r="F2788" s="21"/>
      <c r="G2788" s="21"/>
      <c r="H2788" s="21"/>
      <c r="I2788" s="21"/>
      <c r="J2788" s="21"/>
      <c r="K2788" s="21"/>
      <c r="L2788" s="21"/>
      <c r="M2788" s="21"/>
      <c r="N2788" s="21"/>
      <c r="O2788" s="21"/>
      <c r="P2788" s="21"/>
      <c r="Q2788" s="21"/>
      <c r="R2788" s="21"/>
    </row>
    <row r="2789" spans="2:18" x14ac:dyDescent="0.35">
      <c r="B2789" s="17"/>
      <c r="C2789" s="18"/>
      <c r="D2789" s="21"/>
      <c r="E2789" s="21"/>
      <c r="F2789" s="21"/>
      <c r="G2789" s="21"/>
      <c r="H2789" s="21"/>
      <c r="I2789" s="21"/>
      <c r="J2789" s="21"/>
      <c r="K2789" s="21"/>
      <c r="L2789" s="21"/>
      <c r="M2789" s="21"/>
      <c r="N2789" s="21"/>
      <c r="O2789" s="21"/>
      <c r="P2789" s="21"/>
      <c r="Q2789" s="21"/>
      <c r="R2789" s="21"/>
    </row>
    <row r="2790" spans="2:18" x14ac:dyDescent="0.35">
      <c r="B2790" s="17"/>
      <c r="C2790" s="18"/>
      <c r="D2790" s="21"/>
      <c r="E2790" s="21"/>
      <c r="F2790" s="21"/>
      <c r="G2790" s="21"/>
      <c r="H2790" s="21"/>
      <c r="I2790" s="21"/>
      <c r="J2790" s="21"/>
      <c r="K2790" s="21"/>
      <c r="L2790" s="21"/>
      <c r="M2790" s="21"/>
      <c r="N2790" s="21"/>
      <c r="O2790" s="21"/>
      <c r="P2790" s="21"/>
      <c r="Q2790" s="21"/>
      <c r="R2790" s="21"/>
    </row>
    <row r="2791" spans="2:18" x14ac:dyDescent="0.35">
      <c r="B2791" s="17"/>
      <c r="C2791" s="18"/>
      <c r="D2791" s="21"/>
      <c r="E2791" s="21"/>
      <c r="F2791" s="21"/>
      <c r="G2791" s="21"/>
      <c r="H2791" s="21"/>
      <c r="I2791" s="21"/>
      <c r="J2791" s="21"/>
      <c r="K2791" s="21"/>
      <c r="L2791" s="21"/>
      <c r="M2791" s="21"/>
      <c r="N2791" s="21"/>
      <c r="O2791" s="21"/>
      <c r="P2791" s="21"/>
      <c r="Q2791" s="21"/>
      <c r="R2791" s="21"/>
    </row>
    <row r="2792" spans="2:18" x14ac:dyDescent="0.35">
      <c r="B2792" s="17"/>
      <c r="C2792" s="18"/>
      <c r="D2792" s="21"/>
      <c r="E2792" s="21"/>
      <c r="F2792" s="21"/>
      <c r="G2792" s="21"/>
      <c r="H2792" s="21"/>
      <c r="I2792" s="21"/>
      <c r="J2792" s="21"/>
      <c r="K2792" s="21"/>
      <c r="L2792" s="21"/>
      <c r="M2792" s="21"/>
      <c r="N2792" s="21"/>
      <c r="O2792" s="21"/>
      <c r="P2792" s="21"/>
      <c r="Q2792" s="21"/>
      <c r="R2792" s="21"/>
    </row>
    <row r="2793" spans="2:18" x14ac:dyDescent="0.35">
      <c r="B2793" s="17"/>
      <c r="C2793" s="18"/>
      <c r="D2793" s="21"/>
      <c r="E2793" s="21"/>
      <c r="F2793" s="21"/>
      <c r="G2793" s="21"/>
      <c r="H2793" s="21"/>
      <c r="I2793" s="21"/>
      <c r="J2793" s="21"/>
      <c r="K2793" s="21"/>
      <c r="L2793" s="21"/>
      <c r="M2793" s="21"/>
      <c r="N2793" s="21"/>
      <c r="O2793" s="21"/>
      <c r="P2793" s="21"/>
      <c r="Q2793" s="21"/>
      <c r="R2793" s="21"/>
    </row>
    <row r="2794" spans="2:18" x14ac:dyDescent="0.35">
      <c r="B2794" s="17"/>
      <c r="C2794" s="18"/>
      <c r="D2794" s="21"/>
      <c r="E2794" s="21"/>
      <c r="F2794" s="21"/>
      <c r="G2794" s="21"/>
      <c r="H2794" s="21"/>
      <c r="I2794" s="21"/>
      <c r="J2794" s="21"/>
      <c r="K2794" s="21"/>
      <c r="L2794" s="21"/>
      <c r="M2794" s="21"/>
      <c r="N2794" s="21"/>
      <c r="O2794" s="21"/>
      <c r="P2794" s="21"/>
      <c r="Q2794" s="21"/>
      <c r="R2794" s="21"/>
    </row>
    <row r="2795" spans="2:18" x14ac:dyDescent="0.35">
      <c r="B2795" s="17"/>
      <c r="C2795" s="18"/>
      <c r="D2795" s="21"/>
      <c r="E2795" s="21"/>
      <c r="F2795" s="21"/>
      <c r="G2795" s="21"/>
      <c r="H2795" s="21"/>
      <c r="I2795" s="21"/>
      <c r="J2795" s="21"/>
      <c r="K2795" s="21"/>
      <c r="L2795" s="21"/>
      <c r="M2795" s="21"/>
      <c r="N2795" s="21"/>
      <c r="O2795" s="21"/>
      <c r="P2795" s="21"/>
      <c r="Q2795" s="21"/>
      <c r="R2795" s="21"/>
    </row>
    <row r="2796" spans="2:18" x14ac:dyDescent="0.35">
      <c r="B2796" s="17"/>
      <c r="C2796" s="18"/>
      <c r="D2796" s="21"/>
      <c r="E2796" s="21"/>
      <c r="F2796" s="21"/>
      <c r="G2796" s="21"/>
      <c r="H2796" s="21"/>
      <c r="I2796" s="21"/>
      <c r="J2796" s="21"/>
      <c r="K2796" s="21"/>
      <c r="L2796" s="21"/>
      <c r="M2796" s="21"/>
      <c r="N2796" s="21"/>
      <c r="O2796" s="21"/>
      <c r="P2796" s="21"/>
      <c r="Q2796" s="21"/>
      <c r="R2796" s="21"/>
    </row>
    <row r="2797" spans="2:18" x14ac:dyDescent="0.35">
      <c r="B2797" s="17"/>
      <c r="C2797" s="18"/>
      <c r="D2797" s="21"/>
      <c r="E2797" s="21"/>
      <c r="F2797" s="21"/>
      <c r="G2797" s="21"/>
      <c r="H2797" s="21"/>
      <c r="I2797" s="21"/>
      <c r="J2797" s="21"/>
      <c r="K2797" s="21"/>
      <c r="L2797" s="21"/>
      <c r="M2797" s="21"/>
      <c r="N2797" s="21"/>
      <c r="O2797" s="21"/>
      <c r="P2797" s="21"/>
      <c r="Q2797" s="21"/>
      <c r="R2797" s="21"/>
    </row>
    <row r="2798" spans="2:18" x14ac:dyDescent="0.35">
      <c r="B2798" s="17"/>
      <c r="C2798" s="13"/>
      <c r="D2798" s="14"/>
      <c r="E2798" s="14"/>
      <c r="F2798" s="14"/>
      <c r="G2798" s="14"/>
      <c r="H2798" s="14"/>
      <c r="I2798" s="14"/>
      <c r="J2798" s="14"/>
      <c r="K2798" s="14"/>
      <c r="L2798" s="14"/>
      <c r="M2798" s="14"/>
      <c r="N2798" s="14"/>
      <c r="O2798" s="14"/>
      <c r="P2798" s="14"/>
      <c r="Q2798" s="14"/>
      <c r="R2798" s="14"/>
    </row>
    <row r="2799" spans="2:18" x14ac:dyDescent="0.35">
      <c r="B2799" s="17"/>
      <c r="C2799" s="13"/>
      <c r="D2799" s="14"/>
      <c r="E2799" s="14"/>
      <c r="F2799" s="14"/>
      <c r="G2799" s="14"/>
      <c r="H2799" s="14"/>
      <c r="I2799" s="14"/>
      <c r="J2799" s="14"/>
      <c r="K2799" s="14"/>
      <c r="L2799" s="14"/>
      <c r="M2799" s="14"/>
      <c r="N2799" s="14"/>
      <c r="O2799" s="14"/>
      <c r="P2799" s="14"/>
      <c r="Q2799" s="14"/>
      <c r="R2799" s="14"/>
    </row>
    <row r="2800" spans="2:18" x14ac:dyDescent="0.35">
      <c r="B2800" s="17"/>
      <c r="C2800" s="13"/>
      <c r="D2800" s="14"/>
      <c r="E2800" s="14"/>
      <c r="F2800" s="14"/>
      <c r="G2800" s="14"/>
      <c r="H2800" s="14"/>
      <c r="I2800" s="14"/>
      <c r="J2800" s="14"/>
      <c r="K2800" s="14"/>
      <c r="L2800" s="14"/>
      <c r="M2800" s="14"/>
      <c r="N2800" s="14"/>
      <c r="O2800" s="14"/>
      <c r="P2800" s="14"/>
      <c r="Q2800" s="14"/>
      <c r="R2800" s="14"/>
    </row>
    <row r="2801" spans="1:18" x14ac:dyDescent="0.35">
      <c r="B2801" s="17"/>
      <c r="C2801" s="13"/>
      <c r="D2801" s="14"/>
      <c r="E2801" s="14"/>
      <c r="F2801" s="14"/>
      <c r="G2801" s="14"/>
      <c r="H2801" s="14"/>
      <c r="I2801" s="14"/>
      <c r="J2801" s="14"/>
      <c r="K2801" s="14"/>
      <c r="L2801" s="14"/>
      <c r="M2801" s="14"/>
      <c r="N2801" s="14"/>
      <c r="O2801" s="14"/>
      <c r="P2801" s="14"/>
      <c r="Q2801" s="14"/>
      <c r="R2801" s="14"/>
    </row>
    <row r="2802" spans="1:18" x14ac:dyDescent="0.35">
      <c r="B2802" s="17"/>
      <c r="C2802" s="13"/>
      <c r="D2802" s="14"/>
      <c r="E2802" s="14"/>
      <c r="F2802" s="14"/>
      <c r="G2802" s="14"/>
      <c r="H2802" s="14"/>
      <c r="I2802" s="14"/>
      <c r="J2802" s="14"/>
      <c r="K2802" s="14"/>
      <c r="L2802" s="14"/>
      <c r="M2802" s="14"/>
      <c r="N2802" s="14"/>
      <c r="O2802" s="14"/>
      <c r="P2802" s="14"/>
      <c r="Q2802" s="14"/>
      <c r="R2802" s="14"/>
    </row>
    <row r="2803" spans="1:18" x14ac:dyDescent="0.35">
      <c r="B2803" s="17"/>
      <c r="C2803" s="13"/>
      <c r="D2803" s="14"/>
      <c r="E2803" s="14"/>
      <c r="F2803" s="14"/>
      <c r="G2803" s="14"/>
      <c r="H2803" s="14"/>
      <c r="I2803" s="14"/>
      <c r="J2803" s="14"/>
      <c r="K2803" s="14"/>
      <c r="L2803" s="14"/>
      <c r="M2803" s="14"/>
      <c r="N2803" s="14"/>
      <c r="O2803" s="14"/>
      <c r="P2803" s="14"/>
      <c r="Q2803" s="14"/>
      <c r="R2803" s="14"/>
    </row>
    <row r="2804" spans="1:18" x14ac:dyDescent="0.35">
      <c r="B2804" s="17"/>
      <c r="C2804" s="13"/>
      <c r="D2804" s="14"/>
      <c r="E2804" s="14"/>
      <c r="F2804" s="14"/>
      <c r="G2804" s="14"/>
      <c r="H2804" s="14"/>
      <c r="I2804" s="14"/>
      <c r="J2804" s="14"/>
      <c r="K2804" s="14"/>
      <c r="L2804" s="14"/>
      <c r="M2804" s="14"/>
      <c r="N2804" s="14"/>
      <c r="O2804" s="14"/>
      <c r="P2804" s="14"/>
      <c r="Q2804" s="14"/>
      <c r="R2804" s="14"/>
    </row>
    <row r="2805" spans="1:18" x14ac:dyDescent="0.35">
      <c r="A2805" s="20"/>
      <c r="B2805" s="17"/>
      <c r="C2805" s="18"/>
      <c r="D2805" s="21"/>
      <c r="E2805" s="21"/>
      <c r="F2805" s="21"/>
      <c r="G2805" s="21"/>
      <c r="H2805" s="21"/>
      <c r="I2805" s="21"/>
      <c r="J2805" s="21"/>
      <c r="K2805" s="21"/>
      <c r="L2805" s="21"/>
      <c r="M2805" s="21"/>
      <c r="N2805" s="21"/>
      <c r="O2805" s="21"/>
      <c r="P2805" s="21"/>
      <c r="Q2805" s="21"/>
      <c r="R2805" s="21"/>
    </row>
    <row r="2806" spans="1:18" x14ac:dyDescent="0.35">
      <c r="A2806" s="20"/>
      <c r="B2806" s="17"/>
      <c r="C2806" s="18"/>
      <c r="D2806" s="21"/>
      <c r="E2806" s="21"/>
      <c r="F2806" s="21"/>
      <c r="G2806" s="21"/>
      <c r="H2806" s="21"/>
      <c r="I2806" s="21"/>
      <c r="J2806" s="21"/>
      <c r="K2806" s="21"/>
      <c r="L2806" s="21"/>
      <c r="M2806" s="21"/>
      <c r="N2806" s="21"/>
      <c r="O2806" s="21"/>
      <c r="P2806" s="21"/>
      <c r="Q2806" s="21"/>
      <c r="R2806" s="21"/>
    </row>
    <row r="2807" spans="1:18" x14ac:dyDescent="0.35">
      <c r="A2807" s="20"/>
      <c r="B2807" s="17"/>
      <c r="C2807" s="18"/>
      <c r="D2807" s="21"/>
      <c r="E2807" s="21"/>
      <c r="F2807" s="21"/>
      <c r="G2807" s="21"/>
      <c r="H2807" s="21"/>
      <c r="I2807" s="21"/>
      <c r="J2807" s="21"/>
      <c r="K2807" s="21"/>
      <c r="L2807" s="21"/>
      <c r="M2807" s="21"/>
      <c r="N2807" s="21"/>
      <c r="O2807" s="21"/>
      <c r="P2807" s="21"/>
      <c r="Q2807" s="21"/>
      <c r="R2807" s="21"/>
    </row>
    <row r="2808" spans="1:18" x14ac:dyDescent="0.35">
      <c r="A2808" s="20"/>
      <c r="B2808" s="17"/>
      <c r="C2808" s="18"/>
      <c r="D2808" s="21"/>
      <c r="E2808" s="21"/>
      <c r="F2808" s="21"/>
      <c r="G2808" s="21"/>
      <c r="H2808" s="21"/>
      <c r="I2808" s="21"/>
      <c r="J2808" s="21"/>
      <c r="K2808" s="21"/>
      <c r="L2808" s="21"/>
      <c r="M2808" s="21"/>
      <c r="N2808" s="21"/>
      <c r="O2808" s="21"/>
      <c r="P2808" s="21"/>
      <c r="Q2808" s="21"/>
      <c r="R2808" s="21"/>
    </row>
    <row r="2809" spans="1:18" x14ac:dyDescent="0.35">
      <c r="A2809" s="20"/>
      <c r="B2809" s="17"/>
      <c r="C2809" s="18"/>
      <c r="D2809" s="21"/>
      <c r="E2809" s="21"/>
      <c r="F2809" s="21"/>
      <c r="G2809" s="21"/>
      <c r="H2809" s="21"/>
      <c r="I2809" s="21"/>
      <c r="J2809" s="21"/>
      <c r="K2809" s="21"/>
      <c r="L2809" s="21"/>
      <c r="M2809" s="21"/>
      <c r="N2809" s="21"/>
      <c r="O2809" s="21"/>
      <c r="P2809" s="21"/>
      <c r="Q2809" s="21"/>
      <c r="R2809" s="21"/>
    </row>
    <row r="2810" spans="1:18" x14ac:dyDescent="0.35">
      <c r="A2810" s="20"/>
      <c r="B2810" s="17"/>
      <c r="C2810" s="19"/>
      <c r="D2810" s="21"/>
      <c r="E2810" s="21"/>
      <c r="F2810" s="21"/>
      <c r="G2810" s="21"/>
      <c r="H2810" s="21"/>
      <c r="I2810" s="21"/>
      <c r="J2810" s="21"/>
      <c r="K2810" s="21"/>
      <c r="L2810" s="21"/>
      <c r="M2810" s="21"/>
      <c r="N2810" s="21"/>
      <c r="O2810" s="21"/>
      <c r="P2810" s="21"/>
      <c r="Q2810" s="21"/>
      <c r="R2810" s="21"/>
    </row>
    <row r="2811" spans="1:18" x14ac:dyDescent="0.35">
      <c r="A2811" s="20"/>
      <c r="B2811" s="17"/>
      <c r="C2811" s="19"/>
      <c r="D2811" s="21"/>
      <c r="E2811" s="21"/>
      <c r="F2811" s="21"/>
      <c r="G2811" s="21"/>
      <c r="H2811" s="21"/>
      <c r="I2811" s="21"/>
      <c r="J2811" s="21"/>
      <c r="K2811" s="21"/>
      <c r="L2811" s="21"/>
      <c r="M2811" s="21"/>
      <c r="N2811" s="21"/>
      <c r="O2811" s="21"/>
      <c r="P2811" s="21"/>
      <c r="Q2811" s="21"/>
      <c r="R2811" s="21"/>
    </row>
    <row r="2812" spans="1:18" x14ac:dyDescent="0.35">
      <c r="A2812" s="20"/>
      <c r="B2812" s="17"/>
      <c r="C2812" s="19"/>
      <c r="D2812" s="21"/>
      <c r="E2812" s="21"/>
      <c r="F2812" s="21"/>
      <c r="G2812" s="21"/>
      <c r="H2812" s="21"/>
      <c r="I2812" s="21"/>
      <c r="J2812" s="21"/>
      <c r="K2812" s="21"/>
      <c r="L2812" s="21"/>
      <c r="M2812" s="21"/>
      <c r="N2812" s="21"/>
      <c r="O2812" s="21"/>
      <c r="P2812" s="21"/>
      <c r="Q2812" s="21"/>
      <c r="R2812" s="21"/>
    </row>
    <row r="2813" spans="1:18" x14ac:dyDescent="0.35">
      <c r="A2813" s="20"/>
      <c r="B2813" s="17"/>
      <c r="C2813" s="19"/>
      <c r="D2813" s="21"/>
      <c r="E2813" s="21"/>
      <c r="F2813" s="21"/>
      <c r="G2813" s="21"/>
      <c r="H2813" s="21"/>
      <c r="I2813" s="21"/>
      <c r="J2813" s="21"/>
      <c r="K2813" s="21"/>
      <c r="L2813" s="21"/>
      <c r="M2813" s="21"/>
      <c r="N2813" s="21"/>
      <c r="O2813" s="21"/>
      <c r="P2813" s="21"/>
      <c r="Q2813" s="21"/>
      <c r="R2813" s="21"/>
    </row>
    <row r="2814" spans="1:18" x14ac:dyDescent="0.35">
      <c r="A2814" s="20"/>
      <c r="B2814" s="17"/>
      <c r="C2814" s="13"/>
      <c r="D2814" s="14"/>
      <c r="E2814" s="14"/>
      <c r="F2814" s="14"/>
      <c r="G2814" s="14"/>
      <c r="H2814" s="14"/>
      <c r="I2814" s="14"/>
      <c r="J2814" s="14"/>
      <c r="K2814" s="14"/>
      <c r="L2814" s="14"/>
      <c r="M2814" s="14"/>
      <c r="N2814" s="14"/>
      <c r="O2814" s="14"/>
      <c r="P2814" s="14"/>
      <c r="Q2814" s="14"/>
      <c r="R2814" s="14"/>
    </row>
    <row r="2815" spans="1:18" x14ac:dyDescent="0.35">
      <c r="A2815" s="20"/>
      <c r="B2815" s="17"/>
      <c r="C2815" s="13"/>
      <c r="D2815" s="14"/>
      <c r="E2815" s="14"/>
      <c r="F2815" s="14"/>
      <c r="G2815" s="14"/>
      <c r="H2815" s="14"/>
      <c r="I2815" s="14"/>
      <c r="J2815" s="14"/>
      <c r="K2815" s="14"/>
      <c r="L2815" s="14"/>
      <c r="M2815" s="14"/>
      <c r="N2815" s="14"/>
      <c r="O2815" s="14"/>
      <c r="P2815" s="14"/>
      <c r="Q2815" s="14"/>
      <c r="R2815" s="14"/>
    </row>
    <row r="2816" spans="1:18" x14ac:dyDescent="0.35">
      <c r="A2816" s="20"/>
      <c r="B2816" s="17"/>
      <c r="C2816" s="13"/>
      <c r="D2816" s="14"/>
      <c r="E2816" s="14"/>
      <c r="F2816" s="14"/>
      <c r="G2816" s="14"/>
      <c r="H2816" s="14"/>
      <c r="I2816" s="14"/>
      <c r="J2816" s="14"/>
      <c r="K2816" s="14"/>
      <c r="L2816" s="14"/>
      <c r="M2816" s="14"/>
      <c r="N2816" s="14"/>
      <c r="O2816" s="14"/>
      <c r="P2816" s="14"/>
      <c r="Q2816" s="14"/>
      <c r="R2816" s="14"/>
    </row>
    <row r="2817" spans="1:18" x14ac:dyDescent="0.35">
      <c r="A2817" s="20"/>
      <c r="B2817" s="17"/>
      <c r="C2817" s="13"/>
      <c r="D2817" s="14"/>
      <c r="E2817" s="14"/>
      <c r="F2817" s="14"/>
      <c r="G2817" s="14"/>
      <c r="H2817" s="14"/>
      <c r="I2817" s="14"/>
      <c r="J2817" s="14"/>
      <c r="K2817" s="14"/>
      <c r="L2817" s="14"/>
      <c r="M2817" s="14"/>
      <c r="N2817" s="14"/>
      <c r="O2817" s="14"/>
      <c r="P2817" s="14"/>
      <c r="Q2817" s="14"/>
      <c r="R2817" s="14"/>
    </row>
    <row r="2818" spans="1:18" x14ac:dyDescent="0.35">
      <c r="A2818" s="20"/>
      <c r="B2818" s="17"/>
      <c r="C2818" s="13"/>
      <c r="D2818" s="14"/>
      <c r="E2818" s="14"/>
      <c r="F2818" s="14"/>
      <c r="G2818" s="14"/>
      <c r="H2818" s="14"/>
      <c r="I2818" s="14"/>
      <c r="J2818" s="14"/>
      <c r="K2818" s="14"/>
      <c r="L2818" s="14"/>
      <c r="M2818" s="14"/>
      <c r="N2818" s="14"/>
      <c r="O2818" s="14"/>
      <c r="P2818" s="14"/>
      <c r="Q2818" s="14"/>
      <c r="R2818" s="14"/>
    </row>
    <row r="2819" spans="1:18" x14ac:dyDescent="0.35">
      <c r="A2819" s="20"/>
      <c r="B2819" s="17"/>
      <c r="C2819" s="13"/>
      <c r="D2819" s="14"/>
      <c r="E2819" s="14"/>
      <c r="F2819" s="14"/>
      <c r="G2819" s="14"/>
      <c r="H2819" s="14"/>
      <c r="I2819" s="14"/>
      <c r="J2819" s="14"/>
      <c r="K2819" s="14"/>
      <c r="L2819" s="14"/>
      <c r="M2819" s="14"/>
      <c r="N2819" s="14"/>
      <c r="O2819" s="14"/>
      <c r="P2819" s="14"/>
      <c r="Q2819" s="14"/>
      <c r="R2819" s="14"/>
    </row>
    <row r="2820" spans="1:18" x14ac:dyDescent="0.35">
      <c r="A2820" s="20"/>
      <c r="B2820" s="17"/>
      <c r="C2820" s="13"/>
      <c r="D2820" s="14"/>
      <c r="E2820" s="14"/>
      <c r="F2820" s="14"/>
      <c r="G2820" s="14"/>
      <c r="H2820" s="14"/>
      <c r="I2820" s="14"/>
      <c r="J2820" s="14"/>
      <c r="K2820" s="14"/>
      <c r="L2820" s="14"/>
      <c r="M2820" s="14"/>
      <c r="N2820" s="14"/>
      <c r="O2820" s="14"/>
      <c r="P2820" s="14"/>
      <c r="Q2820" s="14"/>
      <c r="R2820" s="14"/>
    </row>
    <row r="2821" spans="1:18" x14ac:dyDescent="0.35">
      <c r="A2821" s="20"/>
      <c r="B2821" s="17"/>
      <c r="C2821" s="13"/>
      <c r="D2821" s="14"/>
      <c r="E2821" s="14"/>
      <c r="F2821" s="14"/>
      <c r="G2821" s="14"/>
      <c r="H2821" s="14"/>
      <c r="I2821" s="14"/>
      <c r="J2821" s="14"/>
      <c r="K2821" s="14"/>
      <c r="L2821" s="14"/>
      <c r="M2821" s="14"/>
      <c r="N2821" s="14"/>
      <c r="O2821" s="14"/>
      <c r="P2821" s="14"/>
      <c r="Q2821" s="14"/>
      <c r="R2821" s="14"/>
    </row>
    <row r="2822" spans="1:18" x14ac:dyDescent="0.35">
      <c r="A2822" s="20"/>
      <c r="B2822" s="17"/>
      <c r="C2822" s="13"/>
      <c r="D2822" s="14"/>
      <c r="E2822" s="14"/>
      <c r="F2822" s="14"/>
      <c r="G2822" s="14"/>
      <c r="H2822" s="14"/>
      <c r="I2822" s="14"/>
      <c r="J2822" s="14"/>
      <c r="K2822" s="14"/>
      <c r="L2822" s="14"/>
      <c r="M2822" s="14"/>
      <c r="N2822" s="14"/>
      <c r="O2822" s="14"/>
      <c r="P2822" s="14"/>
      <c r="Q2822" s="14"/>
      <c r="R2822" s="14"/>
    </row>
    <row r="2823" spans="1:18" x14ac:dyDescent="0.35">
      <c r="A2823" s="20"/>
      <c r="B2823" s="17"/>
      <c r="C2823" s="13"/>
      <c r="D2823" s="14"/>
      <c r="E2823" s="14"/>
      <c r="F2823" s="14"/>
      <c r="G2823" s="14"/>
      <c r="H2823" s="14"/>
      <c r="I2823" s="14"/>
      <c r="J2823" s="14"/>
      <c r="K2823" s="14"/>
      <c r="L2823" s="14"/>
      <c r="M2823" s="14"/>
      <c r="N2823" s="14"/>
      <c r="O2823" s="14"/>
      <c r="P2823" s="14"/>
      <c r="Q2823" s="14"/>
      <c r="R2823" s="14"/>
    </row>
    <row r="2824" spans="1:18" x14ac:dyDescent="0.35">
      <c r="A2824" s="20"/>
      <c r="B2824" s="17"/>
      <c r="C2824" s="13"/>
      <c r="D2824" s="14"/>
      <c r="E2824" s="14"/>
      <c r="F2824" s="14"/>
      <c r="G2824" s="14"/>
      <c r="H2824" s="14"/>
      <c r="I2824" s="14"/>
      <c r="J2824" s="14"/>
      <c r="K2824" s="14"/>
      <c r="L2824" s="14"/>
      <c r="M2824" s="14"/>
      <c r="N2824" s="14"/>
      <c r="O2824" s="14"/>
      <c r="P2824" s="14"/>
      <c r="Q2824" s="14"/>
      <c r="R2824" s="14"/>
    </row>
    <row r="2825" spans="1:18" x14ac:dyDescent="0.35">
      <c r="A2825" s="20"/>
      <c r="B2825" s="17"/>
      <c r="C2825" s="13"/>
      <c r="D2825" s="14"/>
      <c r="E2825" s="14"/>
      <c r="F2825" s="14"/>
      <c r="G2825" s="14"/>
      <c r="H2825" s="14"/>
      <c r="I2825" s="14"/>
      <c r="J2825" s="14"/>
      <c r="K2825" s="14"/>
      <c r="L2825" s="14"/>
      <c r="M2825" s="14"/>
      <c r="N2825" s="14"/>
      <c r="O2825" s="14"/>
      <c r="P2825" s="14"/>
      <c r="Q2825" s="14"/>
      <c r="R2825" s="14"/>
    </row>
    <row r="2826" spans="1:18" x14ac:dyDescent="0.35">
      <c r="A2826" s="20"/>
      <c r="B2826" s="17"/>
      <c r="C2826" s="13"/>
      <c r="D2826" s="14"/>
      <c r="E2826" s="14"/>
      <c r="F2826" s="14"/>
      <c r="G2826" s="14"/>
      <c r="H2826" s="14"/>
      <c r="I2826" s="14"/>
      <c r="J2826" s="14"/>
      <c r="K2826" s="14"/>
      <c r="L2826" s="14"/>
      <c r="M2826" s="14"/>
      <c r="N2826" s="14"/>
      <c r="O2826" s="14"/>
      <c r="P2826" s="14"/>
      <c r="Q2826" s="14"/>
      <c r="R2826" s="14"/>
    </row>
    <row r="2827" spans="1:18" x14ac:dyDescent="0.35">
      <c r="A2827" s="20"/>
      <c r="B2827" s="17"/>
      <c r="C2827" s="13"/>
      <c r="D2827" s="14"/>
      <c r="E2827" s="14"/>
      <c r="F2827" s="14"/>
      <c r="G2827" s="14"/>
      <c r="H2827" s="14"/>
      <c r="I2827" s="14"/>
      <c r="J2827" s="14"/>
      <c r="K2827" s="14"/>
      <c r="L2827" s="14"/>
      <c r="M2827" s="14"/>
      <c r="N2827" s="14"/>
      <c r="O2827" s="14"/>
      <c r="P2827" s="14"/>
      <c r="Q2827" s="14"/>
      <c r="R2827" s="14"/>
    </row>
    <row r="2828" spans="1:18" x14ac:dyDescent="0.35">
      <c r="A2828" s="20"/>
      <c r="B2828" s="17"/>
      <c r="C2828" s="13"/>
      <c r="D2828" s="14"/>
      <c r="E2828" s="14"/>
      <c r="F2828" s="14"/>
      <c r="G2828" s="14"/>
      <c r="H2828" s="14"/>
      <c r="I2828" s="14"/>
      <c r="J2828" s="14"/>
      <c r="K2828" s="14"/>
      <c r="L2828" s="14"/>
      <c r="M2828" s="14"/>
      <c r="N2828" s="14"/>
      <c r="O2828" s="14"/>
      <c r="P2828" s="14"/>
      <c r="Q2828" s="14"/>
      <c r="R2828" s="14"/>
    </row>
    <row r="2829" spans="1:18" x14ac:dyDescent="0.35">
      <c r="A2829" s="20"/>
      <c r="B2829" s="17"/>
      <c r="C2829" s="18"/>
      <c r="D2829" s="21"/>
      <c r="E2829" s="21"/>
      <c r="F2829" s="21"/>
      <c r="G2829" s="21"/>
      <c r="H2829" s="21"/>
      <c r="I2829" s="21"/>
      <c r="J2829" s="21"/>
      <c r="K2829" s="21"/>
      <c r="L2829" s="21"/>
      <c r="M2829" s="21"/>
      <c r="N2829" s="21"/>
      <c r="O2829" s="21"/>
      <c r="P2829" s="21"/>
      <c r="Q2829" s="21"/>
      <c r="R2829" s="21"/>
    </row>
    <row r="2830" spans="1:18" x14ac:dyDescent="0.35">
      <c r="A2830" s="20"/>
      <c r="B2830" s="17"/>
      <c r="C2830" s="18"/>
      <c r="D2830" s="21"/>
      <c r="E2830" s="21"/>
      <c r="F2830" s="21"/>
      <c r="G2830" s="21"/>
      <c r="H2830" s="21"/>
      <c r="I2830" s="21"/>
      <c r="J2830" s="21"/>
      <c r="K2830" s="21"/>
      <c r="L2830" s="21"/>
      <c r="M2830" s="21"/>
      <c r="N2830" s="21"/>
      <c r="O2830" s="21"/>
      <c r="P2830" s="21"/>
      <c r="Q2830" s="21"/>
      <c r="R2830" s="21"/>
    </row>
    <row r="2831" spans="1:18" x14ac:dyDescent="0.35">
      <c r="A2831" s="20"/>
      <c r="B2831" s="17"/>
      <c r="C2831" s="18"/>
      <c r="D2831" s="21"/>
      <c r="E2831" s="21"/>
      <c r="F2831" s="21"/>
      <c r="G2831" s="21"/>
      <c r="H2831" s="21"/>
      <c r="I2831" s="21"/>
      <c r="J2831" s="21"/>
      <c r="K2831" s="21"/>
      <c r="L2831" s="21"/>
      <c r="M2831" s="21"/>
      <c r="N2831" s="21"/>
      <c r="O2831" s="21"/>
      <c r="P2831" s="21"/>
      <c r="Q2831" s="21"/>
      <c r="R2831" s="21"/>
    </row>
    <row r="2832" spans="1:18" x14ac:dyDescent="0.35">
      <c r="A2832" s="20"/>
      <c r="B2832" s="17"/>
      <c r="C2832" s="18"/>
      <c r="D2832" s="21"/>
      <c r="E2832" s="21"/>
      <c r="F2832" s="21"/>
      <c r="G2832" s="21"/>
      <c r="H2832" s="21"/>
      <c r="I2832" s="21"/>
      <c r="J2832" s="21"/>
      <c r="K2832" s="21"/>
      <c r="L2832" s="21"/>
      <c r="M2832" s="21"/>
      <c r="N2832" s="21"/>
      <c r="O2832" s="21"/>
      <c r="P2832" s="21"/>
      <c r="Q2832" s="21"/>
      <c r="R2832" s="21"/>
    </row>
    <row r="2833" spans="1:18" x14ac:dyDescent="0.35">
      <c r="A2833" s="20"/>
      <c r="B2833" s="17"/>
      <c r="C2833" s="18"/>
      <c r="D2833" s="21"/>
      <c r="E2833" s="21"/>
      <c r="F2833" s="21"/>
      <c r="G2833" s="21"/>
      <c r="H2833" s="21"/>
      <c r="I2833" s="21"/>
      <c r="J2833" s="21"/>
      <c r="K2833" s="21"/>
      <c r="L2833" s="21"/>
      <c r="M2833" s="21"/>
      <c r="N2833" s="21"/>
      <c r="O2833" s="21"/>
      <c r="P2833" s="21"/>
      <c r="Q2833" s="21"/>
      <c r="R2833" s="21"/>
    </row>
    <row r="2834" spans="1:18" x14ac:dyDescent="0.35">
      <c r="A2834" s="20"/>
      <c r="B2834" s="17"/>
      <c r="C2834" s="18"/>
      <c r="D2834" s="21"/>
      <c r="E2834" s="21"/>
      <c r="F2834" s="21"/>
      <c r="G2834" s="21"/>
      <c r="H2834" s="21"/>
      <c r="I2834" s="21"/>
      <c r="J2834" s="21"/>
      <c r="K2834" s="21"/>
      <c r="L2834" s="21"/>
      <c r="M2834" s="21"/>
      <c r="N2834" s="21"/>
      <c r="O2834" s="21"/>
      <c r="P2834" s="21"/>
      <c r="Q2834" s="21"/>
      <c r="R2834" s="21"/>
    </row>
    <row r="2835" spans="1:18" x14ac:dyDescent="0.35">
      <c r="A2835" s="20"/>
      <c r="B2835" s="17"/>
      <c r="C2835" s="18"/>
      <c r="D2835" s="21"/>
      <c r="E2835" s="21"/>
      <c r="F2835" s="21"/>
      <c r="G2835" s="21"/>
      <c r="H2835" s="21"/>
      <c r="I2835" s="21"/>
      <c r="J2835" s="21"/>
      <c r="K2835" s="21"/>
      <c r="L2835" s="21"/>
      <c r="M2835" s="21"/>
      <c r="N2835" s="21"/>
      <c r="O2835" s="21"/>
      <c r="P2835" s="21"/>
      <c r="Q2835" s="21"/>
      <c r="R2835" s="21"/>
    </row>
    <row r="2836" spans="1:18" x14ac:dyDescent="0.35">
      <c r="A2836" s="20"/>
      <c r="B2836" s="17"/>
      <c r="C2836" s="18"/>
      <c r="D2836" s="21"/>
      <c r="E2836" s="21"/>
      <c r="F2836" s="21"/>
      <c r="G2836" s="21"/>
      <c r="H2836" s="21"/>
      <c r="I2836" s="21"/>
      <c r="J2836" s="21"/>
      <c r="K2836" s="21"/>
      <c r="L2836" s="21"/>
      <c r="M2836" s="21"/>
      <c r="N2836" s="21"/>
      <c r="O2836" s="21"/>
      <c r="P2836" s="21"/>
      <c r="Q2836" s="21"/>
      <c r="R2836" s="21"/>
    </row>
    <row r="2837" spans="1:18" x14ac:dyDescent="0.35">
      <c r="A2837" s="20"/>
      <c r="B2837" s="17"/>
      <c r="C2837" s="18"/>
      <c r="D2837" s="21"/>
      <c r="E2837" s="21"/>
      <c r="F2837" s="21"/>
      <c r="G2837" s="21"/>
      <c r="H2837" s="21"/>
      <c r="I2837" s="21"/>
      <c r="J2837" s="21"/>
      <c r="K2837" s="21"/>
      <c r="L2837" s="21"/>
      <c r="M2837" s="21"/>
      <c r="N2837" s="21"/>
      <c r="O2837" s="21"/>
      <c r="P2837" s="21"/>
      <c r="Q2837" s="21"/>
      <c r="R2837" s="21"/>
    </row>
    <row r="2838" spans="1:18" x14ac:dyDescent="0.35">
      <c r="A2838" s="20"/>
      <c r="B2838" s="17"/>
      <c r="C2838" s="18"/>
      <c r="D2838" s="21"/>
      <c r="E2838" s="21"/>
      <c r="F2838" s="21"/>
      <c r="G2838" s="21"/>
      <c r="H2838" s="21"/>
      <c r="I2838" s="21"/>
      <c r="J2838" s="21"/>
      <c r="K2838" s="21"/>
      <c r="L2838" s="21"/>
      <c r="M2838" s="21"/>
      <c r="N2838" s="21"/>
      <c r="O2838" s="21"/>
      <c r="P2838" s="21"/>
      <c r="Q2838" s="21"/>
      <c r="R2838" s="21"/>
    </row>
    <row r="2839" spans="1:18" x14ac:dyDescent="0.35">
      <c r="A2839" s="20"/>
      <c r="B2839" s="17"/>
      <c r="C2839" s="18"/>
      <c r="D2839" s="21"/>
      <c r="E2839" s="21"/>
      <c r="F2839" s="21"/>
      <c r="G2839" s="21"/>
      <c r="H2839" s="21"/>
      <c r="I2839" s="21"/>
      <c r="J2839" s="21"/>
      <c r="K2839" s="21"/>
      <c r="L2839" s="21"/>
      <c r="M2839" s="21"/>
      <c r="N2839" s="21"/>
      <c r="O2839" s="21"/>
      <c r="P2839" s="21"/>
      <c r="Q2839" s="21"/>
      <c r="R2839" s="21"/>
    </row>
    <row r="2840" spans="1:18" x14ac:dyDescent="0.35">
      <c r="A2840" s="20"/>
      <c r="B2840" s="17"/>
      <c r="C2840" s="18"/>
      <c r="D2840" s="21"/>
      <c r="E2840" s="21"/>
      <c r="F2840" s="21"/>
      <c r="G2840" s="21"/>
      <c r="H2840" s="21"/>
      <c r="I2840" s="21"/>
      <c r="J2840" s="21"/>
      <c r="K2840" s="21"/>
      <c r="L2840" s="21"/>
      <c r="M2840" s="21"/>
      <c r="N2840" s="21"/>
      <c r="O2840" s="21"/>
      <c r="P2840" s="21"/>
      <c r="Q2840" s="21"/>
      <c r="R2840" s="21"/>
    </row>
    <row r="2841" spans="1:18" x14ac:dyDescent="0.35">
      <c r="A2841" s="20"/>
      <c r="B2841" s="17"/>
      <c r="C2841" s="18"/>
      <c r="D2841" s="21"/>
      <c r="E2841" s="21"/>
      <c r="F2841" s="21"/>
      <c r="G2841" s="21"/>
      <c r="H2841" s="21"/>
      <c r="I2841" s="21"/>
      <c r="J2841" s="21"/>
      <c r="K2841" s="21"/>
      <c r="L2841" s="21"/>
      <c r="M2841" s="21"/>
      <c r="N2841" s="21"/>
      <c r="O2841" s="21"/>
      <c r="P2841" s="21"/>
      <c r="Q2841" s="21"/>
      <c r="R2841" s="21"/>
    </row>
    <row r="2842" spans="1:18" x14ac:dyDescent="0.35">
      <c r="A2842" s="20"/>
      <c r="B2842" s="17"/>
      <c r="C2842" s="18"/>
      <c r="D2842" s="21"/>
      <c r="E2842" s="21"/>
      <c r="F2842" s="21"/>
      <c r="G2842" s="21"/>
      <c r="H2842" s="21"/>
      <c r="I2842" s="21"/>
      <c r="J2842" s="21"/>
      <c r="K2842" s="21"/>
      <c r="L2842" s="21"/>
      <c r="M2842" s="21"/>
      <c r="N2842" s="21"/>
      <c r="O2842" s="21"/>
      <c r="P2842" s="21"/>
      <c r="Q2842" s="21"/>
      <c r="R2842" s="21"/>
    </row>
    <row r="2843" spans="1:18" x14ac:dyDescent="0.35">
      <c r="A2843" s="20"/>
      <c r="B2843" s="17"/>
      <c r="C2843" s="18"/>
      <c r="D2843" s="21"/>
      <c r="E2843" s="21"/>
      <c r="F2843" s="21"/>
      <c r="G2843" s="21"/>
      <c r="H2843" s="21"/>
      <c r="I2843" s="21"/>
      <c r="J2843" s="21"/>
      <c r="K2843" s="21"/>
      <c r="L2843" s="21"/>
      <c r="M2843" s="21"/>
      <c r="N2843" s="21"/>
      <c r="O2843" s="21"/>
      <c r="P2843" s="21"/>
      <c r="Q2843" s="21"/>
      <c r="R2843" s="21"/>
    </row>
    <row r="2844" spans="1:18" x14ac:dyDescent="0.35">
      <c r="A2844" s="20"/>
      <c r="B2844" s="17"/>
      <c r="C2844" s="18"/>
      <c r="D2844" s="21"/>
      <c r="E2844" s="21"/>
      <c r="F2844" s="21"/>
      <c r="G2844" s="21"/>
      <c r="H2844" s="21"/>
      <c r="I2844" s="21"/>
      <c r="J2844" s="21"/>
      <c r="K2844" s="21"/>
      <c r="L2844" s="21"/>
      <c r="M2844" s="21"/>
      <c r="N2844" s="21"/>
      <c r="O2844" s="21"/>
      <c r="P2844" s="21"/>
      <c r="Q2844" s="21"/>
      <c r="R2844" s="21"/>
    </row>
    <row r="2845" spans="1:18" x14ac:dyDescent="0.35">
      <c r="A2845" s="20"/>
      <c r="B2845" s="17"/>
      <c r="C2845" s="13"/>
      <c r="D2845" s="14"/>
      <c r="E2845" s="14"/>
      <c r="F2845" s="14"/>
      <c r="G2845" s="14"/>
      <c r="H2845" s="14"/>
      <c r="I2845" s="14"/>
      <c r="J2845" s="14"/>
      <c r="K2845" s="14"/>
      <c r="L2845" s="14"/>
      <c r="M2845" s="14"/>
      <c r="N2845" s="14"/>
      <c r="O2845" s="14"/>
      <c r="P2845" s="14"/>
      <c r="Q2845" s="14"/>
      <c r="R2845" s="14"/>
    </row>
    <row r="2846" spans="1:18" x14ac:dyDescent="0.35">
      <c r="A2846" s="20"/>
      <c r="B2846" s="17"/>
      <c r="C2846" s="13"/>
      <c r="D2846" s="14"/>
      <c r="E2846" s="14"/>
      <c r="F2846" s="14"/>
      <c r="G2846" s="14"/>
      <c r="H2846" s="14"/>
      <c r="I2846" s="14"/>
      <c r="J2846" s="14"/>
      <c r="K2846" s="14"/>
      <c r="L2846" s="14"/>
      <c r="M2846" s="14"/>
      <c r="N2846" s="14"/>
      <c r="O2846" s="14"/>
      <c r="P2846" s="14"/>
      <c r="Q2846" s="14"/>
      <c r="R2846" s="14"/>
    </row>
    <row r="2847" spans="1:18" x14ac:dyDescent="0.35">
      <c r="A2847" s="20"/>
      <c r="B2847" s="17"/>
      <c r="C2847" s="13"/>
      <c r="D2847" s="14"/>
      <c r="E2847" s="14"/>
      <c r="F2847" s="14"/>
      <c r="G2847" s="14"/>
      <c r="H2847" s="14"/>
      <c r="I2847" s="14"/>
      <c r="J2847" s="14"/>
      <c r="K2847" s="14"/>
      <c r="L2847" s="14"/>
      <c r="M2847" s="14"/>
      <c r="N2847" s="14"/>
      <c r="O2847" s="14"/>
      <c r="P2847" s="14"/>
      <c r="Q2847" s="14"/>
      <c r="R2847" s="14"/>
    </row>
    <row r="2848" spans="1:18" x14ac:dyDescent="0.35">
      <c r="A2848" s="20"/>
      <c r="B2848" s="17"/>
      <c r="C2848" s="13"/>
      <c r="D2848" s="14"/>
      <c r="E2848" s="14"/>
      <c r="F2848" s="14"/>
      <c r="G2848" s="14"/>
      <c r="H2848" s="14"/>
      <c r="I2848" s="14"/>
      <c r="J2848" s="14"/>
      <c r="K2848" s="14"/>
      <c r="L2848" s="14"/>
      <c r="M2848" s="14"/>
      <c r="N2848" s="14"/>
      <c r="O2848" s="14"/>
      <c r="P2848" s="14"/>
      <c r="Q2848" s="14"/>
      <c r="R2848" s="14"/>
    </row>
    <row r="2849" spans="1:18" x14ac:dyDescent="0.35">
      <c r="A2849" s="20"/>
      <c r="B2849" s="17"/>
      <c r="C2849" s="13"/>
      <c r="D2849" s="14"/>
      <c r="E2849" s="14"/>
      <c r="F2849" s="14"/>
      <c r="G2849" s="14"/>
      <c r="H2849" s="14"/>
      <c r="I2849" s="14"/>
      <c r="J2849" s="14"/>
      <c r="K2849" s="14"/>
      <c r="L2849" s="14"/>
      <c r="M2849" s="14"/>
      <c r="N2849" s="14"/>
      <c r="O2849" s="14"/>
      <c r="P2849" s="14"/>
      <c r="Q2849" s="14"/>
      <c r="R2849" s="14"/>
    </row>
    <row r="2850" spans="1:18" x14ac:dyDescent="0.35">
      <c r="A2850" s="20"/>
      <c r="B2850" s="17"/>
      <c r="C2850" s="13"/>
      <c r="D2850" s="14"/>
      <c r="E2850" s="14"/>
      <c r="F2850" s="14"/>
      <c r="G2850" s="14"/>
      <c r="H2850" s="14"/>
      <c r="I2850" s="14"/>
      <c r="J2850" s="14"/>
      <c r="K2850" s="14"/>
      <c r="L2850" s="14"/>
      <c r="M2850" s="14"/>
      <c r="N2850" s="14"/>
      <c r="O2850" s="14"/>
      <c r="P2850" s="14"/>
      <c r="Q2850" s="14"/>
      <c r="R2850" s="14"/>
    </row>
    <row r="2851" spans="1:18" x14ac:dyDescent="0.35">
      <c r="A2851" s="20"/>
      <c r="B2851" s="17"/>
      <c r="C2851" s="13"/>
      <c r="D2851" s="14"/>
      <c r="E2851" s="14"/>
      <c r="F2851" s="14"/>
      <c r="G2851" s="14"/>
      <c r="H2851" s="14"/>
      <c r="I2851" s="14"/>
      <c r="J2851" s="14"/>
      <c r="K2851" s="14"/>
      <c r="L2851" s="14"/>
      <c r="M2851" s="14"/>
      <c r="N2851" s="14"/>
      <c r="O2851" s="14"/>
      <c r="P2851" s="14"/>
      <c r="Q2851" s="14"/>
      <c r="R2851" s="14"/>
    </row>
    <row r="2852" spans="1:18" x14ac:dyDescent="0.35">
      <c r="A2852" s="20"/>
      <c r="B2852" s="17"/>
      <c r="D2852" s="14"/>
      <c r="E2852" s="14"/>
      <c r="F2852" s="14"/>
      <c r="G2852" s="14"/>
      <c r="H2852" s="14"/>
      <c r="I2852" s="14"/>
      <c r="J2852" s="14"/>
      <c r="K2852" s="14"/>
      <c r="L2852" s="14"/>
      <c r="M2852" s="14"/>
      <c r="N2852" s="14"/>
      <c r="O2852" s="14"/>
      <c r="P2852" s="14"/>
      <c r="Q2852" s="14"/>
      <c r="R2852" s="14"/>
    </row>
    <row r="2853" spans="1:18" x14ac:dyDescent="0.35">
      <c r="A2853" s="20"/>
      <c r="B2853" s="17"/>
      <c r="D2853" s="14"/>
      <c r="E2853" s="14"/>
      <c r="F2853" s="14"/>
      <c r="G2853" s="14"/>
      <c r="H2853" s="14"/>
      <c r="I2853" s="14"/>
      <c r="J2853" s="14"/>
      <c r="K2853" s="14"/>
      <c r="L2853" s="14"/>
      <c r="M2853" s="14"/>
      <c r="N2853" s="14"/>
      <c r="O2853" s="14"/>
      <c r="P2853" s="14"/>
      <c r="Q2853" s="14"/>
      <c r="R2853" s="14"/>
    </row>
    <row r="2854" spans="1:18" x14ac:dyDescent="0.35">
      <c r="A2854" s="20"/>
      <c r="B2854" s="17"/>
      <c r="D2854" s="14"/>
      <c r="E2854" s="14"/>
      <c r="F2854" s="14"/>
      <c r="G2854" s="14"/>
      <c r="H2854" s="14"/>
      <c r="I2854" s="14"/>
      <c r="J2854" s="14"/>
      <c r="K2854" s="14"/>
      <c r="L2854" s="14"/>
      <c r="M2854" s="14"/>
      <c r="N2854" s="14"/>
      <c r="O2854" s="14"/>
      <c r="P2854" s="14"/>
      <c r="Q2854" s="14"/>
      <c r="R2854" s="14"/>
    </row>
    <row r="2855" spans="1:18" x14ac:dyDescent="0.35">
      <c r="B2855" s="17"/>
      <c r="C2855" s="18"/>
      <c r="D2855" s="21"/>
      <c r="E2855" s="21"/>
      <c r="F2855" s="21"/>
      <c r="G2855" s="21"/>
      <c r="H2855" s="21"/>
      <c r="I2855" s="21"/>
      <c r="J2855" s="21"/>
      <c r="K2855" s="21"/>
      <c r="L2855" s="21"/>
      <c r="M2855" s="21"/>
      <c r="N2855" s="21"/>
      <c r="O2855" s="21"/>
      <c r="P2855" s="21"/>
      <c r="Q2855" s="21"/>
      <c r="R2855" s="21"/>
    </row>
    <row r="2856" spans="1:18" x14ac:dyDescent="0.35">
      <c r="B2856" s="17"/>
      <c r="C2856" s="18"/>
      <c r="D2856" s="21"/>
      <c r="E2856" s="21"/>
      <c r="F2856" s="21"/>
      <c r="G2856" s="21"/>
      <c r="H2856" s="21"/>
      <c r="I2856" s="21"/>
      <c r="J2856" s="21"/>
      <c r="K2856" s="21"/>
      <c r="L2856" s="21"/>
      <c r="M2856" s="21"/>
      <c r="N2856" s="21"/>
      <c r="O2856" s="21"/>
      <c r="P2856" s="21"/>
      <c r="Q2856" s="21"/>
      <c r="R2856" s="21"/>
    </row>
    <row r="2857" spans="1:18" x14ac:dyDescent="0.35">
      <c r="B2857" s="17"/>
      <c r="C2857" s="18"/>
      <c r="D2857" s="21"/>
      <c r="E2857" s="21"/>
      <c r="F2857" s="21"/>
      <c r="G2857" s="21"/>
      <c r="H2857" s="21"/>
      <c r="I2857" s="21"/>
      <c r="J2857" s="21"/>
      <c r="K2857" s="21"/>
      <c r="L2857" s="21"/>
      <c r="M2857" s="21"/>
      <c r="N2857" s="21"/>
      <c r="O2857" s="21"/>
      <c r="P2857" s="21"/>
      <c r="Q2857" s="21"/>
      <c r="R2857" s="21"/>
    </row>
    <row r="2858" spans="1:18" x14ac:dyDescent="0.35">
      <c r="B2858" s="17"/>
      <c r="C2858" s="18"/>
      <c r="D2858" s="21"/>
      <c r="E2858" s="21"/>
      <c r="F2858" s="21"/>
      <c r="G2858" s="21"/>
      <c r="H2858" s="21"/>
      <c r="I2858" s="21"/>
      <c r="J2858" s="21"/>
      <c r="K2858" s="21"/>
      <c r="L2858" s="21"/>
      <c r="M2858" s="21"/>
      <c r="N2858" s="21"/>
      <c r="O2858" s="21"/>
      <c r="P2858" s="21"/>
      <c r="Q2858" s="21"/>
      <c r="R2858" s="21"/>
    </row>
    <row r="2859" spans="1:18" x14ac:dyDescent="0.35">
      <c r="B2859" s="17"/>
      <c r="C2859" s="18"/>
      <c r="D2859" s="21"/>
      <c r="E2859" s="21"/>
      <c r="F2859" s="21"/>
      <c r="G2859" s="21"/>
      <c r="H2859" s="21"/>
      <c r="I2859" s="21"/>
      <c r="J2859" s="21"/>
      <c r="K2859" s="21"/>
      <c r="L2859" s="21"/>
      <c r="M2859" s="21"/>
      <c r="N2859" s="21"/>
      <c r="O2859" s="21"/>
      <c r="P2859" s="21"/>
      <c r="Q2859" s="21"/>
      <c r="R2859" s="21"/>
    </row>
    <row r="2860" spans="1:18" x14ac:dyDescent="0.35">
      <c r="B2860" s="17"/>
      <c r="C2860" s="19"/>
      <c r="D2860" s="21"/>
      <c r="E2860" s="21"/>
      <c r="F2860" s="21"/>
      <c r="G2860" s="21"/>
      <c r="H2860" s="21"/>
      <c r="I2860" s="21"/>
      <c r="J2860" s="21"/>
      <c r="K2860" s="21"/>
      <c r="L2860" s="21"/>
      <c r="M2860" s="21"/>
      <c r="N2860" s="21"/>
      <c r="O2860" s="21"/>
      <c r="P2860" s="21"/>
      <c r="Q2860" s="21"/>
      <c r="R2860" s="21"/>
    </row>
    <row r="2861" spans="1:18" x14ac:dyDescent="0.35">
      <c r="B2861" s="17"/>
      <c r="C2861" s="19"/>
      <c r="D2861" s="21"/>
      <c r="E2861" s="21"/>
      <c r="F2861" s="21"/>
      <c r="G2861" s="21"/>
      <c r="H2861" s="21"/>
      <c r="I2861" s="21"/>
      <c r="J2861" s="21"/>
      <c r="K2861" s="21"/>
      <c r="L2861" s="21"/>
      <c r="M2861" s="21"/>
      <c r="N2861" s="21"/>
      <c r="O2861" s="21"/>
      <c r="P2861" s="21"/>
      <c r="Q2861" s="21"/>
      <c r="R2861" s="21"/>
    </row>
    <row r="2862" spans="1:18" x14ac:dyDescent="0.35">
      <c r="B2862" s="17"/>
      <c r="C2862" s="19"/>
      <c r="D2862" s="21"/>
      <c r="E2862" s="21"/>
      <c r="F2862" s="21"/>
      <c r="G2862" s="21"/>
      <c r="H2862" s="21"/>
      <c r="I2862" s="21"/>
      <c r="J2862" s="21"/>
      <c r="K2862" s="21"/>
      <c r="L2862" s="21"/>
      <c r="M2862" s="21"/>
      <c r="N2862" s="21"/>
      <c r="O2862" s="21"/>
      <c r="P2862" s="21"/>
      <c r="Q2862" s="21"/>
      <c r="R2862" s="21"/>
    </row>
    <row r="2863" spans="1:18" x14ac:dyDescent="0.35">
      <c r="B2863" s="17"/>
      <c r="C2863" s="19"/>
      <c r="D2863" s="21"/>
      <c r="E2863" s="21"/>
      <c r="F2863" s="21"/>
      <c r="G2863" s="21"/>
      <c r="H2863" s="21"/>
      <c r="I2863" s="21"/>
      <c r="J2863" s="21"/>
      <c r="K2863" s="21"/>
      <c r="L2863" s="21"/>
      <c r="M2863" s="21"/>
      <c r="N2863" s="21"/>
      <c r="O2863" s="21"/>
      <c r="P2863" s="21"/>
      <c r="Q2863" s="21"/>
      <c r="R2863" s="21"/>
    </row>
    <row r="2864" spans="1:18" x14ac:dyDescent="0.35">
      <c r="B2864" s="17"/>
      <c r="C2864" s="13"/>
      <c r="D2864" s="14"/>
      <c r="E2864" s="14"/>
      <c r="F2864" s="14"/>
      <c r="G2864" s="14"/>
      <c r="H2864" s="14"/>
      <c r="I2864" s="14"/>
      <c r="J2864" s="14"/>
      <c r="K2864" s="14"/>
      <c r="L2864" s="14"/>
      <c r="M2864" s="14"/>
      <c r="N2864" s="14"/>
      <c r="O2864" s="14"/>
      <c r="P2864" s="14"/>
      <c r="Q2864" s="14"/>
      <c r="R2864" s="14"/>
    </row>
    <row r="2865" spans="2:18" x14ac:dyDescent="0.35">
      <c r="B2865" s="17"/>
      <c r="C2865" s="13"/>
      <c r="D2865" s="14"/>
      <c r="E2865" s="14"/>
      <c r="F2865" s="14"/>
      <c r="G2865" s="14"/>
      <c r="H2865" s="14"/>
      <c r="I2865" s="14"/>
      <c r="J2865" s="14"/>
      <c r="K2865" s="14"/>
      <c r="L2865" s="14"/>
      <c r="M2865" s="14"/>
      <c r="N2865" s="14"/>
      <c r="O2865" s="14"/>
      <c r="P2865" s="14"/>
      <c r="Q2865" s="14"/>
      <c r="R2865" s="14"/>
    </row>
    <row r="2866" spans="2:18" x14ac:dyDescent="0.35">
      <c r="B2866" s="17"/>
      <c r="C2866" s="13"/>
      <c r="D2866" s="14"/>
      <c r="E2866" s="14"/>
      <c r="F2866" s="14"/>
      <c r="G2866" s="14"/>
      <c r="H2866" s="14"/>
      <c r="I2866" s="14"/>
      <c r="J2866" s="14"/>
      <c r="K2866" s="14"/>
      <c r="L2866" s="14"/>
      <c r="M2866" s="14"/>
      <c r="N2866" s="14"/>
      <c r="O2866" s="14"/>
      <c r="P2866" s="14"/>
      <c r="Q2866" s="14"/>
      <c r="R2866" s="14"/>
    </row>
    <row r="2867" spans="2:18" x14ac:dyDescent="0.35">
      <c r="B2867" s="17"/>
      <c r="C2867" s="13"/>
      <c r="D2867" s="14"/>
      <c r="E2867" s="14"/>
      <c r="F2867" s="14"/>
      <c r="G2867" s="14"/>
      <c r="H2867" s="14"/>
      <c r="I2867" s="14"/>
      <c r="J2867" s="14"/>
      <c r="K2867" s="14"/>
      <c r="L2867" s="14"/>
      <c r="M2867" s="14"/>
      <c r="N2867" s="14"/>
      <c r="O2867" s="14"/>
      <c r="P2867" s="14"/>
      <c r="Q2867" s="14"/>
      <c r="R2867" s="14"/>
    </row>
    <row r="2868" spans="2:18" x14ac:dyDescent="0.35">
      <c r="B2868" s="17"/>
      <c r="C2868" s="13"/>
      <c r="D2868" s="14"/>
      <c r="E2868" s="14"/>
      <c r="F2868" s="14"/>
      <c r="G2868" s="14"/>
      <c r="H2868" s="14"/>
      <c r="I2868" s="14"/>
      <c r="J2868" s="14"/>
      <c r="K2868" s="14"/>
      <c r="L2868" s="14"/>
      <c r="M2868" s="14"/>
      <c r="N2868" s="14"/>
      <c r="O2868" s="14"/>
      <c r="P2868" s="14"/>
      <c r="Q2868" s="14"/>
      <c r="R2868" s="14"/>
    </row>
    <row r="2869" spans="2:18" x14ac:dyDescent="0.35">
      <c r="B2869" s="17"/>
      <c r="C2869" s="13"/>
      <c r="D2869" s="14"/>
      <c r="E2869" s="14"/>
      <c r="F2869" s="14"/>
      <c r="G2869" s="14"/>
      <c r="H2869" s="14"/>
      <c r="I2869" s="14"/>
      <c r="J2869" s="14"/>
      <c r="K2869" s="14"/>
      <c r="L2869" s="14"/>
      <c r="M2869" s="14"/>
      <c r="N2869" s="14"/>
      <c r="O2869" s="14"/>
      <c r="P2869" s="14"/>
      <c r="Q2869" s="14"/>
      <c r="R2869" s="14"/>
    </row>
    <row r="2870" spans="2:18" x14ac:dyDescent="0.35">
      <c r="B2870" s="17"/>
      <c r="C2870" s="13"/>
      <c r="D2870" s="14"/>
      <c r="E2870" s="14"/>
      <c r="F2870" s="14"/>
      <c r="G2870" s="14"/>
      <c r="H2870" s="14"/>
      <c r="I2870" s="14"/>
      <c r="J2870" s="14"/>
      <c r="K2870" s="14"/>
      <c r="L2870" s="14"/>
      <c r="M2870" s="14"/>
      <c r="N2870" s="14"/>
      <c r="O2870" s="14"/>
      <c r="P2870" s="14"/>
      <c r="Q2870" s="14"/>
      <c r="R2870" s="14"/>
    </row>
    <row r="2871" spans="2:18" x14ac:dyDescent="0.35">
      <c r="B2871" s="17"/>
      <c r="C2871" s="13"/>
      <c r="D2871" s="14"/>
      <c r="E2871" s="14"/>
      <c r="F2871" s="14"/>
      <c r="G2871" s="14"/>
      <c r="H2871" s="14"/>
      <c r="I2871" s="14"/>
      <c r="J2871" s="14"/>
      <c r="K2871" s="14"/>
      <c r="L2871" s="14"/>
      <c r="M2871" s="14"/>
      <c r="N2871" s="14"/>
      <c r="O2871" s="14"/>
      <c r="P2871" s="14"/>
      <c r="Q2871" s="14"/>
      <c r="R2871" s="14"/>
    </row>
    <row r="2872" spans="2:18" x14ac:dyDescent="0.35">
      <c r="B2872" s="17"/>
      <c r="C2872" s="13"/>
      <c r="D2872" s="14"/>
      <c r="E2872" s="14"/>
      <c r="F2872" s="14"/>
      <c r="G2872" s="14"/>
      <c r="H2872" s="14"/>
      <c r="I2872" s="14"/>
      <c r="J2872" s="14"/>
      <c r="K2872" s="14"/>
      <c r="L2872" s="14"/>
      <c r="M2872" s="14"/>
      <c r="N2872" s="14"/>
      <c r="O2872" s="14"/>
      <c r="P2872" s="14"/>
      <c r="Q2872" s="14"/>
      <c r="R2872" s="14"/>
    </row>
    <row r="2873" spans="2:18" x14ac:dyDescent="0.35">
      <c r="B2873" s="17"/>
      <c r="C2873" s="13"/>
      <c r="D2873" s="14"/>
      <c r="E2873" s="14"/>
      <c r="F2873" s="14"/>
      <c r="G2873" s="14"/>
      <c r="H2873" s="14"/>
      <c r="I2873" s="14"/>
      <c r="J2873" s="14"/>
      <c r="K2873" s="14"/>
      <c r="L2873" s="14"/>
      <c r="M2873" s="14"/>
      <c r="N2873" s="14"/>
      <c r="O2873" s="14"/>
      <c r="P2873" s="14"/>
      <c r="Q2873" s="14"/>
      <c r="R2873" s="14"/>
    </row>
    <row r="2874" spans="2:18" x14ac:dyDescent="0.35">
      <c r="B2874" s="17"/>
      <c r="C2874" s="13"/>
      <c r="D2874" s="14"/>
      <c r="E2874" s="14"/>
      <c r="F2874" s="14"/>
      <c r="G2874" s="14"/>
      <c r="H2874" s="14"/>
      <c r="I2874" s="14"/>
      <c r="J2874" s="14"/>
      <c r="K2874" s="14"/>
      <c r="L2874" s="14"/>
      <c r="M2874" s="14"/>
      <c r="N2874" s="14"/>
      <c r="O2874" s="14"/>
      <c r="P2874" s="14"/>
      <c r="Q2874" s="14"/>
      <c r="R2874" s="14"/>
    </row>
    <row r="2875" spans="2:18" x14ac:dyDescent="0.35">
      <c r="B2875" s="17"/>
      <c r="C2875" s="13"/>
      <c r="D2875" s="14"/>
      <c r="E2875" s="14"/>
      <c r="F2875" s="14"/>
      <c r="G2875" s="14"/>
      <c r="H2875" s="14"/>
      <c r="I2875" s="14"/>
      <c r="J2875" s="14"/>
      <c r="K2875" s="14"/>
      <c r="L2875" s="14"/>
      <c r="M2875" s="14"/>
      <c r="N2875" s="14"/>
      <c r="O2875" s="14"/>
      <c r="P2875" s="14"/>
      <c r="Q2875" s="14"/>
      <c r="R2875" s="14"/>
    </row>
    <row r="2876" spans="2:18" x14ac:dyDescent="0.35">
      <c r="B2876" s="17"/>
      <c r="C2876" s="13"/>
      <c r="D2876" s="14"/>
      <c r="E2876" s="14"/>
      <c r="F2876" s="14"/>
      <c r="G2876" s="14"/>
      <c r="H2876" s="14"/>
      <c r="I2876" s="14"/>
      <c r="J2876" s="14"/>
      <c r="K2876" s="14"/>
      <c r="L2876" s="14"/>
      <c r="M2876" s="14"/>
      <c r="N2876" s="14"/>
      <c r="O2876" s="14"/>
      <c r="P2876" s="14"/>
      <c r="Q2876" s="14"/>
      <c r="R2876" s="14"/>
    </row>
    <row r="2877" spans="2:18" x14ac:dyDescent="0.35">
      <c r="B2877" s="17"/>
      <c r="C2877" s="13"/>
      <c r="D2877" s="14"/>
      <c r="E2877" s="14"/>
      <c r="F2877" s="14"/>
      <c r="G2877" s="14"/>
      <c r="H2877" s="14"/>
      <c r="I2877" s="14"/>
      <c r="J2877" s="14"/>
      <c r="K2877" s="14"/>
      <c r="L2877" s="14"/>
      <c r="M2877" s="14"/>
      <c r="N2877" s="14"/>
      <c r="O2877" s="14"/>
      <c r="P2877" s="14"/>
      <c r="Q2877" s="14"/>
      <c r="R2877" s="14"/>
    </row>
    <row r="2878" spans="2:18" x14ac:dyDescent="0.35">
      <c r="B2878" s="17"/>
      <c r="C2878" s="13"/>
      <c r="D2878" s="14"/>
      <c r="E2878" s="14"/>
      <c r="F2878" s="14"/>
      <c r="G2878" s="14"/>
      <c r="H2878" s="14"/>
      <c r="I2878" s="14"/>
      <c r="J2878" s="14"/>
      <c r="K2878" s="14"/>
      <c r="L2878" s="14"/>
      <c r="M2878" s="14"/>
      <c r="N2878" s="14"/>
      <c r="O2878" s="14"/>
      <c r="P2878" s="14"/>
      <c r="Q2878" s="14"/>
      <c r="R2878" s="14"/>
    </row>
    <row r="2879" spans="2:18" x14ac:dyDescent="0.35">
      <c r="B2879" s="17"/>
      <c r="C2879" s="18"/>
      <c r="D2879" s="21"/>
      <c r="E2879" s="21"/>
      <c r="F2879" s="21"/>
      <c r="G2879" s="21"/>
      <c r="H2879" s="21"/>
      <c r="I2879" s="21"/>
      <c r="J2879" s="21"/>
      <c r="K2879" s="21"/>
      <c r="L2879" s="21"/>
      <c r="M2879" s="21"/>
      <c r="N2879" s="21"/>
      <c r="O2879" s="21"/>
      <c r="P2879" s="21"/>
      <c r="Q2879" s="21"/>
      <c r="R2879" s="21"/>
    </row>
    <row r="2880" spans="2:18" x14ac:dyDescent="0.35">
      <c r="B2880" s="17"/>
      <c r="C2880" s="18"/>
      <c r="D2880" s="21"/>
      <c r="E2880" s="21"/>
      <c r="F2880" s="21"/>
      <c r="G2880" s="21"/>
      <c r="H2880" s="21"/>
      <c r="I2880" s="21"/>
      <c r="J2880" s="21"/>
      <c r="K2880" s="21"/>
      <c r="L2880" s="21"/>
      <c r="M2880" s="21"/>
      <c r="N2880" s="21"/>
      <c r="O2880" s="21"/>
      <c r="P2880" s="21"/>
      <c r="Q2880" s="21"/>
      <c r="R2880" s="21"/>
    </row>
    <row r="2881" spans="2:18" x14ac:dyDescent="0.35">
      <c r="B2881" s="17"/>
      <c r="C2881" s="18"/>
      <c r="D2881" s="21"/>
      <c r="E2881" s="21"/>
      <c r="F2881" s="21"/>
      <c r="G2881" s="21"/>
      <c r="H2881" s="21"/>
      <c r="I2881" s="21"/>
      <c r="J2881" s="21"/>
      <c r="K2881" s="21"/>
      <c r="L2881" s="21"/>
      <c r="M2881" s="21"/>
      <c r="N2881" s="21"/>
      <c r="O2881" s="21"/>
      <c r="P2881" s="21"/>
      <c r="Q2881" s="21"/>
      <c r="R2881" s="21"/>
    </row>
    <row r="2882" spans="2:18" x14ac:dyDescent="0.35">
      <c r="B2882" s="17"/>
      <c r="C2882" s="18"/>
      <c r="D2882" s="21"/>
      <c r="E2882" s="21"/>
      <c r="F2882" s="21"/>
      <c r="G2882" s="21"/>
      <c r="H2882" s="21"/>
      <c r="I2882" s="21"/>
      <c r="J2882" s="21"/>
      <c r="K2882" s="21"/>
      <c r="L2882" s="21"/>
      <c r="M2882" s="21"/>
      <c r="N2882" s="21"/>
      <c r="O2882" s="21"/>
      <c r="P2882" s="21"/>
      <c r="Q2882" s="21"/>
      <c r="R2882" s="21"/>
    </row>
    <row r="2883" spans="2:18" x14ac:dyDescent="0.35">
      <c r="B2883" s="17"/>
      <c r="C2883" s="18"/>
      <c r="D2883" s="21"/>
      <c r="E2883" s="21"/>
      <c r="F2883" s="21"/>
      <c r="G2883" s="21"/>
      <c r="H2883" s="21"/>
      <c r="I2883" s="21"/>
      <c r="J2883" s="21"/>
      <c r="K2883" s="21"/>
      <c r="L2883" s="21"/>
      <c r="M2883" s="21"/>
      <c r="N2883" s="21"/>
      <c r="O2883" s="21"/>
      <c r="P2883" s="21"/>
      <c r="Q2883" s="21"/>
      <c r="R2883" s="21"/>
    </row>
    <row r="2884" spans="2:18" x14ac:dyDescent="0.35">
      <c r="B2884" s="17"/>
      <c r="C2884" s="18"/>
      <c r="D2884" s="21"/>
      <c r="E2884" s="21"/>
      <c r="F2884" s="21"/>
      <c r="G2884" s="21"/>
      <c r="H2884" s="21"/>
      <c r="I2884" s="21"/>
      <c r="J2884" s="21"/>
      <c r="K2884" s="21"/>
      <c r="L2884" s="21"/>
      <c r="M2884" s="21"/>
      <c r="N2884" s="21"/>
      <c r="O2884" s="21"/>
      <c r="P2884" s="21"/>
      <c r="Q2884" s="21"/>
      <c r="R2884" s="21"/>
    </row>
    <row r="2885" spans="2:18" x14ac:dyDescent="0.35">
      <c r="B2885" s="17"/>
      <c r="C2885" s="18"/>
      <c r="D2885" s="21"/>
      <c r="E2885" s="21"/>
      <c r="F2885" s="21"/>
      <c r="G2885" s="21"/>
      <c r="H2885" s="21"/>
      <c r="I2885" s="21"/>
      <c r="J2885" s="21"/>
      <c r="K2885" s="21"/>
      <c r="L2885" s="21"/>
      <c r="M2885" s="21"/>
      <c r="N2885" s="21"/>
      <c r="O2885" s="21"/>
      <c r="P2885" s="21"/>
      <c r="Q2885" s="21"/>
      <c r="R2885" s="21"/>
    </row>
    <row r="2886" spans="2:18" x14ac:dyDescent="0.35">
      <c r="B2886" s="17"/>
      <c r="C2886" s="18"/>
      <c r="D2886" s="21"/>
      <c r="E2886" s="21"/>
      <c r="F2886" s="21"/>
      <c r="G2886" s="21"/>
      <c r="H2886" s="21"/>
      <c r="I2886" s="21"/>
      <c r="J2886" s="21"/>
      <c r="K2886" s="21"/>
      <c r="L2886" s="21"/>
      <c r="M2886" s="21"/>
      <c r="N2886" s="21"/>
      <c r="O2886" s="21"/>
      <c r="P2886" s="21"/>
      <c r="Q2886" s="21"/>
      <c r="R2886" s="21"/>
    </row>
    <row r="2887" spans="2:18" x14ac:dyDescent="0.35">
      <c r="B2887" s="17"/>
      <c r="C2887" s="18"/>
      <c r="D2887" s="21"/>
      <c r="E2887" s="21"/>
      <c r="F2887" s="21"/>
      <c r="G2887" s="21"/>
      <c r="H2887" s="21"/>
      <c r="I2887" s="21"/>
      <c r="J2887" s="21"/>
      <c r="K2887" s="21"/>
      <c r="L2887" s="21"/>
      <c r="M2887" s="21"/>
      <c r="N2887" s="21"/>
      <c r="O2887" s="21"/>
      <c r="P2887" s="21"/>
      <c r="Q2887" s="21"/>
      <c r="R2887" s="21"/>
    </row>
    <row r="2888" spans="2:18" x14ac:dyDescent="0.35">
      <c r="B2888" s="17"/>
      <c r="C2888" s="18"/>
      <c r="D2888" s="21"/>
      <c r="E2888" s="21"/>
      <c r="F2888" s="21"/>
      <c r="G2888" s="21"/>
      <c r="H2888" s="21"/>
      <c r="I2888" s="21"/>
      <c r="J2888" s="21"/>
      <c r="K2888" s="21"/>
      <c r="L2888" s="21"/>
      <c r="M2888" s="21"/>
      <c r="N2888" s="21"/>
      <c r="O2888" s="21"/>
      <c r="P2888" s="21"/>
      <c r="Q2888" s="21"/>
      <c r="R2888" s="21"/>
    </row>
    <row r="2889" spans="2:18" x14ac:dyDescent="0.35">
      <c r="B2889" s="17"/>
      <c r="C2889" s="18"/>
      <c r="D2889" s="21"/>
      <c r="E2889" s="21"/>
      <c r="F2889" s="21"/>
      <c r="G2889" s="21"/>
      <c r="H2889" s="21"/>
      <c r="I2889" s="21"/>
      <c r="J2889" s="21"/>
      <c r="K2889" s="21"/>
      <c r="L2889" s="21"/>
      <c r="M2889" s="21"/>
      <c r="N2889" s="21"/>
      <c r="O2889" s="21"/>
      <c r="P2889" s="21"/>
      <c r="Q2889" s="21"/>
      <c r="R2889" s="21"/>
    </row>
    <row r="2890" spans="2:18" x14ac:dyDescent="0.35">
      <c r="B2890" s="17"/>
      <c r="C2890" s="18"/>
      <c r="D2890" s="21"/>
      <c r="E2890" s="21"/>
      <c r="F2890" s="21"/>
      <c r="G2890" s="21"/>
      <c r="H2890" s="21"/>
      <c r="I2890" s="21"/>
      <c r="J2890" s="21"/>
      <c r="K2890" s="21"/>
      <c r="L2890" s="21"/>
      <c r="M2890" s="21"/>
      <c r="N2890" s="21"/>
      <c r="O2890" s="21"/>
      <c r="P2890" s="21"/>
      <c r="Q2890" s="21"/>
      <c r="R2890" s="21"/>
    </row>
    <row r="2891" spans="2:18" x14ac:dyDescent="0.35">
      <c r="B2891" s="17"/>
      <c r="C2891" s="18"/>
      <c r="D2891" s="21"/>
      <c r="E2891" s="21"/>
      <c r="F2891" s="21"/>
      <c r="G2891" s="21"/>
      <c r="H2891" s="21"/>
      <c r="I2891" s="21"/>
      <c r="J2891" s="21"/>
      <c r="K2891" s="21"/>
      <c r="L2891" s="21"/>
      <c r="M2891" s="21"/>
      <c r="N2891" s="21"/>
      <c r="O2891" s="21"/>
      <c r="P2891" s="21"/>
      <c r="Q2891" s="21"/>
      <c r="R2891" s="21"/>
    </row>
    <row r="2892" spans="2:18" x14ac:dyDescent="0.35">
      <c r="B2892" s="17"/>
      <c r="C2892" s="18"/>
      <c r="D2892" s="21"/>
      <c r="E2892" s="21"/>
      <c r="F2892" s="21"/>
      <c r="G2892" s="21"/>
      <c r="H2892" s="21"/>
      <c r="I2892" s="21"/>
      <c r="J2892" s="21"/>
      <c r="K2892" s="21"/>
      <c r="L2892" s="21"/>
      <c r="M2892" s="21"/>
      <c r="N2892" s="21"/>
      <c r="O2892" s="21"/>
      <c r="P2892" s="21"/>
      <c r="Q2892" s="21"/>
      <c r="R2892" s="21"/>
    </row>
    <row r="2893" spans="2:18" x14ac:dyDescent="0.35">
      <c r="B2893" s="17"/>
      <c r="C2893" s="18"/>
      <c r="D2893" s="21"/>
      <c r="E2893" s="21"/>
      <c r="F2893" s="21"/>
      <c r="G2893" s="21"/>
      <c r="H2893" s="21"/>
      <c r="I2893" s="21"/>
      <c r="J2893" s="21"/>
      <c r="K2893" s="21"/>
      <c r="L2893" s="21"/>
      <c r="M2893" s="21"/>
      <c r="N2893" s="21"/>
      <c r="O2893" s="21"/>
      <c r="P2893" s="21"/>
      <c r="Q2893" s="21"/>
      <c r="R2893" s="21"/>
    </row>
    <row r="2894" spans="2:18" x14ac:dyDescent="0.35">
      <c r="B2894" s="17"/>
      <c r="C2894" s="18"/>
      <c r="D2894" s="21"/>
      <c r="E2894" s="21"/>
      <c r="F2894" s="21"/>
      <c r="G2894" s="21"/>
      <c r="H2894" s="21"/>
      <c r="I2894" s="21"/>
      <c r="J2894" s="21"/>
      <c r="K2894" s="21"/>
      <c r="L2894" s="21"/>
      <c r="M2894" s="21"/>
      <c r="N2894" s="21"/>
      <c r="O2894" s="21"/>
      <c r="P2894" s="21"/>
      <c r="Q2894" s="21"/>
      <c r="R2894" s="21"/>
    </row>
    <row r="2895" spans="2:18" x14ac:dyDescent="0.35">
      <c r="B2895" s="17"/>
      <c r="C2895" s="13"/>
      <c r="D2895" s="14"/>
      <c r="E2895" s="14"/>
      <c r="F2895" s="14"/>
      <c r="G2895" s="14"/>
      <c r="H2895" s="14"/>
      <c r="I2895" s="14"/>
      <c r="J2895" s="14"/>
      <c r="K2895" s="14"/>
      <c r="L2895" s="14"/>
      <c r="M2895" s="14"/>
      <c r="N2895" s="14"/>
      <c r="O2895" s="14"/>
      <c r="P2895" s="14"/>
      <c r="Q2895" s="14"/>
      <c r="R2895" s="14"/>
    </row>
    <row r="2896" spans="2:18" x14ac:dyDescent="0.35">
      <c r="B2896" s="17"/>
      <c r="C2896" s="13"/>
      <c r="D2896" s="14"/>
      <c r="E2896" s="14"/>
      <c r="F2896" s="14"/>
      <c r="G2896" s="14"/>
      <c r="H2896" s="14"/>
      <c r="I2896" s="14"/>
      <c r="J2896" s="14"/>
      <c r="K2896" s="14"/>
      <c r="L2896" s="14"/>
      <c r="M2896" s="14"/>
      <c r="N2896" s="14"/>
      <c r="O2896" s="14"/>
      <c r="P2896" s="14"/>
      <c r="Q2896" s="14"/>
      <c r="R2896" s="14"/>
    </row>
    <row r="2897" spans="2:18" x14ac:dyDescent="0.35">
      <c r="B2897" s="17"/>
      <c r="C2897" s="13"/>
      <c r="D2897" s="14"/>
      <c r="E2897" s="14"/>
      <c r="F2897" s="14"/>
      <c r="G2897" s="14"/>
      <c r="H2897" s="14"/>
      <c r="I2897" s="14"/>
      <c r="J2897" s="14"/>
      <c r="K2897" s="14"/>
      <c r="L2897" s="14"/>
      <c r="M2897" s="14"/>
      <c r="N2897" s="14"/>
      <c r="O2897" s="14"/>
      <c r="P2897" s="14"/>
      <c r="Q2897" s="14"/>
      <c r="R2897" s="14"/>
    </row>
    <row r="2898" spans="2:18" x14ac:dyDescent="0.35">
      <c r="B2898" s="17"/>
      <c r="C2898" s="13"/>
      <c r="D2898" s="14"/>
      <c r="E2898" s="14"/>
      <c r="F2898" s="14"/>
      <c r="G2898" s="14"/>
      <c r="H2898" s="14"/>
      <c r="I2898" s="14"/>
      <c r="J2898" s="14"/>
      <c r="K2898" s="14"/>
      <c r="L2898" s="14"/>
      <c r="M2898" s="14"/>
      <c r="N2898" s="14"/>
      <c r="O2898" s="14"/>
      <c r="P2898" s="14"/>
      <c r="Q2898" s="14"/>
      <c r="R2898" s="14"/>
    </row>
    <row r="2899" spans="2:18" x14ac:dyDescent="0.35">
      <c r="B2899" s="17"/>
      <c r="C2899" s="13"/>
      <c r="D2899" s="14"/>
      <c r="E2899" s="14"/>
      <c r="F2899" s="14"/>
      <c r="G2899" s="14"/>
      <c r="H2899" s="14"/>
      <c r="I2899" s="14"/>
      <c r="J2899" s="14"/>
      <c r="K2899" s="14"/>
      <c r="L2899" s="14"/>
      <c r="M2899" s="14"/>
      <c r="N2899" s="14"/>
      <c r="O2899" s="14"/>
      <c r="P2899" s="14"/>
      <c r="Q2899" s="14"/>
      <c r="R2899" s="14"/>
    </row>
    <row r="2900" spans="2:18" x14ac:dyDescent="0.35">
      <c r="B2900" s="17"/>
      <c r="C2900" s="13"/>
      <c r="D2900" s="14"/>
      <c r="E2900" s="14"/>
      <c r="F2900" s="14"/>
      <c r="G2900" s="14"/>
      <c r="H2900" s="14"/>
      <c r="I2900" s="14"/>
      <c r="J2900" s="14"/>
      <c r="K2900" s="14"/>
      <c r="L2900" s="14"/>
      <c r="M2900" s="14"/>
      <c r="N2900" s="14"/>
      <c r="O2900" s="14"/>
      <c r="P2900" s="14"/>
      <c r="Q2900" s="14"/>
      <c r="R2900" s="14"/>
    </row>
    <row r="2901" spans="2:18" x14ac:dyDescent="0.35">
      <c r="B2901" s="17"/>
      <c r="C2901" s="13"/>
      <c r="D2901" s="14"/>
      <c r="E2901" s="14"/>
      <c r="F2901" s="14"/>
      <c r="G2901" s="14"/>
      <c r="H2901" s="14"/>
      <c r="I2901" s="14"/>
      <c r="J2901" s="14"/>
      <c r="K2901" s="14"/>
      <c r="L2901" s="14"/>
      <c r="M2901" s="14"/>
      <c r="N2901" s="14"/>
      <c r="O2901" s="14"/>
      <c r="P2901" s="14"/>
      <c r="Q2901" s="14"/>
      <c r="R2901" s="14"/>
    </row>
    <row r="2902" spans="2:18" x14ac:dyDescent="0.35">
      <c r="B2902" s="17"/>
      <c r="C2902" s="18"/>
      <c r="D2902" s="21"/>
      <c r="E2902" s="21"/>
      <c r="F2902" s="21"/>
      <c r="G2902" s="21"/>
      <c r="H2902" s="21"/>
      <c r="I2902" s="21"/>
      <c r="J2902" s="21"/>
      <c r="K2902" s="21"/>
      <c r="L2902" s="21"/>
      <c r="M2902" s="21"/>
      <c r="N2902" s="21"/>
      <c r="O2902" s="21"/>
      <c r="P2902" s="21"/>
      <c r="Q2902" s="21"/>
      <c r="R2902" s="21"/>
    </row>
    <row r="2903" spans="2:18" x14ac:dyDescent="0.35">
      <c r="B2903" s="17"/>
      <c r="C2903" s="18"/>
      <c r="D2903" s="21"/>
      <c r="E2903" s="21"/>
      <c r="F2903" s="21"/>
      <c r="G2903" s="21"/>
      <c r="H2903" s="21"/>
      <c r="I2903" s="21"/>
      <c r="J2903" s="21"/>
      <c r="K2903" s="21"/>
      <c r="L2903" s="21"/>
      <c r="M2903" s="21"/>
      <c r="N2903" s="21"/>
      <c r="O2903" s="21"/>
      <c r="P2903" s="21"/>
      <c r="Q2903" s="21"/>
      <c r="R2903" s="21"/>
    </row>
    <row r="2904" spans="2:18" x14ac:dyDescent="0.35">
      <c r="B2904" s="17"/>
      <c r="C2904" s="18"/>
      <c r="D2904" s="21"/>
      <c r="E2904" s="21"/>
      <c r="F2904" s="21"/>
      <c r="G2904" s="21"/>
      <c r="H2904" s="21"/>
      <c r="I2904" s="21"/>
      <c r="J2904" s="21"/>
      <c r="K2904" s="21"/>
      <c r="L2904" s="21"/>
      <c r="M2904" s="21"/>
      <c r="N2904" s="21"/>
      <c r="O2904" s="21"/>
      <c r="P2904" s="21"/>
      <c r="Q2904" s="21"/>
      <c r="R2904" s="21"/>
    </row>
    <row r="2905" spans="2:18" x14ac:dyDescent="0.35">
      <c r="B2905" s="17"/>
      <c r="C2905" s="18"/>
      <c r="D2905" s="21"/>
      <c r="E2905" s="21"/>
      <c r="F2905" s="21"/>
      <c r="G2905" s="21"/>
      <c r="H2905" s="21"/>
      <c r="I2905" s="21"/>
      <c r="J2905" s="21"/>
      <c r="K2905" s="21"/>
      <c r="L2905" s="21"/>
      <c r="M2905" s="21"/>
      <c r="N2905" s="21"/>
      <c r="O2905" s="21"/>
      <c r="P2905" s="21"/>
      <c r="Q2905" s="21"/>
      <c r="R2905" s="21"/>
    </row>
    <row r="2906" spans="2:18" x14ac:dyDescent="0.35">
      <c r="B2906" s="17"/>
      <c r="C2906" s="18"/>
      <c r="D2906" s="21"/>
      <c r="E2906" s="21"/>
      <c r="F2906" s="21"/>
      <c r="G2906" s="21"/>
      <c r="H2906" s="21"/>
      <c r="I2906" s="21"/>
      <c r="J2906" s="21"/>
      <c r="K2906" s="21"/>
      <c r="L2906" s="21"/>
      <c r="M2906" s="21"/>
      <c r="N2906" s="21"/>
      <c r="O2906" s="21"/>
      <c r="P2906" s="21"/>
      <c r="Q2906" s="21"/>
      <c r="R2906" s="21"/>
    </row>
    <row r="2907" spans="2:18" x14ac:dyDescent="0.35">
      <c r="B2907" s="17"/>
      <c r="C2907" s="19"/>
      <c r="D2907" s="21"/>
      <c r="E2907" s="21"/>
      <c r="F2907" s="21"/>
      <c r="G2907" s="21"/>
      <c r="H2907" s="21"/>
      <c r="I2907" s="21"/>
      <c r="J2907" s="21"/>
      <c r="K2907" s="21"/>
      <c r="L2907" s="21"/>
      <c r="M2907" s="21"/>
      <c r="N2907" s="21"/>
      <c r="O2907" s="21"/>
      <c r="P2907" s="21"/>
      <c r="Q2907" s="21"/>
      <c r="R2907" s="21"/>
    </row>
    <row r="2908" spans="2:18" x14ac:dyDescent="0.35">
      <c r="B2908" s="17"/>
      <c r="C2908" s="19"/>
      <c r="D2908" s="21"/>
      <c r="E2908" s="21"/>
      <c r="F2908" s="21"/>
      <c r="G2908" s="21"/>
      <c r="H2908" s="21"/>
      <c r="I2908" s="21"/>
      <c r="J2908" s="21"/>
      <c r="K2908" s="21"/>
      <c r="L2908" s="21"/>
      <c r="M2908" s="21"/>
      <c r="N2908" s="21"/>
      <c r="O2908" s="21"/>
      <c r="P2908" s="21"/>
      <c r="Q2908" s="21"/>
      <c r="R2908" s="21"/>
    </row>
    <row r="2909" spans="2:18" x14ac:dyDescent="0.35">
      <c r="B2909" s="17"/>
      <c r="C2909" s="19"/>
      <c r="D2909" s="21"/>
      <c r="E2909" s="21"/>
      <c r="F2909" s="21"/>
      <c r="G2909" s="21"/>
      <c r="H2909" s="21"/>
      <c r="I2909" s="21"/>
      <c r="J2909" s="21"/>
      <c r="K2909" s="21"/>
      <c r="L2909" s="21"/>
      <c r="M2909" s="21"/>
      <c r="N2909" s="21"/>
      <c r="O2909" s="21"/>
      <c r="P2909" s="21"/>
      <c r="Q2909" s="21"/>
      <c r="R2909" s="21"/>
    </row>
    <row r="2910" spans="2:18" x14ac:dyDescent="0.35">
      <c r="B2910" s="17"/>
      <c r="C2910" s="19"/>
      <c r="D2910" s="21"/>
      <c r="E2910" s="21"/>
      <c r="F2910" s="21"/>
      <c r="G2910" s="21"/>
      <c r="H2910" s="21"/>
      <c r="I2910" s="21"/>
      <c r="J2910" s="21"/>
      <c r="K2910" s="21"/>
      <c r="L2910" s="21"/>
      <c r="M2910" s="21"/>
      <c r="N2910" s="21"/>
      <c r="O2910" s="21"/>
      <c r="P2910" s="21"/>
      <c r="Q2910" s="21"/>
      <c r="R2910" s="21"/>
    </row>
    <row r="2911" spans="2:18" x14ac:dyDescent="0.35">
      <c r="B2911" s="17"/>
      <c r="C2911" s="13"/>
      <c r="D2911" s="14"/>
      <c r="E2911" s="14"/>
      <c r="F2911" s="14"/>
      <c r="G2911" s="14"/>
      <c r="H2911" s="14"/>
      <c r="I2911" s="14"/>
      <c r="J2911" s="14"/>
      <c r="K2911" s="14"/>
      <c r="L2911" s="14"/>
      <c r="M2911" s="14"/>
      <c r="N2911" s="14"/>
      <c r="O2911" s="14"/>
      <c r="P2911" s="14"/>
      <c r="Q2911" s="14"/>
      <c r="R2911" s="14"/>
    </row>
    <row r="2912" spans="2:18" x14ac:dyDescent="0.35">
      <c r="B2912" s="17"/>
      <c r="C2912" s="13"/>
      <c r="D2912" s="14"/>
      <c r="E2912" s="14"/>
      <c r="F2912" s="14"/>
      <c r="G2912" s="14"/>
      <c r="H2912" s="14"/>
      <c r="I2912" s="14"/>
      <c r="J2912" s="14"/>
      <c r="K2912" s="14"/>
      <c r="L2912" s="14"/>
      <c r="M2912" s="14"/>
      <c r="N2912" s="14"/>
      <c r="O2912" s="14"/>
      <c r="P2912" s="14"/>
      <c r="Q2912" s="14"/>
      <c r="R2912" s="14"/>
    </row>
    <row r="2913" spans="2:18" x14ac:dyDescent="0.35">
      <c r="B2913" s="17"/>
      <c r="C2913" s="13"/>
      <c r="D2913" s="14"/>
      <c r="E2913" s="14"/>
      <c r="F2913" s="14"/>
      <c r="G2913" s="14"/>
      <c r="H2913" s="14"/>
      <c r="I2913" s="14"/>
      <c r="J2913" s="14"/>
      <c r="K2913" s="14"/>
      <c r="L2913" s="14"/>
      <c r="M2913" s="14"/>
      <c r="N2913" s="14"/>
      <c r="O2913" s="14"/>
      <c r="P2913" s="14"/>
      <c r="Q2913" s="14"/>
      <c r="R2913" s="14"/>
    </row>
    <row r="2914" spans="2:18" x14ac:dyDescent="0.35">
      <c r="B2914" s="17"/>
      <c r="C2914" s="13"/>
      <c r="D2914" s="14"/>
      <c r="E2914" s="14"/>
      <c r="F2914" s="14"/>
      <c r="G2914" s="14"/>
      <c r="H2914" s="14"/>
      <c r="I2914" s="14"/>
      <c r="J2914" s="14"/>
      <c r="K2914" s="14"/>
      <c r="L2914" s="14"/>
      <c r="M2914" s="14"/>
      <c r="N2914" s="14"/>
      <c r="O2914" s="14"/>
      <c r="P2914" s="14"/>
      <c r="Q2914" s="14"/>
      <c r="R2914" s="14"/>
    </row>
    <row r="2915" spans="2:18" x14ac:dyDescent="0.35">
      <c r="B2915" s="17"/>
      <c r="C2915" s="13"/>
      <c r="D2915" s="14"/>
      <c r="E2915" s="14"/>
      <c r="F2915" s="14"/>
      <c r="G2915" s="14"/>
      <c r="H2915" s="14"/>
      <c r="I2915" s="14"/>
      <c r="J2915" s="14"/>
      <c r="K2915" s="14"/>
      <c r="L2915" s="14"/>
      <c r="M2915" s="14"/>
      <c r="N2915" s="14"/>
      <c r="O2915" s="14"/>
      <c r="P2915" s="14"/>
      <c r="Q2915" s="14"/>
      <c r="R2915" s="14"/>
    </row>
    <row r="2916" spans="2:18" x14ac:dyDescent="0.35">
      <c r="B2916" s="17"/>
      <c r="C2916" s="13"/>
      <c r="D2916" s="14"/>
      <c r="E2916" s="14"/>
      <c r="F2916" s="14"/>
      <c r="G2916" s="14"/>
      <c r="H2916" s="14"/>
      <c r="I2916" s="14"/>
      <c r="J2916" s="14"/>
      <c r="K2916" s="14"/>
      <c r="L2916" s="14"/>
      <c r="M2916" s="14"/>
      <c r="N2916" s="14"/>
      <c r="O2916" s="14"/>
      <c r="P2916" s="14"/>
      <c r="Q2916" s="14"/>
      <c r="R2916" s="14"/>
    </row>
    <row r="2917" spans="2:18" x14ac:dyDescent="0.35">
      <c r="B2917" s="17"/>
      <c r="C2917" s="13"/>
      <c r="D2917" s="14"/>
      <c r="E2917" s="14"/>
      <c r="F2917" s="14"/>
      <c r="G2917" s="14"/>
      <c r="H2917" s="14"/>
      <c r="I2917" s="14"/>
      <c r="J2917" s="14"/>
      <c r="K2917" s="14"/>
      <c r="L2917" s="14"/>
      <c r="M2917" s="14"/>
      <c r="N2917" s="14"/>
      <c r="O2917" s="14"/>
      <c r="P2917" s="14"/>
      <c r="Q2917" s="14"/>
      <c r="R2917" s="14"/>
    </row>
    <row r="2918" spans="2:18" x14ac:dyDescent="0.35">
      <c r="B2918" s="17"/>
      <c r="C2918" s="13"/>
      <c r="D2918" s="14"/>
      <c r="E2918" s="14"/>
      <c r="F2918" s="14"/>
      <c r="G2918" s="14"/>
      <c r="H2918" s="14"/>
      <c r="I2918" s="14"/>
      <c r="J2918" s="14"/>
      <c r="K2918" s="14"/>
      <c r="L2918" s="14"/>
      <c r="M2918" s="14"/>
      <c r="N2918" s="14"/>
      <c r="O2918" s="14"/>
      <c r="P2918" s="14"/>
      <c r="Q2918" s="14"/>
      <c r="R2918" s="14"/>
    </row>
    <row r="2919" spans="2:18" x14ac:dyDescent="0.35">
      <c r="B2919" s="17"/>
      <c r="C2919" s="13"/>
      <c r="D2919" s="14"/>
      <c r="E2919" s="14"/>
      <c r="F2919" s="14"/>
      <c r="G2919" s="14"/>
      <c r="H2919" s="14"/>
      <c r="I2919" s="14"/>
      <c r="J2919" s="14"/>
      <c r="K2919" s="14"/>
      <c r="L2919" s="14"/>
      <c r="M2919" s="14"/>
      <c r="N2919" s="14"/>
      <c r="O2919" s="14"/>
      <c r="P2919" s="14"/>
      <c r="Q2919" s="14"/>
      <c r="R2919" s="14"/>
    </row>
    <row r="2920" spans="2:18" x14ac:dyDescent="0.35">
      <c r="B2920" s="17"/>
      <c r="C2920" s="13"/>
      <c r="D2920" s="14"/>
      <c r="E2920" s="14"/>
      <c r="F2920" s="14"/>
      <c r="G2920" s="14"/>
      <c r="H2920" s="14"/>
      <c r="I2920" s="14"/>
      <c r="J2920" s="14"/>
      <c r="K2920" s="14"/>
      <c r="L2920" s="14"/>
      <c r="M2920" s="14"/>
      <c r="N2920" s="14"/>
      <c r="O2920" s="14"/>
      <c r="P2920" s="14"/>
      <c r="Q2920" s="14"/>
      <c r="R2920" s="14"/>
    </row>
    <row r="2921" spans="2:18" x14ac:dyDescent="0.35">
      <c r="B2921" s="17"/>
      <c r="C2921" s="13"/>
      <c r="D2921" s="14"/>
      <c r="E2921" s="14"/>
      <c r="F2921" s="14"/>
      <c r="G2921" s="14"/>
      <c r="H2921" s="14"/>
      <c r="I2921" s="14"/>
      <c r="J2921" s="14"/>
      <c r="K2921" s="14"/>
      <c r="L2921" s="14"/>
      <c r="M2921" s="14"/>
      <c r="N2921" s="14"/>
      <c r="O2921" s="14"/>
      <c r="P2921" s="14"/>
      <c r="Q2921" s="14"/>
      <c r="R2921" s="14"/>
    </row>
    <row r="2922" spans="2:18" x14ac:dyDescent="0.35">
      <c r="B2922" s="17"/>
      <c r="C2922" s="13"/>
      <c r="D2922" s="14"/>
      <c r="E2922" s="14"/>
      <c r="F2922" s="14"/>
      <c r="G2922" s="14"/>
      <c r="H2922" s="14"/>
      <c r="I2922" s="14"/>
      <c r="J2922" s="14"/>
      <c r="K2922" s="14"/>
      <c r="L2922" s="14"/>
      <c r="M2922" s="14"/>
      <c r="N2922" s="14"/>
      <c r="O2922" s="14"/>
      <c r="P2922" s="14"/>
      <c r="Q2922" s="14"/>
      <c r="R2922" s="14"/>
    </row>
    <row r="2923" spans="2:18" x14ac:dyDescent="0.35">
      <c r="B2923" s="17"/>
      <c r="C2923" s="13"/>
      <c r="D2923" s="14"/>
      <c r="E2923" s="14"/>
      <c r="F2923" s="14"/>
      <c r="G2923" s="14"/>
      <c r="H2923" s="14"/>
      <c r="I2923" s="14"/>
      <c r="J2923" s="14"/>
      <c r="K2923" s="14"/>
      <c r="L2923" s="14"/>
      <c r="M2923" s="14"/>
      <c r="N2923" s="14"/>
      <c r="O2923" s="14"/>
      <c r="P2923" s="14"/>
      <c r="Q2923" s="14"/>
      <c r="R2923" s="14"/>
    </row>
    <row r="2924" spans="2:18" x14ac:dyDescent="0.35">
      <c r="B2924" s="17"/>
      <c r="C2924" s="13"/>
      <c r="D2924" s="14"/>
      <c r="E2924" s="14"/>
      <c r="F2924" s="14"/>
      <c r="G2924" s="14"/>
      <c r="H2924" s="14"/>
      <c r="I2924" s="14"/>
      <c r="J2924" s="14"/>
      <c r="K2924" s="14"/>
      <c r="L2924" s="14"/>
      <c r="M2924" s="14"/>
      <c r="N2924" s="14"/>
      <c r="O2924" s="14"/>
      <c r="P2924" s="14"/>
      <c r="Q2924" s="14"/>
      <c r="R2924" s="14"/>
    </row>
    <row r="2925" spans="2:18" x14ac:dyDescent="0.35">
      <c r="B2925" s="17"/>
      <c r="C2925" s="13"/>
      <c r="D2925" s="14"/>
      <c r="E2925" s="14"/>
      <c r="F2925" s="14"/>
      <c r="G2925" s="14"/>
      <c r="H2925" s="14"/>
      <c r="I2925" s="14"/>
      <c r="J2925" s="14"/>
      <c r="K2925" s="14"/>
      <c r="L2925" s="14"/>
      <c r="M2925" s="14"/>
      <c r="N2925" s="14"/>
      <c r="O2925" s="14"/>
      <c r="P2925" s="14"/>
      <c r="Q2925" s="14"/>
      <c r="R2925" s="14"/>
    </row>
    <row r="2926" spans="2:18" x14ac:dyDescent="0.35">
      <c r="B2926" s="17"/>
      <c r="C2926" s="18"/>
      <c r="D2926" s="21"/>
      <c r="E2926" s="21"/>
      <c r="F2926" s="21"/>
      <c r="G2926" s="21"/>
      <c r="H2926" s="21"/>
      <c r="I2926" s="21"/>
      <c r="J2926" s="21"/>
      <c r="K2926" s="21"/>
      <c r="L2926" s="21"/>
      <c r="M2926" s="21"/>
      <c r="N2926" s="21"/>
      <c r="O2926" s="21"/>
      <c r="P2926" s="21"/>
      <c r="Q2926" s="21"/>
      <c r="R2926" s="21"/>
    </row>
    <row r="2927" spans="2:18" x14ac:dyDescent="0.35">
      <c r="B2927" s="17"/>
      <c r="C2927" s="18"/>
      <c r="D2927" s="21"/>
      <c r="E2927" s="21"/>
      <c r="F2927" s="21"/>
      <c r="G2927" s="21"/>
      <c r="H2927" s="21"/>
      <c r="I2927" s="21"/>
      <c r="J2927" s="21"/>
      <c r="K2927" s="21"/>
      <c r="L2927" s="21"/>
      <c r="M2927" s="21"/>
      <c r="N2927" s="21"/>
      <c r="O2927" s="21"/>
      <c r="P2927" s="21"/>
      <c r="Q2927" s="21"/>
      <c r="R2927" s="21"/>
    </row>
    <row r="2928" spans="2:18" x14ac:dyDescent="0.35">
      <c r="B2928" s="17"/>
      <c r="C2928" s="18"/>
      <c r="D2928" s="21"/>
      <c r="E2928" s="21"/>
      <c r="F2928" s="21"/>
      <c r="G2928" s="21"/>
      <c r="H2928" s="21"/>
      <c r="I2928" s="21"/>
      <c r="J2928" s="21"/>
      <c r="K2928" s="21"/>
      <c r="L2928" s="21"/>
      <c r="M2928" s="21"/>
      <c r="N2928" s="21"/>
      <c r="O2928" s="21"/>
      <c r="P2928" s="21"/>
      <c r="Q2928" s="21"/>
      <c r="R2928" s="21"/>
    </row>
    <row r="2929" spans="2:18" x14ac:dyDescent="0.35">
      <c r="B2929" s="17"/>
      <c r="C2929" s="18"/>
      <c r="D2929" s="21"/>
      <c r="E2929" s="21"/>
      <c r="F2929" s="21"/>
      <c r="G2929" s="21"/>
      <c r="H2929" s="21"/>
      <c r="I2929" s="21"/>
      <c r="J2929" s="21"/>
      <c r="K2929" s="21"/>
      <c r="L2929" s="21"/>
      <c r="M2929" s="21"/>
      <c r="N2929" s="21"/>
      <c r="O2929" s="21"/>
      <c r="P2929" s="21"/>
      <c r="Q2929" s="21"/>
      <c r="R2929" s="21"/>
    </row>
    <row r="2930" spans="2:18" x14ac:dyDescent="0.35">
      <c r="B2930" s="17"/>
      <c r="C2930" s="18"/>
      <c r="D2930" s="21"/>
      <c r="E2930" s="21"/>
      <c r="F2930" s="21"/>
      <c r="G2930" s="21"/>
      <c r="H2930" s="21"/>
      <c r="I2930" s="21"/>
      <c r="J2930" s="21"/>
      <c r="K2930" s="21"/>
      <c r="L2930" s="21"/>
      <c r="M2930" s="21"/>
      <c r="N2930" s="21"/>
      <c r="O2930" s="21"/>
      <c r="P2930" s="21"/>
      <c r="Q2930" s="21"/>
      <c r="R2930" s="21"/>
    </row>
    <row r="2931" spans="2:18" x14ac:dyDescent="0.35">
      <c r="B2931" s="17"/>
      <c r="C2931" s="18"/>
      <c r="D2931" s="21"/>
      <c r="E2931" s="21"/>
      <c r="F2931" s="21"/>
      <c r="G2931" s="21"/>
      <c r="H2931" s="21"/>
      <c r="I2931" s="21"/>
      <c r="J2931" s="21"/>
      <c r="K2931" s="21"/>
      <c r="L2931" s="21"/>
      <c r="M2931" s="21"/>
      <c r="N2931" s="21"/>
      <c r="O2931" s="21"/>
      <c r="P2931" s="21"/>
      <c r="Q2931" s="21"/>
      <c r="R2931" s="21"/>
    </row>
    <row r="2932" spans="2:18" x14ac:dyDescent="0.35">
      <c r="B2932" s="17"/>
      <c r="C2932" s="18"/>
      <c r="D2932" s="21"/>
      <c r="E2932" s="21"/>
      <c r="F2932" s="21"/>
      <c r="G2932" s="21"/>
      <c r="H2932" s="21"/>
      <c r="I2932" s="21"/>
      <c r="J2932" s="21"/>
      <c r="K2932" s="21"/>
      <c r="L2932" s="21"/>
      <c r="M2932" s="21"/>
      <c r="N2932" s="21"/>
      <c r="O2932" s="21"/>
      <c r="P2932" s="21"/>
      <c r="Q2932" s="21"/>
      <c r="R2932" s="21"/>
    </row>
    <row r="2933" spans="2:18" x14ac:dyDescent="0.35">
      <c r="B2933" s="17"/>
      <c r="C2933" s="18"/>
      <c r="D2933" s="21"/>
      <c r="E2933" s="21"/>
      <c r="F2933" s="21"/>
      <c r="G2933" s="21"/>
      <c r="H2933" s="21"/>
      <c r="I2933" s="21"/>
      <c r="J2933" s="21"/>
      <c r="K2933" s="21"/>
      <c r="L2933" s="21"/>
      <c r="M2933" s="21"/>
      <c r="N2933" s="21"/>
      <c r="O2933" s="21"/>
      <c r="P2933" s="21"/>
      <c r="Q2933" s="21"/>
      <c r="R2933" s="21"/>
    </row>
    <row r="2934" spans="2:18" x14ac:dyDescent="0.35">
      <c r="B2934" s="17"/>
      <c r="C2934" s="18"/>
      <c r="D2934" s="21"/>
      <c r="E2934" s="21"/>
      <c r="F2934" s="21"/>
      <c r="G2934" s="21"/>
      <c r="H2934" s="21"/>
      <c r="I2934" s="21"/>
      <c r="J2934" s="21"/>
      <c r="K2934" s="21"/>
      <c r="L2934" s="21"/>
      <c r="M2934" s="21"/>
      <c r="N2934" s="21"/>
      <c r="O2934" s="21"/>
      <c r="P2934" s="21"/>
      <c r="Q2934" s="21"/>
      <c r="R2934" s="21"/>
    </row>
    <row r="2935" spans="2:18" x14ac:dyDescent="0.35">
      <c r="B2935" s="17"/>
      <c r="C2935" s="18"/>
      <c r="D2935" s="21"/>
      <c r="E2935" s="21"/>
      <c r="F2935" s="21"/>
      <c r="G2935" s="21"/>
      <c r="H2935" s="21"/>
      <c r="I2935" s="21"/>
      <c r="J2935" s="21"/>
      <c r="K2935" s="21"/>
      <c r="L2935" s="21"/>
      <c r="M2935" s="21"/>
      <c r="N2935" s="21"/>
      <c r="O2935" s="21"/>
      <c r="P2935" s="21"/>
      <c r="Q2935" s="21"/>
      <c r="R2935" s="21"/>
    </row>
    <row r="2936" spans="2:18" x14ac:dyDescent="0.35">
      <c r="B2936" s="17"/>
      <c r="C2936" s="18"/>
      <c r="D2936" s="21"/>
      <c r="E2936" s="21"/>
      <c r="F2936" s="21"/>
      <c r="G2936" s="21"/>
      <c r="H2936" s="21"/>
      <c r="I2936" s="21"/>
      <c r="J2936" s="21"/>
      <c r="K2936" s="21"/>
      <c r="L2936" s="21"/>
      <c r="M2936" s="21"/>
      <c r="N2936" s="21"/>
      <c r="O2936" s="21"/>
      <c r="P2936" s="21"/>
      <c r="Q2936" s="21"/>
      <c r="R2936" s="21"/>
    </row>
    <row r="2937" spans="2:18" x14ac:dyDescent="0.35">
      <c r="B2937" s="17"/>
      <c r="C2937" s="18"/>
      <c r="D2937" s="21"/>
      <c r="E2937" s="21"/>
      <c r="F2937" s="21"/>
      <c r="G2937" s="21"/>
      <c r="H2937" s="21"/>
      <c r="I2937" s="21"/>
      <c r="J2937" s="21"/>
      <c r="K2937" s="21"/>
      <c r="L2937" s="21"/>
      <c r="M2937" s="21"/>
      <c r="N2937" s="21"/>
      <c r="O2937" s="21"/>
      <c r="P2937" s="21"/>
      <c r="Q2937" s="21"/>
      <c r="R2937" s="21"/>
    </row>
    <row r="2938" spans="2:18" x14ac:dyDescent="0.35">
      <c r="B2938" s="17"/>
      <c r="C2938" s="18"/>
      <c r="D2938" s="21"/>
      <c r="E2938" s="21"/>
      <c r="F2938" s="21"/>
      <c r="G2938" s="21"/>
      <c r="H2938" s="21"/>
      <c r="I2938" s="21"/>
      <c r="J2938" s="21"/>
      <c r="K2938" s="21"/>
      <c r="L2938" s="21"/>
      <c r="M2938" s="21"/>
      <c r="N2938" s="21"/>
      <c r="O2938" s="21"/>
      <c r="P2938" s="21"/>
      <c r="Q2938" s="21"/>
      <c r="R2938" s="21"/>
    </row>
    <row r="2939" spans="2:18" x14ac:dyDescent="0.35">
      <c r="B2939" s="17"/>
      <c r="C2939" s="18"/>
      <c r="D2939" s="21"/>
      <c r="E2939" s="21"/>
      <c r="F2939" s="21"/>
      <c r="G2939" s="21"/>
      <c r="H2939" s="21"/>
      <c r="I2939" s="21"/>
      <c r="J2939" s="21"/>
      <c r="K2939" s="21"/>
      <c r="L2939" s="21"/>
      <c r="M2939" s="21"/>
      <c r="N2939" s="21"/>
      <c r="O2939" s="21"/>
      <c r="P2939" s="21"/>
      <c r="Q2939" s="21"/>
      <c r="R2939" s="21"/>
    </row>
    <row r="2940" spans="2:18" x14ac:dyDescent="0.35">
      <c r="B2940" s="17"/>
      <c r="C2940" s="18"/>
      <c r="D2940" s="21"/>
      <c r="E2940" s="21"/>
      <c r="F2940" s="21"/>
      <c r="G2940" s="21"/>
      <c r="H2940" s="21"/>
      <c r="I2940" s="21"/>
      <c r="J2940" s="21"/>
      <c r="K2940" s="21"/>
      <c r="L2940" s="21"/>
      <c r="M2940" s="21"/>
      <c r="N2940" s="21"/>
      <c r="O2940" s="21"/>
      <c r="P2940" s="21"/>
      <c r="Q2940" s="21"/>
      <c r="R2940" s="21"/>
    </row>
    <row r="2941" spans="2:18" x14ac:dyDescent="0.35">
      <c r="B2941" s="17"/>
      <c r="C2941" s="18"/>
      <c r="D2941" s="21"/>
      <c r="E2941" s="21"/>
      <c r="F2941" s="21"/>
      <c r="G2941" s="21"/>
      <c r="H2941" s="21"/>
      <c r="I2941" s="21"/>
      <c r="J2941" s="21"/>
      <c r="K2941" s="21"/>
      <c r="L2941" s="21"/>
      <c r="M2941" s="21"/>
      <c r="N2941" s="21"/>
      <c r="O2941" s="21"/>
      <c r="P2941" s="21"/>
      <c r="Q2941" s="21"/>
      <c r="R2941" s="21"/>
    </row>
    <row r="2942" spans="2:18" x14ac:dyDescent="0.35">
      <c r="B2942" s="17"/>
      <c r="C2942" s="13"/>
      <c r="D2942" s="14"/>
      <c r="E2942" s="14"/>
      <c r="F2942" s="14"/>
      <c r="G2942" s="14"/>
      <c r="H2942" s="14"/>
      <c r="I2942" s="14"/>
      <c r="J2942" s="14"/>
      <c r="K2942" s="14"/>
      <c r="L2942" s="14"/>
      <c r="M2942" s="14"/>
      <c r="N2942" s="14"/>
      <c r="O2942" s="14"/>
      <c r="P2942" s="14"/>
      <c r="Q2942" s="14"/>
      <c r="R2942" s="14"/>
    </row>
    <row r="2943" spans="2:18" x14ac:dyDescent="0.35">
      <c r="B2943" s="17"/>
      <c r="C2943" s="13"/>
      <c r="D2943" s="14"/>
      <c r="E2943" s="14"/>
      <c r="F2943" s="14"/>
      <c r="G2943" s="14"/>
      <c r="H2943" s="14"/>
      <c r="I2943" s="14"/>
      <c r="J2943" s="14"/>
      <c r="K2943" s="14"/>
      <c r="L2943" s="14"/>
      <c r="M2943" s="14"/>
      <c r="N2943" s="14"/>
      <c r="O2943" s="14"/>
      <c r="P2943" s="14"/>
      <c r="Q2943" s="14"/>
      <c r="R2943" s="14"/>
    </row>
    <row r="2944" spans="2:18" x14ac:dyDescent="0.35">
      <c r="B2944" s="17"/>
      <c r="C2944" s="13"/>
      <c r="D2944" s="14"/>
      <c r="E2944" s="14"/>
      <c r="F2944" s="14"/>
      <c r="G2944" s="14"/>
      <c r="H2944" s="14"/>
      <c r="I2944" s="14"/>
      <c r="J2944" s="14"/>
      <c r="K2944" s="14"/>
      <c r="L2944" s="14"/>
      <c r="M2944" s="14"/>
      <c r="N2944" s="14"/>
      <c r="O2944" s="14"/>
      <c r="P2944" s="14"/>
      <c r="Q2944" s="14"/>
      <c r="R2944" s="14"/>
    </row>
    <row r="2945" spans="2:18" x14ac:dyDescent="0.35">
      <c r="B2945" s="17"/>
      <c r="C2945" s="13"/>
      <c r="D2945" s="14"/>
      <c r="E2945" s="14"/>
      <c r="F2945" s="14"/>
      <c r="G2945" s="14"/>
      <c r="H2945" s="14"/>
      <c r="I2945" s="14"/>
      <c r="J2945" s="14"/>
      <c r="K2945" s="14"/>
      <c r="L2945" s="14"/>
      <c r="M2945" s="14"/>
      <c r="N2945" s="14"/>
      <c r="O2945" s="14"/>
      <c r="P2945" s="14"/>
      <c r="Q2945" s="14"/>
      <c r="R2945" s="14"/>
    </row>
    <row r="2946" spans="2:18" x14ac:dyDescent="0.35">
      <c r="B2946" s="17"/>
      <c r="C2946" s="13"/>
      <c r="D2946" s="14"/>
      <c r="E2946" s="14"/>
      <c r="F2946" s="14"/>
      <c r="G2946" s="14"/>
      <c r="H2946" s="14"/>
      <c r="I2946" s="14"/>
      <c r="J2946" s="14"/>
      <c r="K2946" s="14"/>
      <c r="L2946" s="14"/>
      <c r="M2946" s="14"/>
      <c r="N2946" s="14"/>
      <c r="O2946" s="14"/>
      <c r="P2946" s="14"/>
      <c r="Q2946" s="14"/>
      <c r="R2946" s="14"/>
    </row>
    <row r="2947" spans="2:18" x14ac:dyDescent="0.35">
      <c r="B2947" s="17"/>
      <c r="C2947" s="13"/>
      <c r="D2947" s="14"/>
      <c r="E2947" s="14"/>
      <c r="F2947" s="14"/>
      <c r="G2947" s="14"/>
      <c r="H2947" s="14"/>
      <c r="I2947" s="14"/>
      <c r="J2947" s="14"/>
      <c r="K2947" s="14"/>
      <c r="L2947" s="14"/>
      <c r="M2947" s="14"/>
      <c r="N2947" s="14"/>
      <c r="O2947" s="14"/>
      <c r="P2947" s="14"/>
      <c r="Q2947" s="14"/>
      <c r="R2947" s="14"/>
    </row>
    <row r="2948" spans="2:18" x14ac:dyDescent="0.35">
      <c r="B2948" s="17"/>
      <c r="C2948" s="13"/>
      <c r="D2948" s="14"/>
      <c r="E2948" s="14"/>
      <c r="F2948" s="14"/>
      <c r="G2948" s="14"/>
      <c r="H2948" s="14"/>
      <c r="I2948" s="14"/>
      <c r="J2948" s="14"/>
      <c r="K2948" s="14"/>
      <c r="L2948" s="14"/>
      <c r="M2948" s="14"/>
      <c r="N2948" s="14"/>
      <c r="O2948" s="14"/>
      <c r="P2948" s="14"/>
      <c r="Q2948" s="14"/>
      <c r="R2948" s="14"/>
    </row>
    <row r="2949" spans="2:18" x14ac:dyDescent="0.35">
      <c r="B2949" s="17"/>
      <c r="C2949" s="18"/>
      <c r="D2949" s="21"/>
      <c r="E2949" s="21"/>
      <c r="F2949" s="21"/>
      <c r="G2949" s="21"/>
      <c r="H2949" s="21"/>
      <c r="I2949" s="21"/>
      <c r="J2949" s="21"/>
      <c r="K2949" s="21"/>
      <c r="L2949" s="21"/>
      <c r="M2949" s="21"/>
      <c r="N2949" s="21"/>
      <c r="O2949" s="21"/>
      <c r="P2949" s="21"/>
      <c r="Q2949" s="21"/>
      <c r="R2949" s="21"/>
    </row>
    <row r="2950" spans="2:18" x14ac:dyDescent="0.35">
      <c r="B2950" s="17"/>
      <c r="C2950" s="18"/>
      <c r="D2950" s="21"/>
      <c r="E2950" s="21"/>
      <c r="F2950" s="21"/>
      <c r="G2950" s="21"/>
      <c r="H2950" s="21"/>
      <c r="I2950" s="21"/>
      <c r="J2950" s="21"/>
      <c r="K2950" s="21"/>
      <c r="L2950" s="21"/>
      <c r="M2950" s="21"/>
      <c r="N2950" s="21"/>
      <c r="O2950" s="21"/>
      <c r="P2950" s="21"/>
      <c r="Q2950" s="21"/>
      <c r="R2950" s="21"/>
    </row>
    <row r="2951" spans="2:18" x14ac:dyDescent="0.35">
      <c r="B2951" s="17"/>
      <c r="C2951" s="18"/>
      <c r="D2951" s="21"/>
      <c r="E2951" s="21"/>
      <c r="F2951" s="21"/>
      <c r="G2951" s="21"/>
      <c r="H2951" s="21"/>
      <c r="I2951" s="21"/>
      <c r="J2951" s="21"/>
      <c r="K2951" s="21"/>
      <c r="L2951" s="21"/>
      <c r="M2951" s="21"/>
      <c r="N2951" s="21"/>
      <c r="O2951" s="21"/>
      <c r="P2951" s="21"/>
      <c r="Q2951" s="21"/>
      <c r="R2951" s="21"/>
    </row>
    <row r="2952" spans="2:18" x14ac:dyDescent="0.35">
      <c r="B2952" s="17"/>
      <c r="C2952" s="18"/>
      <c r="D2952" s="21"/>
      <c r="E2952" s="21"/>
      <c r="F2952" s="21"/>
      <c r="G2952" s="21"/>
      <c r="H2952" s="21"/>
      <c r="I2952" s="21"/>
      <c r="J2952" s="21"/>
      <c r="K2952" s="21"/>
      <c r="L2952" s="21"/>
      <c r="M2952" s="21"/>
      <c r="N2952" s="21"/>
      <c r="O2952" s="21"/>
      <c r="P2952" s="21"/>
      <c r="Q2952" s="21"/>
      <c r="R2952" s="21"/>
    </row>
    <row r="2953" spans="2:18" x14ac:dyDescent="0.35">
      <c r="B2953" s="17"/>
      <c r="C2953" s="18"/>
      <c r="D2953" s="21"/>
      <c r="E2953" s="21"/>
      <c r="F2953" s="21"/>
      <c r="G2953" s="21"/>
      <c r="H2953" s="21"/>
      <c r="I2953" s="21"/>
      <c r="J2953" s="21"/>
      <c r="K2953" s="21"/>
      <c r="L2953" s="21"/>
      <c r="M2953" s="21"/>
      <c r="N2953" s="21"/>
      <c r="O2953" s="21"/>
      <c r="P2953" s="21"/>
      <c r="Q2953" s="21"/>
      <c r="R2953" s="21"/>
    </row>
    <row r="2954" spans="2:18" x14ac:dyDescent="0.35">
      <c r="B2954" s="17"/>
      <c r="C2954" s="19"/>
      <c r="D2954" s="21"/>
      <c r="E2954" s="21"/>
      <c r="F2954" s="21"/>
      <c r="G2954" s="21"/>
      <c r="H2954" s="21"/>
      <c r="I2954" s="21"/>
      <c r="J2954" s="21"/>
      <c r="K2954" s="21"/>
      <c r="L2954" s="21"/>
      <c r="M2954" s="21"/>
      <c r="N2954" s="21"/>
      <c r="O2954" s="21"/>
      <c r="P2954" s="21"/>
      <c r="Q2954" s="21"/>
      <c r="R2954" s="21"/>
    </row>
    <row r="2955" spans="2:18" x14ac:dyDescent="0.35">
      <c r="B2955" s="17"/>
      <c r="C2955" s="19"/>
      <c r="D2955" s="21"/>
      <c r="E2955" s="21"/>
      <c r="F2955" s="21"/>
      <c r="G2955" s="21"/>
      <c r="H2955" s="21"/>
      <c r="I2955" s="21"/>
      <c r="J2955" s="21"/>
      <c r="K2955" s="21"/>
      <c r="L2955" s="21"/>
      <c r="M2955" s="21"/>
      <c r="N2955" s="21"/>
      <c r="O2955" s="21"/>
      <c r="P2955" s="21"/>
      <c r="Q2955" s="21"/>
      <c r="R2955" s="21"/>
    </row>
    <row r="2956" spans="2:18" x14ac:dyDescent="0.35">
      <c r="B2956" s="17"/>
      <c r="C2956" s="19"/>
      <c r="D2956" s="21"/>
      <c r="E2956" s="21"/>
      <c r="F2956" s="21"/>
      <c r="G2956" s="21"/>
      <c r="H2956" s="21"/>
      <c r="I2956" s="21"/>
      <c r="J2956" s="21"/>
      <c r="K2956" s="21"/>
      <c r="L2956" s="21"/>
      <c r="M2956" s="21"/>
      <c r="N2956" s="21"/>
      <c r="O2956" s="21"/>
      <c r="P2956" s="21"/>
      <c r="Q2956" s="21"/>
      <c r="R2956" s="21"/>
    </row>
    <row r="2957" spans="2:18" x14ac:dyDescent="0.35">
      <c r="B2957" s="17"/>
      <c r="C2957" s="19"/>
      <c r="D2957" s="21"/>
      <c r="E2957" s="21"/>
      <c r="F2957" s="21"/>
      <c r="G2957" s="21"/>
      <c r="H2957" s="21"/>
      <c r="I2957" s="21"/>
      <c r="J2957" s="21"/>
      <c r="K2957" s="21"/>
      <c r="L2957" s="21"/>
      <c r="M2957" s="21"/>
      <c r="N2957" s="21"/>
      <c r="O2957" s="21"/>
      <c r="P2957" s="21"/>
      <c r="Q2957" s="21"/>
      <c r="R2957" s="21"/>
    </row>
    <row r="2958" spans="2:18" x14ac:dyDescent="0.35">
      <c r="B2958" s="17"/>
      <c r="C2958" s="13"/>
      <c r="D2958" s="14"/>
      <c r="E2958" s="14"/>
      <c r="F2958" s="14"/>
      <c r="G2958" s="14"/>
      <c r="H2958" s="14"/>
      <c r="I2958" s="14"/>
      <c r="J2958" s="14"/>
      <c r="K2958" s="14"/>
      <c r="L2958" s="14"/>
      <c r="M2958" s="14"/>
      <c r="N2958" s="14"/>
      <c r="O2958" s="14"/>
      <c r="P2958" s="14"/>
      <c r="Q2958" s="14"/>
      <c r="R2958" s="14"/>
    </row>
    <row r="2959" spans="2:18" x14ac:dyDescent="0.35">
      <c r="B2959" s="17"/>
      <c r="C2959" s="13"/>
      <c r="D2959" s="14"/>
      <c r="E2959" s="14"/>
      <c r="F2959" s="14"/>
      <c r="G2959" s="14"/>
      <c r="H2959" s="14"/>
      <c r="I2959" s="14"/>
      <c r="J2959" s="14"/>
      <c r="K2959" s="14"/>
      <c r="L2959" s="14"/>
      <c r="M2959" s="14"/>
      <c r="N2959" s="14"/>
      <c r="O2959" s="14"/>
      <c r="P2959" s="14"/>
      <c r="Q2959" s="14"/>
      <c r="R2959" s="14"/>
    </row>
    <row r="2960" spans="2:18" x14ac:dyDescent="0.35">
      <c r="B2960" s="17"/>
      <c r="C2960" s="13"/>
      <c r="D2960" s="14"/>
      <c r="E2960" s="14"/>
      <c r="F2960" s="14"/>
      <c r="G2960" s="14"/>
      <c r="H2960" s="14"/>
      <c r="I2960" s="14"/>
      <c r="J2960" s="14"/>
      <c r="K2960" s="14"/>
      <c r="L2960" s="14"/>
      <c r="M2960" s="14"/>
      <c r="N2960" s="14"/>
      <c r="O2960" s="14"/>
      <c r="P2960" s="14"/>
      <c r="Q2960" s="14"/>
      <c r="R2960" s="14"/>
    </row>
    <row r="2961" spans="2:18" x14ac:dyDescent="0.35">
      <c r="B2961" s="17"/>
      <c r="C2961" s="13"/>
      <c r="D2961" s="14"/>
      <c r="E2961" s="14"/>
      <c r="F2961" s="14"/>
      <c r="G2961" s="14"/>
      <c r="H2961" s="14"/>
      <c r="I2961" s="14"/>
      <c r="J2961" s="14"/>
      <c r="K2961" s="14"/>
      <c r="L2961" s="14"/>
      <c r="M2961" s="14"/>
      <c r="N2961" s="14"/>
      <c r="O2961" s="14"/>
      <c r="P2961" s="14"/>
      <c r="Q2961" s="14"/>
      <c r="R2961" s="14"/>
    </row>
    <row r="2962" spans="2:18" x14ac:dyDescent="0.35">
      <c r="B2962" s="17"/>
      <c r="C2962" s="13"/>
      <c r="D2962" s="14"/>
      <c r="E2962" s="14"/>
      <c r="F2962" s="14"/>
      <c r="G2962" s="14"/>
      <c r="H2962" s="14"/>
      <c r="I2962" s="14"/>
      <c r="J2962" s="14"/>
      <c r="K2962" s="14"/>
      <c r="L2962" s="14"/>
      <c r="M2962" s="14"/>
      <c r="N2962" s="14"/>
      <c r="O2962" s="14"/>
      <c r="P2962" s="14"/>
      <c r="Q2962" s="14"/>
      <c r="R2962" s="14"/>
    </row>
    <row r="2963" spans="2:18" x14ac:dyDescent="0.35">
      <c r="B2963" s="17"/>
      <c r="C2963" s="13"/>
      <c r="D2963" s="14"/>
      <c r="E2963" s="14"/>
      <c r="F2963" s="14"/>
      <c r="G2963" s="14"/>
      <c r="H2963" s="14"/>
      <c r="I2963" s="14"/>
      <c r="J2963" s="14"/>
      <c r="K2963" s="14"/>
      <c r="L2963" s="14"/>
      <c r="M2963" s="14"/>
      <c r="N2963" s="14"/>
      <c r="O2963" s="14"/>
      <c r="P2963" s="14"/>
      <c r="Q2963" s="14"/>
      <c r="R2963" s="14"/>
    </row>
    <row r="2964" spans="2:18" x14ac:dyDescent="0.35">
      <c r="B2964" s="17"/>
      <c r="C2964" s="13"/>
      <c r="D2964" s="14"/>
      <c r="E2964" s="14"/>
      <c r="F2964" s="14"/>
      <c r="G2964" s="14"/>
      <c r="H2964" s="14"/>
      <c r="I2964" s="14"/>
      <c r="J2964" s="14"/>
      <c r="K2964" s="14"/>
      <c r="L2964" s="14"/>
      <c r="M2964" s="14"/>
      <c r="N2964" s="14"/>
      <c r="O2964" s="14"/>
      <c r="P2964" s="14"/>
      <c r="Q2964" s="14"/>
      <c r="R2964" s="14"/>
    </row>
    <row r="2965" spans="2:18" x14ac:dyDescent="0.35">
      <c r="B2965" s="17"/>
      <c r="C2965" s="13"/>
      <c r="D2965" s="14"/>
      <c r="E2965" s="14"/>
      <c r="F2965" s="14"/>
      <c r="G2965" s="14"/>
      <c r="H2965" s="14"/>
      <c r="I2965" s="14"/>
      <c r="J2965" s="14"/>
      <c r="K2965" s="14"/>
      <c r="L2965" s="14"/>
      <c r="M2965" s="14"/>
      <c r="N2965" s="14"/>
      <c r="O2965" s="14"/>
      <c r="P2965" s="14"/>
      <c r="Q2965" s="14"/>
      <c r="R2965" s="14"/>
    </row>
    <row r="2966" spans="2:18" x14ac:dyDescent="0.35">
      <c r="B2966" s="17"/>
      <c r="C2966" s="13"/>
      <c r="D2966" s="14"/>
      <c r="E2966" s="14"/>
      <c r="F2966" s="14"/>
      <c r="G2966" s="14"/>
      <c r="H2966" s="14"/>
      <c r="I2966" s="14"/>
      <c r="J2966" s="14"/>
      <c r="K2966" s="14"/>
      <c r="L2966" s="14"/>
      <c r="M2966" s="14"/>
      <c r="N2966" s="14"/>
      <c r="O2966" s="14"/>
      <c r="P2966" s="14"/>
      <c r="Q2966" s="14"/>
      <c r="R2966" s="14"/>
    </row>
    <row r="2967" spans="2:18" x14ac:dyDescent="0.35">
      <c r="B2967" s="17"/>
      <c r="C2967" s="13"/>
      <c r="D2967" s="14"/>
      <c r="E2967" s="14"/>
      <c r="F2967" s="14"/>
      <c r="G2967" s="14"/>
      <c r="H2967" s="14"/>
      <c r="I2967" s="14"/>
      <c r="J2967" s="14"/>
      <c r="K2967" s="14"/>
      <c r="L2967" s="14"/>
      <c r="M2967" s="14"/>
      <c r="N2967" s="14"/>
      <c r="O2967" s="14"/>
      <c r="P2967" s="14"/>
      <c r="Q2967" s="14"/>
      <c r="R2967" s="14"/>
    </row>
    <row r="2968" spans="2:18" x14ac:dyDescent="0.35">
      <c r="B2968" s="17"/>
      <c r="C2968" s="13"/>
      <c r="D2968" s="14"/>
      <c r="E2968" s="14"/>
      <c r="F2968" s="14"/>
      <c r="G2968" s="14"/>
      <c r="H2968" s="14"/>
      <c r="I2968" s="14"/>
      <c r="J2968" s="14"/>
      <c r="K2968" s="14"/>
      <c r="L2968" s="14"/>
      <c r="M2968" s="14"/>
      <c r="N2968" s="14"/>
      <c r="O2968" s="14"/>
      <c r="P2968" s="14"/>
      <c r="Q2968" s="14"/>
      <c r="R2968" s="14"/>
    </row>
    <row r="2969" spans="2:18" x14ac:dyDescent="0.35">
      <c r="B2969" s="17"/>
      <c r="C2969" s="13"/>
      <c r="D2969" s="14"/>
      <c r="E2969" s="14"/>
      <c r="F2969" s="14"/>
      <c r="G2969" s="14"/>
      <c r="H2969" s="14"/>
      <c r="I2969" s="14"/>
      <c r="J2969" s="14"/>
      <c r="K2969" s="14"/>
      <c r="L2969" s="14"/>
      <c r="M2969" s="14"/>
      <c r="N2969" s="14"/>
      <c r="O2969" s="14"/>
      <c r="P2969" s="14"/>
      <c r="Q2969" s="14"/>
      <c r="R2969" s="14"/>
    </row>
    <row r="2970" spans="2:18" x14ac:dyDescent="0.35">
      <c r="B2970" s="17"/>
      <c r="C2970" s="13"/>
      <c r="D2970" s="14"/>
      <c r="E2970" s="14"/>
      <c r="F2970" s="14"/>
      <c r="G2970" s="14"/>
      <c r="H2970" s="14"/>
      <c r="I2970" s="14"/>
      <c r="J2970" s="14"/>
      <c r="K2970" s="14"/>
      <c r="L2970" s="14"/>
      <c r="M2970" s="14"/>
      <c r="N2970" s="14"/>
      <c r="O2970" s="14"/>
      <c r="P2970" s="14"/>
      <c r="Q2970" s="14"/>
      <c r="R2970" s="14"/>
    </row>
    <row r="2971" spans="2:18" x14ac:dyDescent="0.35">
      <c r="B2971" s="17"/>
      <c r="C2971" s="13"/>
      <c r="D2971" s="14"/>
      <c r="E2971" s="14"/>
      <c r="F2971" s="14"/>
      <c r="G2971" s="14"/>
      <c r="H2971" s="14"/>
      <c r="I2971" s="14"/>
      <c r="J2971" s="14"/>
      <c r="K2971" s="14"/>
      <c r="L2971" s="14"/>
      <c r="M2971" s="14"/>
      <c r="N2971" s="14"/>
      <c r="O2971" s="14"/>
      <c r="P2971" s="14"/>
      <c r="Q2971" s="14"/>
      <c r="R2971" s="14"/>
    </row>
    <row r="2972" spans="2:18" x14ac:dyDescent="0.35">
      <c r="B2972" s="17"/>
      <c r="C2972" s="13"/>
      <c r="D2972" s="14"/>
      <c r="E2972" s="14"/>
      <c r="F2972" s="14"/>
      <c r="G2972" s="14"/>
      <c r="H2972" s="14"/>
      <c r="I2972" s="14"/>
      <c r="J2972" s="14"/>
      <c r="K2972" s="14"/>
      <c r="L2972" s="14"/>
      <c r="M2972" s="14"/>
      <c r="N2972" s="14"/>
      <c r="O2972" s="14"/>
      <c r="P2972" s="14"/>
      <c r="Q2972" s="14"/>
      <c r="R2972" s="14"/>
    </row>
    <row r="2973" spans="2:18" x14ac:dyDescent="0.35">
      <c r="B2973" s="17"/>
      <c r="C2973" s="18"/>
      <c r="D2973" s="21"/>
      <c r="E2973" s="21"/>
      <c r="F2973" s="21"/>
      <c r="G2973" s="21"/>
      <c r="H2973" s="21"/>
      <c r="I2973" s="21"/>
      <c r="J2973" s="21"/>
      <c r="K2973" s="21"/>
      <c r="L2973" s="21"/>
      <c r="M2973" s="21"/>
      <c r="N2973" s="21"/>
      <c r="O2973" s="21"/>
      <c r="P2973" s="21"/>
      <c r="Q2973" s="21"/>
      <c r="R2973" s="21"/>
    </row>
    <row r="2974" spans="2:18" x14ac:dyDescent="0.35">
      <c r="B2974" s="17"/>
      <c r="C2974" s="18"/>
      <c r="D2974" s="21"/>
      <c r="E2974" s="21"/>
      <c r="F2974" s="21"/>
      <c r="G2974" s="21"/>
      <c r="H2974" s="21"/>
      <c r="I2974" s="21"/>
      <c r="J2974" s="21"/>
      <c r="K2974" s="21"/>
      <c r="L2974" s="21"/>
      <c r="M2974" s="21"/>
      <c r="N2974" s="21"/>
      <c r="O2974" s="21"/>
      <c r="P2974" s="21"/>
      <c r="Q2974" s="21"/>
      <c r="R2974" s="21"/>
    </row>
    <row r="2975" spans="2:18" x14ac:dyDescent="0.35">
      <c r="B2975" s="17"/>
      <c r="C2975" s="18"/>
      <c r="D2975" s="21"/>
      <c r="E2975" s="21"/>
      <c r="F2975" s="21"/>
      <c r="G2975" s="21"/>
      <c r="H2975" s="21"/>
      <c r="I2975" s="21"/>
      <c r="J2975" s="21"/>
      <c r="K2975" s="21"/>
      <c r="L2975" s="21"/>
      <c r="M2975" s="21"/>
      <c r="N2975" s="21"/>
      <c r="O2975" s="21"/>
      <c r="P2975" s="21"/>
      <c r="Q2975" s="21"/>
      <c r="R2975" s="21"/>
    </row>
    <row r="2976" spans="2:18" x14ac:dyDescent="0.35">
      <c r="B2976" s="17"/>
      <c r="C2976" s="18"/>
      <c r="D2976" s="21"/>
      <c r="E2976" s="21"/>
      <c r="F2976" s="21"/>
      <c r="G2976" s="21"/>
      <c r="H2976" s="21"/>
      <c r="I2976" s="21"/>
      <c r="J2976" s="21"/>
      <c r="K2976" s="21"/>
      <c r="L2976" s="21"/>
      <c r="M2976" s="21"/>
      <c r="N2976" s="21"/>
      <c r="O2976" s="21"/>
      <c r="P2976" s="21"/>
      <c r="Q2976" s="21"/>
      <c r="R2976" s="21"/>
    </row>
    <row r="2977" spans="2:18" x14ac:dyDescent="0.35">
      <c r="B2977" s="17"/>
      <c r="C2977" s="18"/>
      <c r="D2977" s="21"/>
      <c r="E2977" s="21"/>
      <c r="F2977" s="21"/>
      <c r="G2977" s="21"/>
      <c r="H2977" s="21"/>
      <c r="I2977" s="21"/>
      <c r="J2977" s="21"/>
      <c r="K2977" s="21"/>
      <c r="L2977" s="21"/>
      <c r="M2977" s="21"/>
      <c r="N2977" s="21"/>
      <c r="O2977" s="21"/>
      <c r="P2977" s="21"/>
      <c r="Q2977" s="21"/>
      <c r="R2977" s="21"/>
    </row>
    <row r="2978" spans="2:18" x14ac:dyDescent="0.35">
      <c r="B2978" s="17"/>
      <c r="C2978" s="18"/>
      <c r="D2978" s="21"/>
      <c r="E2978" s="21"/>
      <c r="F2978" s="21"/>
      <c r="G2978" s="21"/>
      <c r="H2978" s="21"/>
      <c r="I2978" s="21"/>
      <c r="J2978" s="21"/>
      <c r="K2978" s="21"/>
      <c r="L2978" s="21"/>
      <c r="M2978" s="21"/>
      <c r="N2978" s="21"/>
      <c r="O2978" s="21"/>
      <c r="P2978" s="21"/>
      <c r="Q2978" s="21"/>
      <c r="R2978" s="21"/>
    </row>
    <row r="2979" spans="2:18" x14ac:dyDescent="0.35">
      <c r="B2979" s="17"/>
      <c r="C2979" s="18"/>
      <c r="D2979" s="21"/>
      <c r="E2979" s="21"/>
      <c r="F2979" s="21"/>
      <c r="G2979" s="21"/>
      <c r="H2979" s="21"/>
      <c r="I2979" s="21"/>
      <c r="J2979" s="21"/>
      <c r="K2979" s="21"/>
      <c r="L2979" s="21"/>
      <c r="M2979" s="21"/>
      <c r="N2979" s="21"/>
      <c r="O2979" s="21"/>
      <c r="P2979" s="21"/>
      <c r="Q2979" s="21"/>
      <c r="R2979" s="21"/>
    </row>
    <row r="2980" spans="2:18" x14ac:dyDescent="0.35">
      <c r="B2980" s="17"/>
      <c r="C2980" s="18"/>
      <c r="D2980" s="21"/>
      <c r="E2980" s="21"/>
      <c r="F2980" s="21"/>
      <c r="G2980" s="21"/>
      <c r="H2980" s="21"/>
      <c r="I2980" s="21"/>
      <c r="J2980" s="21"/>
      <c r="K2980" s="21"/>
      <c r="L2980" s="21"/>
      <c r="M2980" s="21"/>
      <c r="N2980" s="21"/>
      <c r="O2980" s="21"/>
      <c r="P2980" s="21"/>
      <c r="Q2980" s="21"/>
      <c r="R2980" s="21"/>
    </row>
    <row r="2981" spans="2:18" x14ac:dyDescent="0.35">
      <c r="B2981" s="17"/>
      <c r="C2981" s="18"/>
      <c r="D2981" s="21"/>
      <c r="E2981" s="21"/>
      <c r="F2981" s="21"/>
      <c r="G2981" s="21"/>
      <c r="H2981" s="21"/>
      <c r="I2981" s="21"/>
      <c r="J2981" s="21"/>
      <c r="K2981" s="21"/>
      <c r="L2981" s="21"/>
      <c r="M2981" s="21"/>
      <c r="N2981" s="21"/>
      <c r="O2981" s="21"/>
      <c r="P2981" s="21"/>
      <c r="Q2981" s="21"/>
      <c r="R2981" s="21"/>
    </row>
    <row r="2982" spans="2:18" x14ac:dyDescent="0.35">
      <c r="B2982" s="17"/>
      <c r="C2982" s="18"/>
      <c r="D2982" s="21"/>
      <c r="E2982" s="21"/>
      <c r="F2982" s="21"/>
      <c r="G2982" s="21"/>
      <c r="H2982" s="21"/>
      <c r="I2982" s="21"/>
      <c r="J2982" s="21"/>
      <c r="K2982" s="21"/>
      <c r="L2982" s="21"/>
      <c r="M2982" s="21"/>
      <c r="N2982" s="21"/>
      <c r="O2982" s="21"/>
      <c r="P2982" s="21"/>
      <c r="Q2982" s="21"/>
      <c r="R2982" s="21"/>
    </row>
    <row r="2983" spans="2:18" x14ac:dyDescent="0.35">
      <c r="B2983" s="17"/>
      <c r="C2983" s="18"/>
      <c r="D2983" s="21"/>
      <c r="E2983" s="21"/>
      <c r="F2983" s="21"/>
      <c r="G2983" s="21"/>
      <c r="H2983" s="21"/>
      <c r="I2983" s="21"/>
      <c r="J2983" s="21"/>
      <c r="K2983" s="21"/>
      <c r="L2983" s="21"/>
      <c r="M2983" s="21"/>
      <c r="N2983" s="21"/>
      <c r="O2983" s="21"/>
      <c r="P2983" s="21"/>
      <c r="Q2983" s="21"/>
      <c r="R2983" s="21"/>
    </row>
    <row r="2984" spans="2:18" x14ac:dyDescent="0.35">
      <c r="B2984" s="17"/>
      <c r="C2984" s="18"/>
      <c r="D2984" s="21"/>
      <c r="E2984" s="21"/>
      <c r="F2984" s="21"/>
      <c r="G2984" s="21"/>
      <c r="H2984" s="21"/>
      <c r="I2984" s="21"/>
      <c r="J2984" s="21"/>
      <c r="K2984" s="21"/>
      <c r="L2984" s="21"/>
      <c r="M2984" s="21"/>
      <c r="N2984" s="21"/>
      <c r="O2984" s="21"/>
      <c r="P2984" s="21"/>
      <c r="Q2984" s="21"/>
      <c r="R2984" s="21"/>
    </row>
    <row r="2985" spans="2:18" x14ac:dyDescent="0.35">
      <c r="B2985" s="17"/>
      <c r="C2985" s="18"/>
      <c r="D2985" s="21"/>
      <c r="E2985" s="21"/>
      <c r="F2985" s="21"/>
      <c r="G2985" s="21"/>
      <c r="H2985" s="21"/>
      <c r="I2985" s="21"/>
      <c r="J2985" s="21"/>
      <c r="K2985" s="21"/>
      <c r="L2985" s="21"/>
      <c r="M2985" s="21"/>
      <c r="N2985" s="21"/>
      <c r="O2985" s="21"/>
      <c r="P2985" s="21"/>
      <c r="Q2985" s="21"/>
      <c r="R2985" s="21"/>
    </row>
    <row r="2986" spans="2:18" x14ac:dyDescent="0.35">
      <c r="B2986" s="17"/>
      <c r="C2986" s="18"/>
      <c r="D2986" s="21"/>
      <c r="E2986" s="21"/>
      <c r="F2986" s="21"/>
      <c r="G2986" s="21"/>
      <c r="H2986" s="21"/>
      <c r="I2986" s="21"/>
      <c r="J2986" s="21"/>
      <c r="K2986" s="21"/>
      <c r="L2986" s="21"/>
      <c r="M2986" s="21"/>
      <c r="N2986" s="21"/>
      <c r="O2986" s="21"/>
      <c r="P2986" s="21"/>
      <c r="Q2986" s="21"/>
      <c r="R2986" s="21"/>
    </row>
    <row r="2987" spans="2:18" x14ac:dyDescent="0.35">
      <c r="B2987" s="17"/>
      <c r="C2987" s="18"/>
      <c r="D2987" s="21"/>
      <c r="E2987" s="21"/>
      <c r="F2987" s="21"/>
      <c r="G2987" s="21"/>
      <c r="H2987" s="21"/>
      <c r="I2987" s="21"/>
      <c r="J2987" s="21"/>
      <c r="K2987" s="21"/>
      <c r="L2987" s="21"/>
      <c r="M2987" s="21"/>
      <c r="N2987" s="21"/>
      <c r="O2987" s="21"/>
      <c r="P2987" s="21"/>
      <c r="Q2987" s="21"/>
      <c r="R2987" s="21"/>
    </row>
    <row r="2988" spans="2:18" x14ac:dyDescent="0.35">
      <c r="B2988" s="17"/>
      <c r="C2988" s="18"/>
      <c r="D2988" s="21"/>
      <c r="E2988" s="21"/>
      <c r="F2988" s="21"/>
      <c r="G2988" s="21"/>
      <c r="H2988" s="21"/>
      <c r="I2988" s="21"/>
      <c r="J2988" s="21"/>
      <c r="K2988" s="21"/>
      <c r="L2988" s="21"/>
      <c r="M2988" s="21"/>
      <c r="N2988" s="21"/>
      <c r="O2988" s="21"/>
      <c r="P2988" s="21"/>
      <c r="Q2988" s="21"/>
      <c r="R2988" s="21"/>
    </row>
    <row r="2989" spans="2:18" x14ac:dyDescent="0.35">
      <c r="B2989" s="17"/>
      <c r="C2989" s="13"/>
      <c r="D2989" s="14"/>
      <c r="E2989" s="14"/>
      <c r="F2989" s="14"/>
      <c r="G2989" s="14"/>
      <c r="H2989" s="14"/>
      <c r="I2989" s="14"/>
      <c r="J2989" s="14"/>
      <c r="K2989" s="14"/>
      <c r="L2989" s="14"/>
      <c r="M2989" s="14"/>
      <c r="N2989" s="14"/>
      <c r="O2989" s="14"/>
      <c r="P2989" s="14"/>
      <c r="Q2989" s="14"/>
      <c r="R2989" s="14"/>
    </row>
    <row r="2990" spans="2:18" x14ac:dyDescent="0.35">
      <c r="B2990" s="17"/>
      <c r="C2990" s="13"/>
      <c r="D2990" s="14"/>
      <c r="E2990" s="14"/>
      <c r="F2990" s="14"/>
      <c r="G2990" s="14"/>
      <c r="H2990" s="14"/>
      <c r="I2990" s="14"/>
      <c r="J2990" s="14"/>
      <c r="K2990" s="14"/>
      <c r="L2990" s="14"/>
      <c r="M2990" s="14"/>
      <c r="N2990" s="14"/>
      <c r="O2990" s="14"/>
      <c r="P2990" s="14"/>
      <c r="Q2990" s="14"/>
      <c r="R2990" s="14"/>
    </row>
    <row r="2991" spans="2:18" x14ac:dyDescent="0.35">
      <c r="B2991" s="17"/>
      <c r="C2991" s="13"/>
      <c r="D2991" s="14"/>
      <c r="E2991" s="14"/>
      <c r="F2991" s="14"/>
      <c r="G2991" s="14"/>
      <c r="H2991" s="14"/>
      <c r="I2991" s="14"/>
      <c r="J2991" s="14"/>
      <c r="K2991" s="14"/>
      <c r="L2991" s="14"/>
      <c r="M2991" s="14"/>
      <c r="N2991" s="14"/>
      <c r="O2991" s="14"/>
      <c r="P2991" s="14"/>
      <c r="Q2991" s="14"/>
      <c r="R2991" s="14"/>
    </row>
    <row r="2992" spans="2:18" x14ac:dyDescent="0.35">
      <c r="B2992" s="17"/>
      <c r="C2992" s="13"/>
      <c r="D2992" s="14"/>
      <c r="E2992" s="14"/>
      <c r="F2992" s="14"/>
      <c r="G2992" s="14"/>
      <c r="H2992" s="14"/>
      <c r="I2992" s="14"/>
      <c r="J2992" s="14"/>
      <c r="K2992" s="14"/>
      <c r="L2992" s="14"/>
      <c r="M2992" s="14"/>
      <c r="N2992" s="14"/>
      <c r="O2992" s="14"/>
      <c r="P2992" s="14"/>
      <c r="Q2992" s="14"/>
      <c r="R2992" s="14"/>
    </row>
    <row r="2993" spans="1:18" x14ac:dyDescent="0.35">
      <c r="B2993" s="17"/>
      <c r="C2993" s="13"/>
      <c r="D2993" s="14"/>
      <c r="E2993" s="14"/>
      <c r="F2993" s="14"/>
      <c r="G2993" s="14"/>
      <c r="H2993" s="14"/>
      <c r="I2993" s="14"/>
      <c r="J2993" s="14"/>
      <c r="K2993" s="14"/>
      <c r="L2993" s="14"/>
      <c r="M2993" s="14"/>
      <c r="N2993" s="14"/>
      <c r="O2993" s="14"/>
      <c r="P2993" s="14"/>
      <c r="Q2993" s="14"/>
      <c r="R2993" s="14"/>
    </row>
    <row r="2994" spans="1:18" x14ac:dyDescent="0.35">
      <c r="B2994" s="17"/>
      <c r="C2994" s="13"/>
      <c r="D2994" s="14"/>
      <c r="E2994" s="14"/>
      <c r="F2994" s="14"/>
      <c r="G2994" s="14"/>
      <c r="H2994" s="14"/>
      <c r="I2994" s="14"/>
      <c r="J2994" s="14"/>
      <c r="K2994" s="14"/>
      <c r="L2994" s="14"/>
      <c r="M2994" s="14"/>
      <c r="N2994" s="14"/>
      <c r="O2994" s="14"/>
      <c r="P2994" s="14"/>
      <c r="Q2994" s="14"/>
      <c r="R2994" s="14"/>
    </row>
    <row r="2995" spans="1:18" x14ac:dyDescent="0.35">
      <c r="B2995" s="17"/>
      <c r="C2995" s="13"/>
      <c r="D2995" s="14"/>
      <c r="E2995" s="14"/>
      <c r="F2995" s="14"/>
      <c r="G2995" s="14"/>
      <c r="H2995" s="14"/>
      <c r="I2995" s="14"/>
      <c r="J2995" s="14"/>
      <c r="K2995" s="14"/>
      <c r="L2995" s="14"/>
      <c r="M2995" s="14"/>
      <c r="N2995" s="14"/>
      <c r="O2995" s="14"/>
      <c r="P2995" s="14"/>
      <c r="Q2995" s="14"/>
      <c r="R2995" s="14"/>
    </row>
    <row r="2996" spans="1:18" x14ac:dyDescent="0.35">
      <c r="A2996" s="20"/>
      <c r="B2996" s="17"/>
      <c r="C2996" s="18"/>
      <c r="D2996" s="21"/>
      <c r="E2996" s="21"/>
      <c r="F2996" s="21"/>
      <c r="G2996" s="21"/>
      <c r="H2996" s="21"/>
      <c r="I2996" s="21"/>
      <c r="J2996" s="21"/>
      <c r="K2996" s="21"/>
      <c r="L2996" s="21"/>
      <c r="M2996" s="21"/>
      <c r="N2996" s="21"/>
      <c r="O2996" s="21"/>
      <c r="P2996" s="21"/>
      <c r="Q2996" s="21"/>
      <c r="R2996" s="21"/>
    </row>
    <row r="2997" spans="1:18" x14ac:dyDescent="0.35">
      <c r="A2997" s="20"/>
      <c r="B2997" s="17"/>
      <c r="C2997" s="18"/>
      <c r="D2997" s="21"/>
      <c r="E2997" s="21"/>
      <c r="F2997" s="21"/>
      <c r="G2997" s="21"/>
      <c r="H2997" s="21"/>
      <c r="I2997" s="21"/>
      <c r="J2997" s="21"/>
      <c r="K2997" s="21"/>
      <c r="L2997" s="21"/>
      <c r="M2997" s="21"/>
      <c r="N2997" s="21"/>
      <c r="O2997" s="21"/>
      <c r="P2997" s="21"/>
      <c r="Q2997" s="21"/>
      <c r="R2997" s="21"/>
    </row>
    <row r="2998" spans="1:18" x14ac:dyDescent="0.35">
      <c r="A2998" s="20"/>
      <c r="B2998" s="17"/>
      <c r="C2998" s="18"/>
      <c r="D2998" s="21"/>
      <c r="E2998" s="21"/>
      <c r="F2998" s="21"/>
      <c r="G2998" s="21"/>
      <c r="H2998" s="21"/>
      <c r="I2998" s="21"/>
      <c r="J2998" s="21"/>
      <c r="K2998" s="21"/>
      <c r="L2998" s="21"/>
      <c r="M2998" s="21"/>
      <c r="N2998" s="21"/>
      <c r="O2998" s="21"/>
      <c r="P2998" s="21"/>
      <c r="Q2998" s="21"/>
      <c r="R2998" s="21"/>
    </row>
    <row r="2999" spans="1:18" x14ac:dyDescent="0.35">
      <c r="A2999" s="20"/>
      <c r="B2999" s="17"/>
      <c r="C2999" s="18"/>
      <c r="D2999" s="21"/>
      <c r="E2999" s="21"/>
      <c r="F2999" s="21"/>
      <c r="G2999" s="21"/>
      <c r="H2999" s="21"/>
      <c r="I2999" s="21"/>
      <c r="J2999" s="21"/>
      <c r="K2999" s="21"/>
      <c r="L2999" s="21"/>
      <c r="M2999" s="21"/>
      <c r="N2999" s="21"/>
      <c r="O2999" s="21"/>
      <c r="P2999" s="21"/>
      <c r="Q2999" s="21"/>
      <c r="R2999" s="21"/>
    </row>
    <row r="3000" spans="1:18" x14ac:dyDescent="0.35">
      <c r="A3000" s="20"/>
      <c r="B3000" s="17"/>
      <c r="C3000" s="18"/>
      <c r="D3000" s="21"/>
      <c r="E3000" s="21"/>
      <c r="F3000" s="21"/>
      <c r="G3000" s="21"/>
      <c r="H3000" s="21"/>
      <c r="I3000" s="21"/>
      <c r="J3000" s="21"/>
      <c r="K3000" s="21"/>
      <c r="L3000" s="21"/>
      <c r="M3000" s="21"/>
      <c r="N3000" s="21"/>
      <c r="O3000" s="21"/>
      <c r="P3000" s="21"/>
      <c r="Q3000" s="21"/>
      <c r="R3000" s="21"/>
    </row>
    <row r="3001" spans="1:18" x14ac:dyDescent="0.35">
      <c r="A3001" s="20"/>
      <c r="B3001" s="17"/>
      <c r="C3001" s="19"/>
      <c r="D3001" s="21"/>
      <c r="E3001" s="21"/>
      <c r="F3001" s="21"/>
      <c r="G3001" s="21"/>
      <c r="H3001" s="21"/>
      <c r="I3001" s="21"/>
      <c r="J3001" s="21"/>
      <c r="K3001" s="21"/>
      <c r="L3001" s="21"/>
      <c r="M3001" s="21"/>
      <c r="N3001" s="21"/>
      <c r="O3001" s="21"/>
      <c r="P3001" s="21"/>
      <c r="Q3001" s="21"/>
      <c r="R3001" s="21"/>
    </row>
    <row r="3002" spans="1:18" x14ac:dyDescent="0.35">
      <c r="A3002" s="20"/>
      <c r="B3002" s="17"/>
      <c r="C3002" s="19"/>
      <c r="D3002" s="21"/>
      <c r="E3002" s="21"/>
      <c r="F3002" s="21"/>
      <c r="G3002" s="21"/>
      <c r="H3002" s="21"/>
      <c r="I3002" s="21"/>
      <c r="J3002" s="21"/>
      <c r="K3002" s="21"/>
      <c r="L3002" s="21"/>
      <c r="M3002" s="21"/>
      <c r="N3002" s="21"/>
      <c r="O3002" s="21"/>
      <c r="P3002" s="21"/>
      <c r="Q3002" s="21"/>
      <c r="R3002" s="21"/>
    </row>
    <row r="3003" spans="1:18" x14ac:dyDescent="0.35">
      <c r="A3003" s="20"/>
      <c r="B3003" s="17"/>
      <c r="C3003" s="19"/>
      <c r="D3003" s="21"/>
      <c r="E3003" s="21"/>
      <c r="F3003" s="21"/>
      <c r="G3003" s="21"/>
      <c r="H3003" s="21"/>
      <c r="I3003" s="21"/>
      <c r="J3003" s="21"/>
      <c r="K3003" s="21"/>
      <c r="L3003" s="21"/>
      <c r="M3003" s="21"/>
      <c r="N3003" s="21"/>
      <c r="O3003" s="21"/>
      <c r="P3003" s="21"/>
      <c r="Q3003" s="21"/>
      <c r="R3003" s="21"/>
    </row>
    <row r="3004" spans="1:18" x14ac:dyDescent="0.35">
      <c r="A3004" s="20"/>
      <c r="B3004" s="17"/>
      <c r="C3004" s="19"/>
      <c r="D3004" s="21"/>
      <c r="E3004" s="21"/>
      <c r="F3004" s="21"/>
      <c r="G3004" s="21"/>
      <c r="H3004" s="21"/>
      <c r="I3004" s="21"/>
      <c r="J3004" s="21"/>
      <c r="K3004" s="21"/>
      <c r="L3004" s="21"/>
      <c r="M3004" s="21"/>
      <c r="N3004" s="21"/>
      <c r="O3004" s="21"/>
      <c r="P3004" s="21"/>
      <c r="Q3004" s="21"/>
      <c r="R3004" s="21"/>
    </row>
    <row r="3005" spans="1:18" x14ac:dyDescent="0.35">
      <c r="A3005" s="20"/>
      <c r="B3005" s="17"/>
      <c r="C3005" s="13"/>
      <c r="D3005" s="14"/>
      <c r="E3005" s="14"/>
      <c r="F3005" s="14"/>
      <c r="G3005" s="14"/>
      <c r="H3005" s="14"/>
      <c r="I3005" s="14"/>
      <c r="J3005" s="14"/>
      <c r="K3005" s="14"/>
      <c r="L3005" s="14"/>
      <c r="M3005" s="14"/>
      <c r="N3005" s="14"/>
      <c r="O3005" s="14"/>
      <c r="P3005" s="14"/>
      <c r="Q3005" s="14"/>
      <c r="R3005" s="14"/>
    </row>
    <row r="3006" spans="1:18" x14ac:dyDescent="0.35">
      <c r="A3006" s="20"/>
      <c r="B3006" s="17"/>
      <c r="C3006" s="13"/>
      <c r="D3006" s="14"/>
      <c r="E3006" s="14"/>
      <c r="F3006" s="14"/>
      <c r="G3006" s="14"/>
      <c r="H3006" s="14"/>
      <c r="I3006" s="14"/>
      <c r="J3006" s="14"/>
      <c r="K3006" s="14"/>
      <c r="L3006" s="14"/>
      <c r="M3006" s="14"/>
      <c r="N3006" s="14"/>
      <c r="O3006" s="14"/>
      <c r="P3006" s="14"/>
      <c r="Q3006" s="14"/>
      <c r="R3006" s="14"/>
    </row>
    <row r="3007" spans="1:18" x14ac:dyDescent="0.35">
      <c r="A3007" s="20"/>
      <c r="B3007" s="17"/>
      <c r="C3007" s="13"/>
      <c r="D3007" s="14"/>
      <c r="E3007" s="14"/>
      <c r="F3007" s="14"/>
      <c r="G3007" s="14"/>
      <c r="H3007" s="14"/>
      <c r="I3007" s="14"/>
      <c r="J3007" s="14"/>
      <c r="K3007" s="14"/>
      <c r="L3007" s="14"/>
      <c r="M3007" s="14"/>
      <c r="N3007" s="14"/>
      <c r="O3007" s="14"/>
      <c r="P3007" s="14"/>
      <c r="Q3007" s="14"/>
      <c r="R3007" s="14"/>
    </row>
    <row r="3008" spans="1:18" x14ac:dyDescent="0.35">
      <c r="A3008" s="20"/>
      <c r="B3008" s="17"/>
      <c r="C3008" s="13"/>
      <c r="D3008" s="14"/>
      <c r="E3008" s="14"/>
      <c r="F3008" s="14"/>
      <c r="G3008" s="14"/>
      <c r="H3008" s="14"/>
      <c r="I3008" s="14"/>
      <c r="J3008" s="14"/>
      <c r="K3008" s="14"/>
      <c r="L3008" s="14"/>
      <c r="M3008" s="14"/>
      <c r="N3008" s="14"/>
      <c r="O3008" s="14"/>
      <c r="P3008" s="14"/>
      <c r="Q3008" s="14"/>
      <c r="R3008" s="14"/>
    </row>
    <row r="3009" spans="1:18" x14ac:dyDescent="0.35">
      <c r="A3009" s="20"/>
      <c r="B3009" s="17"/>
      <c r="C3009" s="13"/>
      <c r="D3009" s="14"/>
      <c r="E3009" s="14"/>
      <c r="F3009" s="14"/>
      <c r="G3009" s="14"/>
      <c r="H3009" s="14"/>
      <c r="I3009" s="14"/>
      <c r="J3009" s="14"/>
      <c r="K3009" s="14"/>
      <c r="L3009" s="14"/>
      <c r="M3009" s="14"/>
      <c r="N3009" s="14"/>
      <c r="O3009" s="14"/>
      <c r="P3009" s="14"/>
      <c r="Q3009" s="14"/>
      <c r="R3009" s="14"/>
    </row>
    <row r="3010" spans="1:18" x14ac:dyDescent="0.35">
      <c r="A3010" s="20"/>
      <c r="B3010" s="17"/>
      <c r="C3010" s="13"/>
      <c r="D3010" s="14"/>
      <c r="E3010" s="14"/>
      <c r="F3010" s="14"/>
      <c r="G3010" s="14"/>
      <c r="H3010" s="14"/>
      <c r="I3010" s="14"/>
      <c r="J3010" s="14"/>
      <c r="K3010" s="14"/>
      <c r="L3010" s="14"/>
      <c r="M3010" s="14"/>
      <c r="N3010" s="14"/>
      <c r="O3010" s="14"/>
      <c r="P3010" s="14"/>
      <c r="Q3010" s="14"/>
      <c r="R3010" s="14"/>
    </row>
    <row r="3011" spans="1:18" x14ac:dyDescent="0.35">
      <c r="A3011" s="20"/>
      <c r="B3011" s="17"/>
      <c r="C3011" s="13"/>
      <c r="D3011" s="14"/>
      <c r="E3011" s="14"/>
      <c r="F3011" s="14"/>
      <c r="G3011" s="14"/>
      <c r="H3011" s="14"/>
      <c r="I3011" s="14"/>
      <c r="J3011" s="14"/>
      <c r="K3011" s="14"/>
      <c r="L3011" s="14"/>
      <c r="M3011" s="14"/>
      <c r="N3011" s="14"/>
      <c r="O3011" s="14"/>
      <c r="P3011" s="14"/>
      <c r="Q3011" s="14"/>
      <c r="R3011" s="14"/>
    </row>
    <row r="3012" spans="1:18" x14ac:dyDescent="0.35">
      <c r="A3012" s="20"/>
      <c r="B3012" s="17"/>
      <c r="C3012" s="13"/>
      <c r="D3012" s="14"/>
      <c r="E3012" s="14"/>
      <c r="F3012" s="14"/>
      <c r="G3012" s="14"/>
      <c r="H3012" s="14"/>
      <c r="I3012" s="14"/>
      <c r="J3012" s="14"/>
      <c r="K3012" s="14"/>
      <c r="L3012" s="14"/>
      <c r="M3012" s="14"/>
      <c r="N3012" s="14"/>
      <c r="O3012" s="14"/>
      <c r="P3012" s="14"/>
      <c r="Q3012" s="14"/>
      <c r="R3012" s="14"/>
    </row>
    <row r="3013" spans="1:18" x14ac:dyDescent="0.35">
      <c r="A3013" s="20"/>
      <c r="B3013" s="17"/>
      <c r="C3013" s="13"/>
      <c r="D3013" s="14"/>
      <c r="E3013" s="14"/>
      <c r="F3013" s="14"/>
      <c r="G3013" s="14"/>
      <c r="H3013" s="14"/>
      <c r="I3013" s="14"/>
      <c r="J3013" s="14"/>
      <c r="K3013" s="14"/>
      <c r="L3013" s="14"/>
      <c r="M3013" s="14"/>
      <c r="N3013" s="14"/>
      <c r="O3013" s="14"/>
      <c r="P3013" s="14"/>
      <c r="Q3013" s="14"/>
      <c r="R3013" s="14"/>
    </row>
    <row r="3014" spans="1:18" x14ac:dyDescent="0.35">
      <c r="A3014" s="20"/>
      <c r="B3014" s="17"/>
      <c r="C3014" s="13"/>
      <c r="D3014" s="14"/>
      <c r="E3014" s="14"/>
      <c r="F3014" s="14"/>
      <c r="G3014" s="14"/>
      <c r="H3014" s="14"/>
      <c r="I3014" s="14"/>
      <c r="J3014" s="14"/>
      <c r="K3014" s="14"/>
      <c r="L3014" s="14"/>
      <c r="M3014" s="14"/>
      <c r="N3014" s="14"/>
      <c r="O3014" s="14"/>
      <c r="P3014" s="14"/>
      <c r="Q3014" s="14"/>
      <c r="R3014" s="14"/>
    </row>
    <row r="3015" spans="1:18" x14ac:dyDescent="0.35">
      <c r="A3015" s="20"/>
      <c r="B3015" s="17"/>
      <c r="C3015" s="13"/>
      <c r="D3015" s="14"/>
      <c r="E3015" s="14"/>
      <c r="F3015" s="14"/>
      <c r="G3015" s="14"/>
      <c r="H3015" s="14"/>
      <c r="I3015" s="14"/>
      <c r="J3015" s="14"/>
      <c r="K3015" s="14"/>
      <c r="L3015" s="14"/>
      <c r="M3015" s="14"/>
      <c r="N3015" s="14"/>
      <c r="O3015" s="14"/>
      <c r="P3015" s="14"/>
      <c r="Q3015" s="14"/>
      <c r="R3015" s="14"/>
    </row>
    <row r="3016" spans="1:18" x14ac:dyDescent="0.35">
      <c r="A3016" s="20"/>
      <c r="B3016" s="17"/>
      <c r="C3016" s="13"/>
      <c r="D3016" s="14"/>
      <c r="E3016" s="14"/>
      <c r="F3016" s="14"/>
      <c r="G3016" s="14"/>
      <c r="H3016" s="14"/>
      <c r="I3016" s="14"/>
      <c r="J3016" s="14"/>
      <c r="K3016" s="14"/>
      <c r="L3016" s="14"/>
      <c r="M3016" s="14"/>
      <c r="N3016" s="14"/>
      <c r="O3016" s="14"/>
      <c r="P3016" s="14"/>
      <c r="Q3016" s="14"/>
      <c r="R3016" s="14"/>
    </row>
    <row r="3017" spans="1:18" x14ac:dyDescent="0.35">
      <c r="A3017" s="20"/>
      <c r="B3017" s="17"/>
      <c r="C3017" s="13"/>
      <c r="D3017" s="14"/>
      <c r="E3017" s="14"/>
      <c r="F3017" s="14"/>
      <c r="G3017" s="14"/>
      <c r="H3017" s="14"/>
      <c r="I3017" s="14"/>
      <c r="J3017" s="14"/>
      <c r="K3017" s="14"/>
      <c r="L3017" s="14"/>
      <c r="M3017" s="14"/>
      <c r="N3017" s="14"/>
      <c r="O3017" s="14"/>
      <c r="P3017" s="14"/>
      <c r="Q3017" s="14"/>
      <c r="R3017" s="14"/>
    </row>
    <row r="3018" spans="1:18" x14ac:dyDescent="0.35">
      <c r="A3018" s="20"/>
      <c r="B3018" s="17"/>
      <c r="C3018" s="13"/>
      <c r="D3018" s="14"/>
      <c r="E3018" s="14"/>
      <c r="F3018" s="14"/>
      <c r="G3018" s="14"/>
      <c r="H3018" s="14"/>
      <c r="I3018" s="14"/>
      <c r="J3018" s="14"/>
      <c r="K3018" s="14"/>
      <c r="L3018" s="14"/>
      <c r="M3018" s="14"/>
      <c r="N3018" s="14"/>
      <c r="O3018" s="14"/>
      <c r="P3018" s="14"/>
      <c r="Q3018" s="14"/>
      <c r="R3018" s="14"/>
    </row>
    <row r="3019" spans="1:18" x14ac:dyDescent="0.35">
      <c r="A3019" s="20"/>
      <c r="B3019" s="17"/>
      <c r="C3019" s="13"/>
      <c r="D3019" s="14"/>
      <c r="E3019" s="14"/>
      <c r="F3019" s="14"/>
      <c r="G3019" s="14"/>
      <c r="H3019" s="14"/>
      <c r="I3019" s="14"/>
      <c r="J3019" s="14"/>
      <c r="K3019" s="14"/>
      <c r="L3019" s="14"/>
      <c r="M3019" s="14"/>
      <c r="N3019" s="14"/>
      <c r="O3019" s="14"/>
      <c r="P3019" s="14"/>
      <c r="Q3019" s="14"/>
      <c r="R3019" s="14"/>
    </row>
    <row r="3020" spans="1:18" x14ac:dyDescent="0.35">
      <c r="A3020" s="20"/>
      <c r="B3020" s="17"/>
      <c r="C3020" s="18"/>
      <c r="D3020" s="21"/>
      <c r="E3020" s="21"/>
      <c r="F3020" s="21"/>
      <c r="G3020" s="21"/>
      <c r="H3020" s="21"/>
      <c r="I3020" s="21"/>
      <c r="J3020" s="21"/>
      <c r="K3020" s="21"/>
      <c r="L3020" s="21"/>
      <c r="M3020" s="21"/>
      <c r="N3020" s="21"/>
      <c r="O3020" s="21"/>
      <c r="P3020" s="21"/>
      <c r="Q3020" s="21"/>
      <c r="R3020" s="21"/>
    </row>
    <row r="3021" spans="1:18" x14ac:dyDescent="0.35">
      <c r="A3021" s="20"/>
      <c r="B3021" s="17"/>
      <c r="C3021" s="18"/>
      <c r="D3021" s="21"/>
      <c r="E3021" s="21"/>
      <c r="F3021" s="21"/>
      <c r="G3021" s="21"/>
      <c r="H3021" s="21"/>
      <c r="I3021" s="21"/>
      <c r="J3021" s="21"/>
      <c r="K3021" s="21"/>
      <c r="L3021" s="21"/>
      <c r="M3021" s="21"/>
      <c r="N3021" s="21"/>
      <c r="O3021" s="21"/>
      <c r="P3021" s="21"/>
      <c r="Q3021" s="21"/>
      <c r="R3021" s="21"/>
    </row>
    <row r="3022" spans="1:18" x14ac:dyDescent="0.35">
      <c r="A3022" s="20"/>
      <c r="B3022" s="17"/>
      <c r="C3022" s="18"/>
      <c r="D3022" s="21"/>
      <c r="E3022" s="21"/>
      <c r="F3022" s="21"/>
      <c r="G3022" s="21"/>
      <c r="H3022" s="21"/>
      <c r="I3022" s="21"/>
      <c r="J3022" s="21"/>
      <c r="K3022" s="21"/>
      <c r="L3022" s="21"/>
      <c r="M3022" s="21"/>
      <c r="N3022" s="21"/>
      <c r="O3022" s="21"/>
      <c r="P3022" s="21"/>
      <c r="Q3022" s="21"/>
      <c r="R3022" s="21"/>
    </row>
    <row r="3023" spans="1:18" x14ac:dyDescent="0.35">
      <c r="A3023" s="20"/>
      <c r="B3023" s="17"/>
      <c r="C3023" s="18"/>
      <c r="D3023" s="21"/>
      <c r="E3023" s="21"/>
      <c r="F3023" s="21"/>
      <c r="G3023" s="21"/>
      <c r="H3023" s="21"/>
      <c r="I3023" s="21"/>
      <c r="J3023" s="21"/>
      <c r="K3023" s="21"/>
      <c r="L3023" s="21"/>
      <c r="M3023" s="21"/>
      <c r="N3023" s="21"/>
      <c r="O3023" s="21"/>
      <c r="P3023" s="21"/>
      <c r="Q3023" s="21"/>
      <c r="R3023" s="21"/>
    </row>
    <row r="3024" spans="1:18" x14ac:dyDescent="0.35">
      <c r="A3024" s="20"/>
      <c r="B3024" s="17"/>
      <c r="C3024" s="18"/>
      <c r="D3024" s="21"/>
      <c r="E3024" s="21"/>
      <c r="F3024" s="21"/>
      <c r="G3024" s="21"/>
      <c r="H3024" s="21"/>
      <c r="I3024" s="21"/>
      <c r="J3024" s="21"/>
      <c r="K3024" s="21"/>
      <c r="L3024" s="21"/>
      <c r="M3024" s="21"/>
      <c r="N3024" s="21"/>
      <c r="O3024" s="21"/>
      <c r="P3024" s="21"/>
      <c r="Q3024" s="21"/>
      <c r="R3024" s="21"/>
    </row>
    <row r="3025" spans="1:18" x14ac:dyDescent="0.35">
      <c r="A3025" s="20"/>
      <c r="B3025" s="17"/>
      <c r="C3025" s="18"/>
      <c r="D3025" s="21"/>
      <c r="E3025" s="21"/>
      <c r="F3025" s="21"/>
      <c r="G3025" s="21"/>
      <c r="H3025" s="21"/>
      <c r="I3025" s="21"/>
      <c r="J3025" s="21"/>
      <c r="K3025" s="21"/>
      <c r="L3025" s="21"/>
      <c r="M3025" s="21"/>
      <c r="N3025" s="21"/>
      <c r="O3025" s="21"/>
      <c r="P3025" s="21"/>
      <c r="Q3025" s="21"/>
      <c r="R3025" s="21"/>
    </row>
    <row r="3026" spans="1:18" x14ac:dyDescent="0.35">
      <c r="A3026" s="20"/>
      <c r="B3026" s="17"/>
      <c r="C3026" s="18"/>
      <c r="D3026" s="21"/>
      <c r="E3026" s="21"/>
      <c r="F3026" s="21"/>
      <c r="G3026" s="21"/>
      <c r="H3026" s="21"/>
      <c r="I3026" s="21"/>
      <c r="J3026" s="21"/>
      <c r="K3026" s="21"/>
      <c r="L3026" s="21"/>
      <c r="M3026" s="21"/>
      <c r="N3026" s="21"/>
      <c r="O3026" s="21"/>
      <c r="P3026" s="21"/>
      <c r="Q3026" s="21"/>
      <c r="R3026" s="21"/>
    </row>
    <row r="3027" spans="1:18" x14ac:dyDescent="0.35">
      <c r="A3027" s="20"/>
      <c r="B3027" s="17"/>
      <c r="C3027" s="18"/>
      <c r="D3027" s="21"/>
      <c r="E3027" s="21"/>
      <c r="F3027" s="21"/>
      <c r="G3027" s="21"/>
      <c r="H3027" s="21"/>
      <c r="I3027" s="21"/>
      <c r="J3027" s="21"/>
      <c r="K3027" s="21"/>
      <c r="L3027" s="21"/>
      <c r="M3027" s="21"/>
      <c r="N3027" s="21"/>
      <c r="O3027" s="21"/>
      <c r="P3027" s="21"/>
      <c r="Q3027" s="21"/>
      <c r="R3027" s="21"/>
    </row>
    <row r="3028" spans="1:18" x14ac:dyDescent="0.35">
      <c r="A3028" s="20"/>
      <c r="B3028" s="17"/>
      <c r="C3028" s="18"/>
      <c r="D3028" s="21"/>
      <c r="E3028" s="21"/>
      <c r="F3028" s="21"/>
      <c r="G3028" s="21"/>
      <c r="H3028" s="21"/>
      <c r="I3028" s="21"/>
      <c r="J3028" s="21"/>
      <c r="K3028" s="21"/>
      <c r="L3028" s="21"/>
      <c r="M3028" s="21"/>
      <c r="N3028" s="21"/>
      <c r="O3028" s="21"/>
      <c r="P3028" s="21"/>
      <c r="Q3028" s="21"/>
      <c r="R3028" s="21"/>
    </row>
    <row r="3029" spans="1:18" x14ac:dyDescent="0.35">
      <c r="A3029" s="20"/>
      <c r="B3029" s="17"/>
      <c r="C3029" s="18"/>
      <c r="D3029" s="21"/>
      <c r="E3029" s="21"/>
      <c r="F3029" s="21"/>
      <c r="G3029" s="21"/>
      <c r="H3029" s="21"/>
      <c r="I3029" s="21"/>
      <c r="J3029" s="21"/>
      <c r="K3029" s="21"/>
      <c r="L3029" s="21"/>
      <c r="M3029" s="21"/>
      <c r="N3029" s="21"/>
      <c r="O3029" s="21"/>
      <c r="P3029" s="21"/>
      <c r="Q3029" s="21"/>
      <c r="R3029" s="21"/>
    </row>
    <row r="3030" spans="1:18" x14ac:dyDescent="0.35">
      <c r="A3030" s="20"/>
      <c r="B3030" s="17"/>
      <c r="C3030" s="18"/>
      <c r="D3030" s="21"/>
      <c r="E3030" s="21"/>
      <c r="F3030" s="21"/>
      <c r="G3030" s="21"/>
      <c r="H3030" s="21"/>
      <c r="I3030" s="21"/>
      <c r="J3030" s="21"/>
      <c r="K3030" s="21"/>
      <c r="L3030" s="21"/>
      <c r="M3030" s="21"/>
      <c r="N3030" s="21"/>
      <c r="O3030" s="21"/>
      <c r="P3030" s="21"/>
      <c r="Q3030" s="21"/>
      <c r="R3030" s="21"/>
    </row>
    <row r="3031" spans="1:18" x14ac:dyDescent="0.35">
      <c r="A3031" s="20"/>
      <c r="B3031" s="17"/>
      <c r="C3031" s="18"/>
      <c r="D3031" s="21"/>
      <c r="E3031" s="21"/>
      <c r="F3031" s="21"/>
      <c r="G3031" s="21"/>
      <c r="H3031" s="21"/>
      <c r="I3031" s="21"/>
      <c r="J3031" s="21"/>
      <c r="K3031" s="21"/>
      <c r="L3031" s="21"/>
      <c r="M3031" s="21"/>
      <c r="N3031" s="21"/>
      <c r="O3031" s="21"/>
      <c r="P3031" s="21"/>
      <c r="Q3031" s="21"/>
      <c r="R3031" s="21"/>
    </row>
    <row r="3032" spans="1:18" x14ac:dyDescent="0.35">
      <c r="A3032" s="20"/>
      <c r="B3032" s="17"/>
      <c r="C3032" s="18"/>
      <c r="D3032" s="21"/>
      <c r="E3032" s="21"/>
      <c r="F3032" s="21"/>
      <c r="G3032" s="21"/>
      <c r="H3032" s="21"/>
      <c r="I3032" s="21"/>
      <c r="J3032" s="21"/>
      <c r="K3032" s="21"/>
      <c r="L3032" s="21"/>
      <c r="M3032" s="21"/>
      <c r="N3032" s="21"/>
      <c r="O3032" s="21"/>
      <c r="P3032" s="21"/>
      <c r="Q3032" s="21"/>
      <c r="R3032" s="21"/>
    </row>
    <row r="3033" spans="1:18" x14ac:dyDescent="0.35">
      <c r="A3033" s="20"/>
      <c r="B3033" s="17"/>
      <c r="C3033" s="18"/>
      <c r="D3033" s="21"/>
      <c r="E3033" s="21"/>
      <c r="F3033" s="21"/>
      <c r="G3033" s="21"/>
      <c r="H3033" s="21"/>
      <c r="I3033" s="21"/>
      <c r="J3033" s="21"/>
      <c r="K3033" s="21"/>
      <c r="L3033" s="21"/>
      <c r="M3033" s="21"/>
      <c r="N3033" s="21"/>
      <c r="O3033" s="21"/>
      <c r="P3033" s="21"/>
      <c r="Q3033" s="21"/>
      <c r="R3033" s="21"/>
    </row>
    <row r="3034" spans="1:18" x14ac:dyDescent="0.35">
      <c r="A3034" s="20"/>
      <c r="B3034" s="17"/>
      <c r="C3034" s="18"/>
      <c r="D3034" s="21"/>
      <c r="E3034" s="21"/>
      <c r="F3034" s="21"/>
      <c r="G3034" s="21"/>
      <c r="H3034" s="21"/>
      <c r="I3034" s="21"/>
      <c r="J3034" s="21"/>
      <c r="K3034" s="21"/>
      <c r="L3034" s="21"/>
      <c r="M3034" s="21"/>
      <c r="N3034" s="21"/>
      <c r="O3034" s="21"/>
      <c r="P3034" s="21"/>
      <c r="Q3034" s="21"/>
      <c r="R3034" s="21"/>
    </row>
    <row r="3035" spans="1:18" x14ac:dyDescent="0.35">
      <c r="A3035" s="20"/>
      <c r="B3035" s="17"/>
      <c r="C3035" s="18"/>
      <c r="D3035" s="21"/>
      <c r="E3035" s="21"/>
      <c r="F3035" s="21"/>
      <c r="G3035" s="21"/>
      <c r="H3035" s="21"/>
      <c r="I3035" s="21"/>
      <c r="J3035" s="21"/>
      <c r="K3035" s="21"/>
      <c r="L3035" s="21"/>
      <c r="M3035" s="21"/>
      <c r="N3035" s="21"/>
      <c r="O3035" s="21"/>
      <c r="P3035" s="21"/>
      <c r="Q3035" s="21"/>
      <c r="R3035" s="21"/>
    </row>
    <row r="3036" spans="1:18" x14ac:dyDescent="0.35">
      <c r="A3036" s="20"/>
      <c r="B3036" s="17"/>
      <c r="C3036" s="13"/>
      <c r="D3036" s="14"/>
      <c r="E3036" s="14"/>
      <c r="F3036" s="14"/>
      <c r="G3036" s="14"/>
      <c r="H3036" s="14"/>
      <c r="I3036" s="14"/>
      <c r="J3036" s="14"/>
      <c r="K3036" s="14"/>
      <c r="L3036" s="14"/>
      <c r="M3036" s="14"/>
      <c r="N3036" s="14"/>
      <c r="O3036" s="14"/>
      <c r="P3036" s="14"/>
      <c r="Q3036" s="14"/>
      <c r="R3036" s="14"/>
    </row>
    <row r="3037" spans="1:18" x14ac:dyDescent="0.35">
      <c r="A3037" s="20"/>
      <c r="B3037" s="17"/>
      <c r="C3037" s="13"/>
      <c r="D3037" s="14"/>
      <c r="E3037" s="14"/>
      <c r="F3037" s="14"/>
      <c r="G3037" s="14"/>
      <c r="H3037" s="14"/>
      <c r="I3037" s="14"/>
      <c r="J3037" s="14"/>
      <c r="K3037" s="14"/>
      <c r="L3037" s="14"/>
      <c r="M3037" s="14"/>
      <c r="N3037" s="14"/>
      <c r="O3037" s="14"/>
      <c r="P3037" s="14"/>
      <c r="Q3037" s="14"/>
      <c r="R3037" s="14"/>
    </row>
    <row r="3038" spans="1:18" x14ac:dyDescent="0.35">
      <c r="A3038" s="20"/>
      <c r="B3038" s="17"/>
      <c r="C3038" s="13"/>
      <c r="D3038" s="14"/>
      <c r="E3038" s="14"/>
      <c r="F3038" s="14"/>
      <c r="G3038" s="14"/>
      <c r="H3038" s="14"/>
      <c r="I3038" s="14"/>
      <c r="J3038" s="14"/>
      <c r="K3038" s="14"/>
      <c r="L3038" s="14"/>
      <c r="M3038" s="14"/>
      <c r="N3038" s="14"/>
      <c r="O3038" s="14"/>
      <c r="P3038" s="14"/>
      <c r="Q3038" s="14"/>
      <c r="R3038" s="14"/>
    </row>
    <row r="3039" spans="1:18" x14ac:dyDescent="0.35">
      <c r="A3039" s="20"/>
      <c r="B3039" s="17"/>
      <c r="C3039" s="13"/>
      <c r="D3039" s="14"/>
      <c r="E3039" s="14"/>
      <c r="F3039" s="14"/>
      <c r="G3039" s="14"/>
      <c r="H3039" s="14"/>
      <c r="I3039" s="14"/>
      <c r="J3039" s="14"/>
      <c r="K3039" s="14"/>
      <c r="L3039" s="14"/>
      <c r="M3039" s="14"/>
      <c r="N3039" s="14"/>
      <c r="O3039" s="14"/>
      <c r="P3039" s="14"/>
      <c r="Q3039" s="14"/>
      <c r="R3039" s="14"/>
    </row>
    <row r="3040" spans="1:18" x14ac:dyDescent="0.35">
      <c r="A3040" s="20"/>
      <c r="B3040" s="17"/>
      <c r="C3040" s="13"/>
      <c r="D3040" s="14"/>
      <c r="E3040" s="14"/>
      <c r="F3040" s="14"/>
      <c r="G3040" s="14"/>
      <c r="H3040" s="14"/>
      <c r="I3040" s="14"/>
      <c r="J3040" s="14"/>
      <c r="K3040" s="14"/>
      <c r="L3040" s="14"/>
      <c r="M3040" s="14"/>
      <c r="N3040" s="14"/>
      <c r="O3040" s="14"/>
      <c r="P3040" s="14"/>
      <c r="Q3040" s="14"/>
      <c r="R3040" s="14"/>
    </row>
    <row r="3041" spans="1:18" x14ac:dyDescent="0.35">
      <c r="A3041" s="20"/>
      <c r="B3041" s="17"/>
      <c r="C3041" s="13"/>
      <c r="D3041" s="14"/>
      <c r="E3041" s="14"/>
      <c r="F3041" s="14"/>
      <c r="G3041" s="14"/>
      <c r="H3041" s="14"/>
      <c r="I3041" s="14"/>
      <c r="J3041" s="14"/>
      <c r="K3041" s="14"/>
      <c r="L3041" s="14"/>
      <c r="M3041" s="14"/>
      <c r="N3041" s="14"/>
      <c r="O3041" s="14"/>
      <c r="P3041" s="14"/>
      <c r="Q3041" s="14"/>
      <c r="R3041" s="14"/>
    </row>
    <row r="3042" spans="1:18" x14ac:dyDescent="0.35">
      <c r="A3042" s="20"/>
      <c r="B3042" s="17"/>
      <c r="C3042" s="13"/>
      <c r="D3042" s="14"/>
      <c r="E3042" s="14"/>
      <c r="F3042" s="14"/>
      <c r="G3042" s="14"/>
      <c r="H3042" s="14"/>
      <c r="I3042" s="14"/>
      <c r="J3042" s="14"/>
      <c r="K3042" s="14"/>
      <c r="L3042" s="14"/>
      <c r="M3042" s="14"/>
      <c r="N3042" s="14"/>
      <c r="O3042" s="14"/>
      <c r="P3042" s="14"/>
      <c r="Q3042" s="14"/>
      <c r="R3042" s="14"/>
    </row>
    <row r="3043" spans="1:18" x14ac:dyDescent="0.35">
      <c r="A3043" s="20"/>
      <c r="B3043" s="17"/>
      <c r="D3043" s="14"/>
      <c r="E3043" s="14"/>
      <c r="F3043" s="14"/>
      <c r="G3043" s="14"/>
      <c r="H3043" s="14"/>
      <c r="I3043" s="14"/>
      <c r="J3043" s="14"/>
      <c r="K3043" s="14"/>
      <c r="L3043" s="14"/>
      <c r="M3043" s="14"/>
      <c r="N3043" s="14"/>
      <c r="O3043" s="14"/>
      <c r="P3043" s="14"/>
      <c r="Q3043" s="14"/>
      <c r="R3043" s="14"/>
    </row>
    <row r="3044" spans="1:18" x14ac:dyDescent="0.35">
      <c r="A3044" s="20"/>
      <c r="B3044" s="17"/>
      <c r="D3044" s="14"/>
      <c r="E3044" s="14"/>
      <c r="F3044" s="14"/>
      <c r="G3044" s="14"/>
      <c r="H3044" s="14"/>
      <c r="I3044" s="14"/>
      <c r="J3044" s="14"/>
      <c r="K3044" s="14"/>
      <c r="L3044" s="14"/>
      <c r="M3044" s="14"/>
      <c r="N3044" s="14"/>
      <c r="O3044" s="14"/>
      <c r="P3044" s="14"/>
      <c r="Q3044" s="14"/>
      <c r="R3044" s="14"/>
    </row>
    <row r="3045" spans="1:18" x14ac:dyDescent="0.35">
      <c r="A3045" s="20"/>
      <c r="B3045" s="17"/>
      <c r="D3045" s="14"/>
      <c r="E3045" s="14"/>
      <c r="F3045" s="14"/>
      <c r="G3045" s="14"/>
      <c r="H3045" s="14"/>
      <c r="I3045" s="14"/>
      <c r="J3045" s="14"/>
      <c r="K3045" s="14"/>
      <c r="L3045" s="14"/>
      <c r="M3045" s="14"/>
      <c r="N3045" s="14"/>
      <c r="O3045" s="14"/>
      <c r="P3045" s="14"/>
      <c r="Q3045" s="14"/>
      <c r="R3045" s="14"/>
    </row>
    <row r="3046" spans="1:18" x14ac:dyDescent="0.35">
      <c r="B3046" s="17"/>
      <c r="C3046" s="18"/>
      <c r="D3046" s="21"/>
      <c r="E3046" s="21"/>
      <c r="F3046" s="21"/>
      <c r="G3046" s="21"/>
      <c r="H3046" s="21"/>
      <c r="I3046" s="21"/>
      <c r="J3046" s="21"/>
      <c r="K3046" s="21"/>
      <c r="L3046" s="21"/>
      <c r="M3046" s="21"/>
      <c r="N3046" s="21"/>
      <c r="O3046" s="21"/>
      <c r="P3046" s="21"/>
      <c r="Q3046" s="21"/>
      <c r="R3046" s="21"/>
    </row>
    <row r="3047" spans="1:18" x14ac:dyDescent="0.35">
      <c r="B3047" s="17"/>
      <c r="C3047" s="18"/>
      <c r="D3047" s="21"/>
      <c r="E3047" s="21"/>
      <c r="F3047" s="21"/>
      <c r="G3047" s="21"/>
      <c r="H3047" s="21"/>
      <c r="I3047" s="21"/>
      <c r="J3047" s="21"/>
      <c r="K3047" s="21"/>
      <c r="L3047" s="21"/>
      <c r="M3047" s="21"/>
      <c r="N3047" s="21"/>
      <c r="O3047" s="21"/>
      <c r="P3047" s="21"/>
      <c r="Q3047" s="21"/>
      <c r="R3047" s="21"/>
    </row>
    <row r="3048" spans="1:18" x14ac:dyDescent="0.35">
      <c r="B3048" s="17"/>
      <c r="C3048" s="18"/>
      <c r="D3048" s="21"/>
      <c r="E3048" s="21"/>
      <c r="F3048" s="21"/>
      <c r="G3048" s="21"/>
      <c r="H3048" s="21"/>
      <c r="I3048" s="21"/>
      <c r="J3048" s="21"/>
      <c r="K3048" s="21"/>
      <c r="L3048" s="21"/>
      <c r="M3048" s="21"/>
      <c r="N3048" s="21"/>
      <c r="O3048" s="21"/>
      <c r="P3048" s="21"/>
      <c r="Q3048" s="21"/>
      <c r="R3048" s="21"/>
    </row>
    <row r="3049" spans="1:18" x14ac:dyDescent="0.35">
      <c r="B3049" s="17"/>
      <c r="C3049" s="18"/>
      <c r="D3049" s="21"/>
      <c r="E3049" s="21"/>
      <c r="F3049" s="21"/>
      <c r="G3049" s="21"/>
      <c r="H3049" s="21"/>
      <c r="I3049" s="21"/>
      <c r="J3049" s="21"/>
      <c r="K3049" s="21"/>
      <c r="L3049" s="21"/>
      <c r="M3049" s="21"/>
      <c r="N3049" s="21"/>
      <c r="O3049" s="21"/>
      <c r="P3049" s="21"/>
      <c r="Q3049" s="21"/>
      <c r="R3049" s="21"/>
    </row>
    <row r="3050" spans="1:18" x14ac:dyDescent="0.35">
      <c r="B3050" s="17"/>
      <c r="C3050" s="18"/>
      <c r="D3050" s="21"/>
      <c r="E3050" s="21"/>
      <c r="F3050" s="21"/>
      <c r="G3050" s="21"/>
      <c r="H3050" s="21"/>
      <c r="I3050" s="21"/>
      <c r="J3050" s="21"/>
      <c r="K3050" s="21"/>
      <c r="L3050" s="21"/>
      <c r="M3050" s="21"/>
      <c r="N3050" s="21"/>
      <c r="O3050" s="21"/>
      <c r="P3050" s="21"/>
      <c r="Q3050" s="21"/>
      <c r="R3050" s="21"/>
    </row>
    <row r="3051" spans="1:18" x14ac:dyDescent="0.35">
      <c r="B3051" s="17"/>
      <c r="C3051" s="19"/>
      <c r="D3051" s="21"/>
      <c r="E3051" s="21"/>
      <c r="F3051" s="21"/>
      <c r="G3051" s="21"/>
      <c r="H3051" s="21"/>
      <c r="I3051" s="21"/>
      <c r="J3051" s="21"/>
      <c r="K3051" s="21"/>
      <c r="L3051" s="21"/>
      <c r="M3051" s="21"/>
      <c r="N3051" s="21"/>
      <c r="O3051" s="21"/>
      <c r="P3051" s="21"/>
      <c r="Q3051" s="21"/>
      <c r="R3051" s="21"/>
    </row>
    <row r="3052" spans="1:18" x14ac:dyDescent="0.35">
      <c r="B3052" s="17"/>
      <c r="C3052" s="19"/>
      <c r="D3052" s="21"/>
      <c r="E3052" s="21"/>
      <c r="F3052" s="21"/>
      <c r="G3052" s="21"/>
      <c r="H3052" s="21"/>
      <c r="I3052" s="21"/>
      <c r="J3052" s="21"/>
      <c r="K3052" s="21"/>
      <c r="L3052" s="21"/>
      <c r="M3052" s="21"/>
      <c r="N3052" s="21"/>
      <c r="O3052" s="21"/>
      <c r="P3052" s="21"/>
      <c r="Q3052" s="21"/>
      <c r="R3052" s="21"/>
    </row>
    <row r="3053" spans="1:18" x14ac:dyDescent="0.35">
      <c r="B3053" s="17"/>
      <c r="C3053" s="19"/>
      <c r="D3053" s="21"/>
      <c r="E3053" s="21"/>
      <c r="F3053" s="21"/>
      <c r="G3053" s="21"/>
      <c r="H3053" s="21"/>
      <c r="I3053" s="21"/>
      <c r="J3053" s="21"/>
      <c r="K3053" s="21"/>
      <c r="L3053" s="21"/>
      <c r="M3053" s="21"/>
      <c r="N3053" s="21"/>
      <c r="O3053" s="21"/>
      <c r="P3053" s="21"/>
      <c r="Q3053" s="21"/>
      <c r="R3053" s="21"/>
    </row>
    <row r="3054" spans="1:18" x14ac:dyDescent="0.35">
      <c r="B3054" s="17"/>
      <c r="C3054" s="19"/>
      <c r="D3054" s="21"/>
      <c r="E3054" s="21"/>
      <c r="F3054" s="21"/>
      <c r="G3054" s="21"/>
      <c r="H3054" s="21"/>
      <c r="I3054" s="21"/>
      <c r="J3054" s="21"/>
      <c r="K3054" s="21"/>
      <c r="L3054" s="21"/>
      <c r="M3054" s="21"/>
      <c r="N3054" s="21"/>
      <c r="O3054" s="21"/>
      <c r="P3054" s="21"/>
      <c r="Q3054" s="21"/>
      <c r="R3054" s="21"/>
    </row>
    <row r="3055" spans="1:18" x14ac:dyDescent="0.35">
      <c r="B3055" s="17"/>
      <c r="C3055" s="13"/>
      <c r="D3055" s="14"/>
      <c r="E3055" s="14"/>
      <c r="F3055" s="14"/>
      <c r="G3055" s="14"/>
      <c r="H3055" s="14"/>
      <c r="I3055" s="14"/>
      <c r="J3055" s="14"/>
      <c r="K3055" s="14"/>
      <c r="L3055" s="14"/>
      <c r="M3055" s="14"/>
      <c r="N3055" s="14"/>
      <c r="O3055" s="14"/>
      <c r="P3055" s="14"/>
      <c r="Q3055" s="14"/>
      <c r="R3055" s="14"/>
    </row>
    <row r="3056" spans="1:18" x14ac:dyDescent="0.35">
      <c r="B3056" s="17"/>
      <c r="C3056" s="13"/>
      <c r="D3056" s="14"/>
      <c r="E3056" s="14"/>
      <c r="F3056" s="14"/>
      <c r="G3056" s="14"/>
      <c r="H3056" s="14"/>
      <c r="I3056" s="14"/>
      <c r="J3056" s="14"/>
      <c r="K3056" s="14"/>
      <c r="L3056" s="14"/>
      <c r="M3056" s="14"/>
      <c r="N3056" s="14"/>
      <c r="O3056" s="14"/>
      <c r="P3056" s="14"/>
      <c r="Q3056" s="14"/>
      <c r="R3056" s="14"/>
    </row>
    <row r="3057" spans="2:18" x14ac:dyDescent="0.35">
      <c r="B3057" s="17"/>
      <c r="C3057" s="13"/>
      <c r="D3057" s="14"/>
      <c r="E3057" s="14"/>
      <c r="F3057" s="14"/>
      <c r="G3057" s="14"/>
      <c r="H3057" s="14"/>
      <c r="I3057" s="14"/>
      <c r="J3057" s="14"/>
      <c r="K3057" s="14"/>
      <c r="L3057" s="14"/>
      <c r="M3057" s="14"/>
      <c r="N3057" s="14"/>
      <c r="O3057" s="14"/>
      <c r="P3057" s="14"/>
      <c r="Q3057" s="14"/>
      <c r="R3057" s="14"/>
    </row>
    <row r="3058" spans="2:18" x14ac:dyDescent="0.35">
      <c r="B3058" s="17"/>
      <c r="C3058" s="13"/>
      <c r="D3058" s="14"/>
      <c r="E3058" s="14"/>
      <c r="F3058" s="14"/>
      <c r="G3058" s="14"/>
      <c r="H3058" s="14"/>
      <c r="I3058" s="14"/>
      <c r="J3058" s="14"/>
      <c r="K3058" s="14"/>
      <c r="L3058" s="14"/>
      <c r="M3058" s="14"/>
      <c r="N3058" s="14"/>
      <c r="O3058" s="14"/>
      <c r="P3058" s="14"/>
      <c r="Q3058" s="14"/>
      <c r="R3058" s="14"/>
    </row>
    <row r="3059" spans="2:18" x14ac:dyDescent="0.35">
      <c r="B3059" s="17"/>
      <c r="C3059" s="13"/>
      <c r="D3059" s="14"/>
      <c r="E3059" s="14"/>
      <c r="F3059" s="14"/>
      <c r="G3059" s="14"/>
      <c r="H3059" s="14"/>
      <c r="I3059" s="14"/>
      <c r="J3059" s="14"/>
      <c r="K3059" s="14"/>
      <c r="L3059" s="14"/>
      <c r="M3059" s="14"/>
      <c r="N3059" s="14"/>
      <c r="O3059" s="14"/>
      <c r="P3059" s="14"/>
      <c r="Q3059" s="14"/>
      <c r="R3059" s="14"/>
    </row>
    <row r="3060" spans="2:18" x14ac:dyDescent="0.35">
      <c r="B3060" s="17"/>
      <c r="C3060" s="13"/>
      <c r="D3060" s="14"/>
      <c r="E3060" s="14"/>
      <c r="F3060" s="14"/>
      <c r="G3060" s="14"/>
      <c r="H3060" s="14"/>
      <c r="I3060" s="14"/>
      <c r="J3060" s="14"/>
      <c r="K3060" s="14"/>
      <c r="L3060" s="14"/>
      <c r="M3060" s="14"/>
      <c r="N3060" s="14"/>
      <c r="O3060" s="14"/>
      <c r="P3060" s="14"/>
      <c r="Q3060" s="14"/>
      <c r="R3060" s="14"/>
    </row>
    <row r="3061" spans="2:18" x14ac:dyDescent="0.35">
      <c r="B3061" s="17"/>
      <c r="C3061" s="13"/>
      <c r="D3061" s="14"/>
      <c r="E3061" s="14"/>
      <c r="F3061" s="14"/>
      <c r="G3061" s="14"/>
      <c r="H3061" s="14"/>
      <c r="I3061" s="14"/>
      <c r="J3061" s="14"/>
      <c r="K3061" s="14"/>
      <c r="L3061" s="14"/>
      <c r="M3061" s="14"/>
      <c r="N3061" s="14"/>
      <c r="O3061" s="14"/>
      <c r="P3061" s="14"/>
      <c r="Q3061" s="14"/>
      <c r="R3061" s="14"/>
    </row>
    <row r="3062" spans="2:18" x14ac:dyDescent="0.35">
      <c r="B3062" s="17"/>
      <c r="C3062" s="13"/>
      <c r="D3062" s="14"/>
      <c r="E3062" s="14"/>
      <c r="F3062" s="14"/>
      <c r="G3062" s="14"/>
      <c r="H3062" s="14"/>
      <c r="I3062" s="14"/>
      <c r="J3062" s="14"/>
      <c r="K3062" s="14"/>
      <c r="L3062" s="14"/>
      <c r="M3062" s="14"/>
      <c r="N3062" s="14"/>
      <c r="O3062" s="14"/>
      <c r="P3062" s="14"/>
      <c r="Q3062" s="14"/>
      <c r="R3062" s="14"/>
    </row>
    <row r="3063" spans="2:18" x14ac:dyDescent="0.35">
      <c r="B3063" s="17"/>
      <c r="C3063" s="13"/>
      <c r="D3063" s="14"/>
      <c r="E3063" s="14"/>
      <c r="F3063" s="14"/>
      <c r="G3063" s="14"/>
      <c r="H3063" s="14"/>
      <c r="I3063" s="14"/>
      <c r="J3063" s="14"/>
      <c r="K3063" s="14"/>
      <c r="L3063" s="14"/>
      <c r="M3063" s="14"/>
      <c r="N3063" s="14"/>
      <c r="O3063" s="14"/>
      <c r="P3063" s="14"/>
      <c r="Q3063" s="14"/>
      <c r="R3063" s="14"/>
    </row>
    <row r="3064" spans="2:18" x14ac:dyDescent="0.35">
      <c r="B3064" s="17"/>
      <c r="C3064" s="13"/>
      <c r="D3064" s="14"/>
      <c r="E3064" s="14"/>
      <c r="F3064" s="14"/>
      <c r="G3064" s="14"/>
      <c r="H3064" s="14"/>
      <c r="I3064" s="14"/>
      <c r="J3064" s="14"/>
      <c r="K3064" s="14"/>
      <c r="L3064" s="14"/>
      <c r="M3064" s="14"/>
      <c r="N3064" s="14"/>
      <c r="O3064" s="14"/>
      <c r="P3064" s="14"/>
      <c r="Q3064" s="14"/>
      <c r="R3064" s="14"/>
    </row>
    <row r="3065" spans="2:18" x14ac:dyDescent="0.35">
      <c r="B3065" s="17"/>
      <c r="C3065" s="13"/>
      <c r="D3065" s="14"/>
      <c r="E3065" s="14"/>
      <c r="F3065" s="14"/>
      <c r="G3065" s="14"/>
      <c r="H3065" s="14"/>
      <c r="I3065" s="14"/>
      <c r="J3065" s="14"/>
      <c r="K3065" s="14"/>
      <c r="L3065" s="14"/>
      <c r="M3065" s="14"/>
      <c r="N3065" s="14"/>
      <c r="O3065" s="14"/>
      <c r="P3065" s="14"/>
      <c r="Q3065" s="14"/>
      <c r="R3065" s="14"/>
    </row>
    <row r="3066" spans="2:18" x14ac:dyDescent="0.35">
      <c r="B3066" s="17"/>
      <c r="C3066" s="13"/>
      <c r="D3066" s="14"/>
      <c r="E3066" s="14"/>
      <c r="F3066" s="14"/>
      <c r="G3066" s="14"/>
      <c r="H3066" s="14"/>
      <c r="I3066" s="14"/>
      <c r="J3066" s="14"/>
      <c r="K3066" s="14"/>
      <c r="L3066" s="14"/>
      <c r="M3066" s="14"/>
      <c r="N3066" s="14"/>
      <c r="O3066" s="14"/>
      <c r="P3066" s="14"/>
      <c r="Q3066" s="14"/>
      <c r="R3066" s="14"/>
    </row>
    <row r="3067" spans="2:18" x14ac:dyDescent="0.35">
      <c r="B3067" s="17"/>
      <c r="C3067" s="13"/>
      <c r="D3067" s="14"/>
      <c r="E3067" s="14"/>
      <c r="F3067" s="14"/>
      <c r="G3067" s="14"/>
      <c r="H3067" s="14"/>
      <c r="I3067" s="14"/>
      <c r="J3067" s="14"/>
      <c r="K3067" s="14"/>
      <c r="L3067" s="14"/>
      <c r="M3067" s="14"/>
      <c r="N3067" s="14"/>
      <c r="O3067" s="14"/>
      <c r="P3067" s="14"/>
      <c r="Q3067" s="14"/>
      <c r="R3067" s="14"/>
    </row>
    <row r="3068" spans="2:18" x14ac:dyDescent="0.35">
      <c r="B3068" s="17"/>
      <c r="C3068" s="13"/>
      <c r="D3068" s="14"/>
      <c r="E3068" s="14"/>
      <c r="F3068" s="14"/>
      <c r="G3068" s="14"/>
      <c r="H3068" s="14"/>
      <c r="I3068" s="14"/>
      <c r="J3068" s="14"/>
      <c r="K3068" s="14"/>
      <c r="L3068" s="14"/>
      <c r="M3068" s="14"/>
      <c r="N3068" s="14"/>
      <c r="O3068" s="14"/>
      <c r="P3068" s="14"/>
      <c r="Q3068" s="14"/>
      <c r="R3068" s="14"/>
    </row>
    <row r="3069" spans="2:18" x14ac:dyDescent="0.35">
      <c r="B3069" s="17"/>
      <c r="C3069" s="13"/>
      <c r="D3069" s="14"/>
      <c r="E3069" s="14"/>
      <c r="F3069" s="14"/>
      <c r="G3069" s="14"/>
      <c r="H3069" s="14"/>
      <c r="I3069" s="14"/>
      <c r="J3069" s="14"/>
      <c r="K3069" s="14"/>
      <c r="L3069" s="14"/>
      <c r="M3069" s="14"/>
      <c r="N3069" s="14"/>
      <c r="O3069" s="14"/>
      <c r="P3069" s="14"/>
      <c r="Q3069" s="14"/>
      <c r="R3069" s="14"/>
    </row>
    <row r="3070" spans="2:18" x14ac:dyDescent="0.35">
      <c r="B3070" s="17"/>
      <c r="C3070" s="18"/>
      <c r="D3070" s="21"/>
      <c r="E3070" s="21"/>
      <c r="F3070" s="21"/>
      <c r="G3070" s="21"/>
      <c r="H3070" s="21"/>
      <c r="I3070" s="21"/>
      <c r="J3070" s="21"/>
      <c r="K3070" s="21"/>
      <c r="L3070" s="21"/>
      <c r="M3070" s="21"/>
      <c r="N3070" s="21"/>
      <c r="O3070" s="21"/>
      <c r="P3070" s="21"/>
      <c r="Q3070" s="21"/>
      <c r="R3070" s="21"/>
    </row>
    <row r="3071" spans="2:18" x14ac:dyDescent="0.35">
      <c r="B3071" s="17"/>
      <c r="C3071" s="18"/>
      <c r="D3071" s="21"/>
      <c r="E3071" s="21"/>
      <c r="F3071" s="21"/>
      <c r="G3071" s="21"/>
      <c r="H3071" s="21"/>
      <c r="I3071" s="21"/>
      <c r="J3071" s="21"/>
      <c r="K3071" s="21"/>
      <c r="L3071" s="21"/>
      <c r="M3071" s="21"/>
      <c r="N3071" s="21"/>
      <c r="O3071" s="21"/>
      <c r="P3071" s="21"/>
      <c r="Q3071" s="21"/>
      <c r="R3071" s="21"/>
    </row>
    <row r="3072" spans="2:18" x14ac:dyDescent="0.35">
      <c r="B3072" s="17"/>
      <c r="C3072" s="18"/>
      <c r="D3072" s="21"/>
      <c r="E3072" s="21"/>
      <c r="F3072" s="21"/>
      <c r="G3072" s="21"/>
      <c r="H3072" s="21"/>
      <c r="I3072" s="21"/>
      <c r="J3072" s="21"/>
      <c r="K3072" s="21"/>
      <c r="L3072" s="21"/>
      <c r="M3072" s="21"/>
      <c r="N3072" s="21"/>
      <c r="O3072" s="21"/>
      <c r="P3072" s="21"/>
      <c r="Q3072" s="21"/>
      <c r="R3072" s="21"/>
    </row>
    <row r="3073" spans="2:18" x14ac:dyDescent="0.35">
      <c r="B3073" s="17"/>
      <c r="C3073" s="18"/>
      <c r="D3073" s="21"/>
      <c r="E3073" s="21"/>
      <c r="F3073" s="21"/>
      <c r="G3073" s="21"/>
      <c r="H3073" s="21"/>
      <c r="I3073" s="21"/>
      <c r="J3073" s="21"/>
      <c r="K3073" s="21"/>
      <c r="L3073" s="21"/>
      <c r="M3073" s="21"/>
      <c r="N3073" s="21"/>
      <c r="O3073" s="21"/>
      <c r="P3073" s="21"/>
      <c r="Q3073" s="21"/>
      <c r="R3073" s="21"/>
    </row>
    <row r="3074" spans="2:18" x14ac:dyDescent="0.35">
      <c r="B3074" s="17"/>
      <c r="C3074" s="18"/>
      <c r="D3074" s="21"/>
      <c r="E3074" s="21"/>
      <c r="F3074" s="21"/>
      <c r="G3074" s="21"/>
      <c r="H3074" s="21"/>
      <c r="I3074" s="21"/>
      <c r="J3074" s="21"/>
      <c r="K3074" s="21"/>
      <c r="L3074" s="21"/>
      <c r="M3074" s="21"/>
      <c r="N3074" s="21"/>
      <c r="O3074" s="21"/>
      <c r="P3074" s="21"/>
      <c r="Q3074" s="21"/>
      <c r="R3074" s="21"/>
    </row>
    <row r="3075" spans="2:18" x14ac:dyDescent="0.35">
      <c r="B3075" s="17"/>
      <c r="C3075" s="18"/>
      <c r="D3075" s="21"/>
      <c r="E3075" s="21"/>
      <c r="F3075" s="21"/>
      <c r="G3075" s="21"/>
      <c r="H3075" s="21"/>
      <c r="I3075" s="21"/>
      <c r="J3075" s="21"/>
      <c r="K3075" s="21"/>
      <c r="L3075" s="21"/>
      <c r="M3075" s="21"/>
      <c r="N3075" s="21"/>
      <c r="O3075" s="21"/>
      <c r="P3075" s="21"/>
      <c r="Q3075" s="21"/>
      <c r="R3075" s="21"/>
    </row>
    <row r="3076" spans="2:18" x14ac:dyDescent="0.35">
      <c r="B3076" s="17"/>
      <c r="C3076" s="18"/>
      <c r="D3076" s="21"/>
      <c r="E3076" s="21"/>
      <c r="F3076" s="21"/>
      <c r="G3076" s="21"/>
      <c r="H3076" s="21"/>
      <c r="I3076" s="21"/>
      <c r="J3076" s="21"/>
      <c r="K3076" s="21"/>
      <c r="L3076" s="21"/>
      <c r="M3076" s="21"/>
      <c r="N3076" s="21"/>
      <c r="O3076" s="21"/>
      <c r="P3076" s="21"/>
      <c r="Q3076" s="21"/>
      <c r="R3076" s="21"/>
    </row>
    <row r="3077" spans="2:18" x14ac:dyDescent="0.35">
      <c r="B3077" s="17"/>
      <c r="C3077" s="18"/>
      <c r="D3077" s="21"/>
      <c r="E3077" s="21"/>
      <c r="F3077" s="21"/>
      <c r="G3077" s="21"/>
      <c r="H3077" s="21"/>
      <c r="I3077" s="21"/>
      <c r="J3077" s="21"/>
      <c r="K3077" s="21"/>
      <c r="L3077" s="21"/>
      <c r="M3077" s="21"/>
      <c r="N3077" s="21"/>
      <c r="O3077" s="21"/>
      <c r="P3077" s="21"/>
      <c r="Q3077" s="21"/>
      <c r="R3077" s="21"/>
    </row>
    <row r="3078" spans="2:18" x14ac:dyDescent="0.35">
      <c r="B3078" s="17"/>
      <c r="C3078" s="18"/>
      <c r="D3078" s="21"/>
      <c r="E3078" s="21"/>
      <c r="F3078" s="21"/>
      <c r="G3078" s="21"/>
      <c r="H3078" s="21"/>
      <c r="I3078" s="21"/>
      <c r="J3078" s="21"/>
      <c r="K3078" s="21"/>
      <c r="L3078" s="21"/>
      <c r="M3078" s="21"/>
      <c r="N3078" s="21"/>
      <c r="O3078" s="21"/>
      <c r="P3078" s="21"/>
      <c r="Q3078" s="21"/>
      <c r="R3078" s="21"/>
    </row>
    <row r="3079" spans="2:18" x14ac:dyDescent="0.35">
      <c r="B3079" s="17"/>
      <c r="C3079" s="18"/>
      <c r="D3079" s="21"/>
      <c r="E3079" s="21"/>
      <c r="F3079" s="21"/>
      <c r="G3079" s="21"/>
      <c r="H3079" s="21"/>
      <c r="I3079" s="21"/>
      <c r="J3079" s="21"/>
      <c r="K3079" s="21"/>
      <c r="L3079" s="21"/>
      <c r="M3079" s="21"/>
      <c r="N3079" s="21"/>
      <c r="O3079" s="21"/>
      <c r="P3079" s="21"/>
      <c r="Q3079" s="21"/>
      <c r="R3079" s="21"/>
    </row>
    <row r="3080" spans="2:18" x14ac:dyDescent="0.35">
      <c r="B3080" s="17"/>
      <c r="C3080" s="18"/>
      <c r="D3080" s="21"/>
      <c r="E3080" s="21"/>
      <c r="F3080" s="21"/>
      <c r="G3080" s="21"/>
      <c r="H3080" s="21"/>
      <c r="I3080" s="21"/>
      <c r="J3080" s="21"/>
      <c r="K3080" s="21"/>
      <c r="L3080" s="21"/>
      <c r="M3080" s="21"/>
      <c r="N3080" s="21"/>
      <c r="O3080" s="21"/>
      <c r="P3080" s="21"/>
      <c r="Q3080" s="21"/>
      <c r="R3080" s="21"/>
    </row>
    <row r="3081" spans="2:18" x14ac:dyDescent="0.35">
      <c r="B3081" s="17"/>
      <c r="C3081" s="18"/>
      <c r="D3081" s="21"/>
      <c r="E3081" s="21"/>
      <c r="F3081" s="21"/>
      <c r="G3081" s="21"/>
      <c r="H3081" s="21"/>
      <c r="I3081" s="21"/>
      <c r="J3081" s="21"/>
      <c r="K3081" s="21"/>
      <c r="L3081" s="21"/>
      <c r="M3081" s="21"/>
      <c r="N3081" s="21"/>
      <c r="O3081" s="21"/>
      <c r="P3081" s="21"/>
      <c r="Q3081" s="21"/>
      <c r="R3081" s="21"/>
    </row>
    <row r="3082" spans="2:18" x14ac:dyDescent="0.35">
      <c r="B3082" s="17"/>
      <c r="C3082" s="18"/>
      <c r="D3082" s="21"/>
      <c r="E3082" s="21"/>
      <c r="F3082" s="21"/>
      <c r="G3082" s="21"/>
      <c r="H3082" s="21"/>
      <c r="I3082" s="21"/>
      <c r="J3082" s="21"/>
      <c r="K3082" s="21"/>
      <c r="L3082" s="21"/>
      <c r="M3082" s="21"/>
      <c r="N3082" s="21"/>
      <c r="O3082" s="21"/>
      <c r="P3082" s="21"/>
      <c r="Q3082" s="21"/>
      <c r="R3082" s="21"/>
    </row>
    <row r="3083" spans="2:18" x14ac:dyDescent="0.35">
      <c r="B3083" s="17"/>
      <c r="C3083" s="18"/>
      <c r="D3083" s="21"/>
      <c r="E3083" s="21"/>
      <c r="F3083" s="21"/>
      <c r="G3083" s="21"/>
      <c r="H3083" s="21"/>
      <c r="I3083" s="21"/>
      <c r="J3083" s="21"/>
      <c r="K3083" s="21"/>
      <c r="L3083" s="21"/>
      <c r="M3083" s="21"/>
      <c r="N3083" s="21"/>
      <c r="O3083" s="21"/>
      <c r="P3083" s="21"/>
      <c r="Q3083" s="21"/>
      <c r="R3083" s="21"/>
    </row>
    <row r="3084" spans="2:18" x14ac:dyDescent="0.35">
      <c r="B3084" s="17"/>
      <c r="C3084" s="18"/>
      <c r="D3084" s="21"/>
      <c r="E3084" s="21"/>
      <c r="F3084" s="21"/>
      <c r="G3084" s="21"/>
      <c r="H3084" s="21"/>
      <c r="I3084" s="21"/>
      <c r="J3084" s="21"/>
      <c r="K3084" s="21"/>
      <c r="L3084" s="21"/>
      <c r="M3084" s="21"/>
      <c r="N3084" s="21"/>
      <c r="O3084" s="21"/>
      <c r="P3084" s="21"/>
      <c r="Q3084" s="21"/>
      <c r="R3084" s="21"/>
    </row>
    <row r="3085" spans="2:18" x14ac:dyDescent="0.35">
      <c r="B3085" s="17"/>
      <c r="C3085" s="18"/>
      <c r="D3085" s="21"/>
      <c r="E3085" s="21"/>
      <c r="F3085" s="21"/>
      <c r="G3085" s="21"/>
      <c r="H3085" s="21"/>
      <c r="I3085" s="21"/>
      <c r="J3085" s="21"/>
      <c r="K3085" s="21"/>
      <c r="L3085" s="21"/>
      <c r="M3085" s="21"/>
      <c r="N3085" s="21"/>
      <c r="O3085" s="21"/>
      <c r="P3085" s="21"/>
      <c r="Q3085" s="21"/>
      <c r="R3085" s="21"/>
    </row>
    <row r="3086" spans="2:18" x14ac:dyDescent="0.35">
      <c r="B3086" s="17"/>
      <c r="C3086" s="13"/>
      <c r="D3086" s="14"/>
      <c r="E3086" s="14"/>
      <c r="F3086" s="14"/>
      <c r="G3086" s="14"/>
      <c r="H3086" s="14"/>
      <c r="I3086" s="14"/>
      <c r="J3086" s="14"/>
      <c r="K3086" s="14"/>
      <c r="L3086" s="14"/>
      <c r="M3086" s="14"/>
      <c r="N3086" s="14"/>
      <c r="O3086" s="14"/>
      <c r="P3086" s="14"/>
      <c r="Q3086" s="14"/>
      <c r="R3086" s="14"/>
    </row>
    <row r="3087" spans="2:18" x14ac:dyDescent="0.35">
      <c r="B3087" s="17"/>
      <c r="C3087" s="13"/>
      <c r="D3087" s="14"/>
      <c r="E3087" s="14"/>
      <c r="F3087" s="14"/>
      <c r="G3087" s="14"/>
      <c r="H3087" s="14"/>
      <c r="I3087" s="14"/>
      <c r="J3087" s="14"/>
      <c r="K3087" s="14"/>
      <c r="L3087" s="14"/>
      <c r="M3087" s="14"/>
      <c r="N3087" s="14"/>
      <c r="O3087" s="14"/>
      <c r="P3087" s="14"/>
      <c r="Q3087" s="14"/>
      <c r="R3087" s="14"/>
    </row>
    <row r="3088" spans="2:18" x14ac:dyDescent="0.35">
      <c r="B3088" s="17"/>
      <c r="C3088" s="13"/>
      <c r="D3088" s="14"/>
      <c r="E3088" s="14"/>
      <c r="F3088" s="14"/>
      <c r="G3088" s="14"/>
      <c r="H3088" s="14"/>
      <c r="I3088" s="14"/>
      <c r="J3088" s="14"/>
      <c r="K3088" s="14"/>
      <c r="L3088" s="14"/>
      <c r="M3088" s="14"/>
      <c r="N3088" s="14"/>
      <c r="O3088" s="14"/>
      <c r="P3088" s="14"/>
      <c r="Q3088" s="14"/>
      <c r="R3088" s="14"/>
    </row>
    <row r="3089" spans="2:18" x14ac:dyDescent="0.35">
      <c r="B3089" s="17"/>
      <c r="C3089" s="13"/>
      <c r="D3089" s="14"/>
      <c r="E3089" s="14"/>
      <c r="F3089" s="14"/>
      <c r="G3089" s="14"/>
      <c r="H3089" s="14"/>
      <c r="I3089" s="14"/>
      <c r="J3089" s="14"/>
      <c r="K3089" s="14"/>
      <c r="L3089" s="14"/>
      <c r="M3089" s="14"/>
      <c r="N3089" s="14"/>
      <c r="O3089" s="14"/>
      <c r="P3089" s="14"/>
      <c r="Q3089" s="14"/>
      <c r="R3089" s="14"/>
    </row>
    <row r="3090" spans="2:18" x14ac:dyDescent="0.35">
      <c r="B3090" s="17"/>
      <c r="C3090" s="13"/>
      <c r="D3090" s="14"/>
      <c r="E3090" s="14"/>
      <c r="F3090" s="14"/>
      <c r="G3090" s="14"/>
      <c r="H3090" s="14"/>
      <c r="I3090" s="14"/>
      <c r="J3090" s="14"/>
      <c r="K3090" s="14"/>
      <c r="L3090" s="14"/>
      <c r="M3090" s="14"/>
      <c r="N3090" s="14"/>
      <c r="O3090" s="14"/>
      <c r="P3090" s="14"/>
      <c r="Q3090" s="14"/>
      <c r="R3090" s="14"/>
    </row>
    <row r="3091" spans="2:18" x14ac:dyDescent="0.35">
      <c r="B3091" s="17"/>
      <c r="C3091" s="13"/>
      <c r="D3091" s="14"/>
      <c r="E3091" s="14"/>
      <c r="F3091" s="14"/>
      <c r="G3091" s="14"/>
      <c r="H3091" s="14"/>
      <c r="I3091" s="14"/>
      <c r="J3091" s="14"/>
      <c r="K3091" s="14"/>
      <c r="L3091" s="14"/>
      <c r="M3091" s="14"/>
      <c r="N3091" s="14"/>
      <c r="O3091" s="14"/>
      <c r="P3091" s="14"/>
      <c r="Q3091" s="14"/>
      <c r="R3091" s="14"/>
    </row>
    <row r="3092" spans="2:18" x14ac:dyDescent="0.35">
      <c r="B3092" s="17"/>
      <c r="C3092" s="13"/>
      <c r="D3092" s="14"/>
      <c r="E3092" s="14"/>
      <c r="F3092" s="14"/>
      <c r="G3092" s="14"/>
      <c r="H3092" s="14"/>
      <c r="I3092" s="14"/>
      <c r="J3092" s="14"/>
      <c r="K3092" s="14"/>
      <c r="L3092" s="14"/>
      <c r="M3092" s="14"/>
      <c r="N3092" s="14"/>
      <c r="O3092" s="14"/>
      <c r="P3092" s="14"/>
      <c r="Q3092" s="14"/>
      <c r="R3092" s="14"/>
    </row>
    <row r="3093" spans="2:18" x14ac:dyDescent="0.35">
      <c r="B3093" s="17"/>
      <c r="C3093" s="18"/>
      <c r="D3093" s="21"/>
      <c r="E3093" s="21"/>
      <c r="F3093" s="21"/>
      <c r="G3093" s="21"/>
      <c r="H3093" s="21"/>
      <c r="I3093" s="21"/>
      <c r="J3093" s="21"/>
      <c r="K3093" s="21"/>
      <c r="L3093" s="21"/>
      <c r="M3093" s="21"/>
      <c r="N3093" s="21"/>
      <c r="O3093" s="21"/>
      <c r="P3093" s="21"/>
      <c r="Q3093" s="21"/>
      <c r="R3093" s="21"/>
    </row>
    <row r="3094" spans="2:18" x14ac:dyDescent="0.35">
      <c r="B3094" s="17"/>
      <c r="C3094" s="18"/>
      <c r="D3094" s="21"/>
      <c r="E3094" s="21"/>
      <c r="F3094" s="21"/>
      <c r="G3094" s="21"/>
      <c r="H3094" s="21"/>
      <c r="I3094" s="21"/>
      <c r="J3094" s="21"/>
      <c r="K3094" s="21"/>
      <c r="L3094" s="21"/>
      <c r="M3094" s="21"/>
      <c r="N3094" s="21"/>
      <c r="O3094" s="21"/>
      <c r="P3094" s="21"/>
      <c r="Q3094" s="21"/>
      <c r="R3094" s="21"/>
    </row>
    <row r="3095" spans="2:18" x14ac:dyDescent="0.35">
      <c r="B3095" s="17"/>
      <c r="C3095" s="18"/>
      <c r="D3095" s="21"/>
      <c r="E3095" s="21"/>
      <c r="F3095" s="21"/>
      <c r="G3095" s="21"/>
      <c r="H3095" s="21"/>
      <c r="I3095" s="21"/>
      <c r="J3095" s="21"/>
      <c r="K3095" s="21"/>
      <c r="L3095" s="21"/>
      <c r="M3095" s="21"/>
      <c r="N3095" s="21"/>
      <c r="O3095" s="21"/>
      <c r="P3095" s="21"/>
      <c r="Q3095" s="21"/>
      <c r="R3095" s="21"/>
    </row>
    <row r="3096" spans="2:18" x14ac:dyDescent="0.35">
      <c r="B3096" s="17"/>
      <c r="C3096" s="18"/>
      <c r="D3096" s="21"/>
      <c r="E3096" s="21"/>
      <c r="F3096" s="21"/>
      <c r="G3096" s="21"/>
      <c r="H3096" s="21"/>
      <c r="I3096" s="21"/>
      <c r="J3096" s="21"/>
      <c r="K3096" s="21"/>
      <c r="L3096" s="21"/>
      <c r="M3096" s="21"/>
      <c r="N3096" s="21"/>
      <c r="O3096" s="21"/>
      <c r="P3096" s="21"/>
      <c r="Q3096" s="21"/>
      <c r="R3096" s="21"/>
    </row>
    <row r="3097" spans="2:18" x14ac:dyDescent="0.35">
      <c r="B3097" s="17"/>
      <c r="C3097" s="18"/>
      <c r="D3097" s="21"/>
      <c r="E3097" s="21"/>
      <c r="F3097" s="21"/>
      <c r="G3097" s="21"/>
      <c r="H3097" s="21"/>
      <c r="I3097" s="21"/>
      <c r="J3097" s="21"/>
      <c r="K3097" s="21"/>
      <c r="L3097" s="21"/>
      <c r="M3097" s="21"/>
      <c r="N3097" s="21"/>
      <c r="O3097" s="21"/>
      <c r="P3097" s="21"/>
      <c r="Q3097" s="21"/>
      <c r="R3097" s="21"/>
    </row>
    <row r="3098" spans="2:18" x14ac:dyDescent="0.35">
      <c r="B3098" s="17"/>
      <c r="C3098" s="19"/>
      <c r="D3098" s="21"/>
      <c r="E3098" s="21"/>
      <c r="F3098" s="21"/>
      <c r="G3098" s="21"/>
      <c r="H3098" s="21"/>
      <c r="I3098" s="21"/>
      <c r="J3098" s="21"/>
      <c r="K3098" s="21"/>
      <c r="L3098" s="21"/>
      <c r="M3098" s="21"/>
      <c r="N3098" s="21"/>
      <c r="O3098" s="21"/>
      <c r="P3098" s="21"/>
      <c r="Q3098" s="21"/>
      <c r="R3098" s="21"/>
    </row>
    <row r="3099" spans="2:18" x14ac:dyDescent="0.35">
      <c r="B3099" s="17"/>
      <c r="C3099" s="19"/>
      <c r="D3099" s="21"/>
      <c r="E3099" s="21"/>
      <c r="F3099" s="21"/>
      <c r="G3099" s="21"/>
      <c r="H3099" s="21"/>
      <c r="I3099" s="21"/>
      <c r="J3099" s="21"/>
      <c r="K3099" s="21"/>
      <c r="L3099" s="21"/>
      <c r="M3099" s="21"/>
      <c r="N3099" s="21"/>
      <c r="O3099" s="21"/>
      <c r="P3099" s="21"/>
      <c r="Q3099" s="21"/>
      <c r="R3099" s="21"/>
    </row>
    <row r="3100" spans="2:18" x14ac:dyDescent="0.35">
      <c r="B3100" s="17"/>
      <c r="C3100" s="19"/>
      <c r="D3100" s="21"/>
      <c r="E3100" s="21"/>
      <c r="F3100" s="21"/>
      <c r="G3100" s="21"/>
      <c r="H3100" s="21"/>
      <c r="I3100" s="21"/>
      <c r="J3100" s="21"/>
      <c r="K3100" s="21"/>
      <c r="L3100" s="21"/>
      <c r="M3100" s="21"/>
      <c r="N3100" s="21"/>
      <c r="O3100" s="21"/>
      <c r="P3100" s="21"/>
      <c r="Q3100" s="21"/>
      <c r="R3100" s="21"/>
    </row>
    <row r="3101" spans="2:18" x14ac:dyDescent="0.35">
      <c r="B3101" s="17"/>
      <c r="C3101" s="19"/>
      <c r="D3101" s="21"/>
      <c r="E3101" s="21"/>
      <c r="F3101" s="21"/>
      <c r="G3101" s="21"/>
      <c r="H3101" s="21"/>
      <c r="I3101" s="21"/>
      <c r="J3101" s="21"/>
      <c r="K3101" s="21"/>
      <c r="L3101" s="21"/>
      <c r="M3101" s="21"/>
      <c r="N3101" s="21"/>
      <c r="O3101" s="21"/>
      <c r="P3101" s="21"/>
      <c r="Q3101" s="21"/>
      <c r="R3101" s="21"/>
    </row>
    <row r="3102" spans="2:18" x14ac:dyDescent="0.35">
      <c r="B3102" s="17"/>
      <c r="C3102" s="13"/>
      <c r="D3102" s="14"/>
      <c r="E3102" s="14"/>
      <c r="F3102" s="14"/>
      <c r="G3102" s="14"/>
      <c r="H3102" s="14"/>
      <c r="I3102" s="14"/>
      <c r="J3102" s="14"/>
      <c r="K3102" s="14"/>
      <c r="L3102" s="14"/>
      <c r="M3102" s="14"/>
      <c r="N3102" s="14"/>
      <c r="O3102" s="14"/>
      <c r="P3102" s="14"/>
      <c r="Q3102" s="14"/>
      <c r="R3102" s="14"/>
    </row>
    <row r="3103" spans="2:18" x14ac:dyDescent="0.35">
      <c r="B3103" s="17"/>
      <c r="C3103" s="13"/>
      <c r="D3103" s="14"/>
      <c r="E3103" s="14"/>
      <c r="F3103" s="14"/>
      <c r="G3103" s="14"/>
      <c r="H3103" s="14"/>
      <c r="I3103" s="14"/>
      <c r="J3103" s="14"/>
      <c r="K3103" s="14"/>
      <c r="L3103" s="14"/>
      <c r="M3103" s="14"/>
      <c r="N3103" s="14"/>
      <c r="O3103" s="14"/>
      <c r="P3103" s="14"/>
      <c r="Q3103" s="14"/>
      <c r="R3103" s="14"/>
    </row>
    <row r="3104" spans="2:18" x14ac:dyDescent="0.35">
      <c r="B3104" s="17"/>
      <c r="C3104" s="13"/>
      <c r="D3104" s="14"/>
      <c r="E3104" s="14"/>
      <c r="F3104" s="14"/>
      <c r="G3104" s="14"/>
      <c r="H3104" s="14"/>
      <c r="I3104" s="14"/>
      <c r="J3104" s="14"/>
      <c r="K3104" s="14"/>
      <c r="L3104" s="14"/>
      <c r="M3104" s="14"/>
      <c r="N3104" s="14"/>
      <c r="O3104" s="14"/>
      <c r="P3104" s="14"/>
      <c r="Q3104" s="14"/>
      <c r="R3104" s="14"/>
    </row>
    <row r="3105" spans="2:18" x14ac:dyDescent="0.35">
      <c r="B3105" s="17"/>
      <c r="C3105" s="13"/>
      <c r="D3105" s="14"/>
      <c r="E3105" s="14"/>
      <c r="F3105" s="14"/>
      <c r="G3105" s="14"/>
      <c r="H3105" s="14"/>
      <c r="I3105" s="14"/>
      <c r="J3105" s="14"/>
      <c r="K3105" s="14"/>
      <c r="L3105" s="14"/>
      <c r="M3105" s="14"/>
      <c r="N3105" s="14"/>
      <c r="O3105" s="14"/>
      <c r="P3105" s="14"/>
      <c r="Q3105" s="14"/>
      <c r="R3105" s="14"/>
    </row>
    <row r="3106" spans="2:18" x14ac:dyDescent="0.35">
      <c r="B3106" s="17"/>
      <c r="C3106" s="13"/>
      <c r="D3106" s="14"/>
      <c r="E3106" s="14"/>
      <c r="F3106" s="14"/>
      <c r="G3106" s="14"/>
      <c r="H3106" s="14"/>
      <c r="I3106" s="14"/>
      <c r="J3106" s="14"/>
      <c r="K3106" s="14"/>
      <c r="L3106" s="14"/>
      <c r="M3106" s="14"/>
      <c r="N3106" s="14"/>
      <c r="O3106" s="14"/>
      <c r="P3106" s="14"/>
      <c r="Q3106" s="14"/>
      <c r="R3106" s="14"/>
    </row>
    <row r="3107" spans="2:18" x14ac:dyDescent="0.35">
      <c r="B3107" s="17"/>
      <c r="C3107" s="13"/>
      <c r="D3107" s="14"/>
      <c r="E3107" s="14"/>
      <c r="F3107" s="14"/>
      <c r="G3107" s="14"/>
      <c r="H3107" s="14"/>
      <c r="I3107" s="14"/>
      <c r="J3107" s="14"/>
      <c r="K3107" s="14"/>
      <c r="L3107" s="14"/>
      <c r="M3107" s="14"/>
      <c r="N3107" s="14"/>
      <c r="O3107" s="14"/>
      <c r="P3107" s="14"/>
      <c r="Q3107" s="14"/>
      <c r="R3107" s="14"/>
    </row>
    <row r="3108" spans="2:18" x14ac:dyDescent="0.35">
      <c r="B3108" s="17"/>
      <c r="C3108" s="13"/>
      <c r="D3108" s="14"/>
      <c r="E3108" s="14"/>
      <c r="F3108" s="14"/>
      <c r="G3108" s="14"/>
      <c r="H3108" s="14"/>
      <c r="I3108" s="14"/>
      <c r="J3108" s="14"/>
      <c r="K3108" s="14"/>
      <c r="L3108" s="14"/>
      <c r="M3108" s="14"/>
      <c r="N3108" s="14"/>
      <c r="O3108" s="14"/>
      <c r="P3108" s="14"/>
      <c r="Q3108" s="14"/>
      <c r="R3108" s="14"/>
    </row>
    <row r="3109" spans="2:18" x14ac:dyDescent="0.35">
      <c r="B3109" s="17"/>
      <c r="C3109" s="13"/>
      <c r="D3109" s="14"/>
      <c r="E3109" s="14"/>
      <c r="F3109" s="14"/>
      <c r="G3109" s="14"/>
      <c r="H3109" s="14"/>
      <c r="I3109" s="14"/>
      <c r="J3109" s="14"/>
      <c r="K3109" s="14"/>
      <c r="L3109" s="14"/>
      <c r="M3109" s="14"/>
      <c r="N3109" s="14"/>
      <c r="O3109" s="14"/>
      <c r="P3109" s="14"/>
      <c r="Q3109" s="14"/>
      <c r="R3109" s="14"/>
    </row>
    <row r="3110" spans="2:18" x14ac:dyDescent="0.35">
      <c r="B3110" s="17"/>
      <c r="C3110" s="13"/>
      <c r="D3110" s="14"/>
      <c r="E3110" s="14"/>
      <c r="F3110" s="14"/>
      <c r="G3110" s="14"/>
      <c r="H3110" s="14"/>
      <c r="I3110" s="14"/>
      <c r="J3110" s="14"/>
      <c r="K3110" s="14"/>
      <c r="L3110" s="14"/>
      <c r="M3110" s="14"/>
      <c r="N3110" s="14"/>
      <c r="O3110" s="14"/>
      <c r="P3110" s="14"/>
      <c r="Q3110" s="14"/>
      <c r="R3110" s="14"/>
    </row>
    <row r="3111" spans="2:18" x14ac:dyDescent="0.35">
      <c r="B3111" s="17"/>
      <c r="C3111" s="13"/>
      <c r="D3111" s="14"/>
      <c r="E3111" s="14"/>
      <c r="F3111" s="14"/>
      <c r="G3111" s="14"/>
      <c r="H3111" s="14"/>
      <c r="I3111" s="14"/>
      <c r="J3111" s="14"/>
      <c r="K3111" s="14"/>
      <c r="L3111" s="14"/>
      <c r="M3111" s="14"/>
      <c r="N3111" s="14"/>
      <c r="O3111" s="14"/>
      <c r="P3111" s="14"/>
      <c r="Q3111" s="14"/>
      <c r="R3111" s="14"/>
    </row>
    <row r="3112" spans="2:18" x14ac:dyDescent="0.35">
      <c r="B3112" s="17"/>
      <c r="C3112" s="13"/>
      <c r="D3112" s="14"/>
      <c r="E3112" s="14"/>
      <c r="F3112" s="14"/>
      <c r="G3112" s="14"/>
      <c r="H3112" s="14"/>
      <c r="I3112" s="14"/>
      <c r="J3112" s="14"/>
      <c r="K3112" s="14"/>
      <c r="L3112" s="14"/>
      <c r="M3112" s="14"/>
      <c r="N3112" s="14"/>
      <c r="O3112" s="14"/>
      <c r="P3112" s="14"/>
      <c r="Q3112" s="14"/>
      <c r="R3112" s="14"/>
    </row>
    <row r="3113" spans="2:18" x14ac:dyDescent="0.35">
      <c r="B3113" s="17"/>
      <c r="C3113" s="13"/>
      <c r="D3113" s="14"/>
      <c r="E3113" s="14"/>
      <c r="F3113" s="14"/>
      <c r="G3113" s="14"/>
      <c r="H3113" s="14"/>
      <c r="I3113" s="14"/>
      <c r="J3113" s="14"/>
      <c r="K3113" s="14"/>
      <c r="L3113" s="14"/>
      <c r="M3113" s="14"/>
      <c r="N3113" s="14"/>
      <c r="O3113" s="14"/>
      <c r="P3113" s="14"/>
      <c r="Q3113" s="14"/>
      <c r="R3113" s="14"/>
    </row>
    <row r="3114" spans="2:18" x14ac:dyDescent="0.35">
      <c r="B3114" s="17"/>
      <c r="C3114" s="13"/>
      <c r="D3114" s="14"/>
      <c r="E3114" s="14"/>
      <c r="F3114" s="14"/>
      <c r="G3114" s="14"/>
      <c r="H3114" s="14"/>
      <c r="I3114" s="14"/>
      <c r="J3114" s="14"/>
      <c r="K3114" s="14"/>
      <c r="L3114" s="14"/>
      <c r="M3114" s="14"/>
      <c r="N3114" s="14"/>
      <c r="O3114" s="14"/>
      <c r="P3114" s="14"/>
      <c r="Q3114" s="14"/>
      <c r="R3114" s="14"/>
    </row>
    <row r="3115" spans="2:18" x14ac:dyDescent="0.35">
      <c r="B3115" s="17"/>
      <c r="C3115" s="13"/>
      <c r="D3115" s="14"/>
      <c r="E3115" s="14"/>
      <c r="F3115" s="14"/>
      <c r="G3115" s="14"/>
      <c r="H3115" s="14"/>
      <c r="I3115" s="14"/>
      <c r="J3115" s="14"/>
      <c r="K3115" s="14"/>
      <c r="L3115" s="14"/>
      <c r="M3115" s="14"/>
      <c r="N3115" s="14"/>
      <c r="O3115" s="14"/>
      <c r="P3115" s="14"/>
      <c r="Q3115" s="14"/>
      <c r="R3115" s="14"/>
    </row>
    <row r="3116" spans="2:18" x14ac:dyDescent="0.35">
      <c r="B3116" s="17"/>
      <c r="C3116" s="13"/>
      <c r="D3116" s="14"/>
      <c r="E3116" s="14"/>
      <c r="F3116" s="14"/>
      <c r="G3116" s="14"/>
      <c r="H3116" s="14"/>
      <c r="I3116" s="14"/>
      <c r="J3116" s="14"/>
      <c r="K3116" s="14"/>
      <c r="L3116" s="14"/>
      <c r="M3116" s="14"/>
      <c r="N3116" s="14"/>
      <c r="O3116" s="14"/>
      <c r="P3116" s="14"/>
      <c r="Q3116" s="14"/>
      <c r="R3116" s="14"/>
    </row>
    <row r="3117" spans="2:18" x14ac:dyDescent="0.35">
      <c r="B3117" s="17"/>
      <c r="C3117" s="18"/>
      <c r="D3117" s="21"/>
      <c r="E3117" s="21"/>
      <c r="F3117" s="21"/>
      <c r="G3117" s="21"/>
      <c r="H3117" s="21"/>
      <c r="I3117" s="21"/>
      <c r="J3117" s="21"/>
      <c r="K3117" s="21"/>
      <c r="L3117" s="21"/>
      <c r="M3117" s="21"/>
      <c r="N3117" s="21"/>
      <c r="O3117" s="21"/>
      <c r="P3117" s="21"/>
      <c r="Q3117" s="21"/>
      <c r="R3117" s="21"/>
    </row>
    <row r="3118" spans="2:18" x14ac:dyDescent="0.35">
      <c r="B3118" s="17"/>
      <c r="C3118" s="18"/>
      <c r="D3118" s="21"/>
      <c r="E3118" s="21"/>
      <c r="F3118" s="21"/>
      <c r="G3118" s="21"/>
      <c r="H3118" s="21"/>
      <c r="I3118" s="21"/>
      <c r="J3118" s="21"/>
      <c r="K3118" s="21"/>
      <c r="L3118" s="21"/>
      <c r="M3118" s="21"/>
      <c r="N3118" s="21"/>
      <c r="O3118" s="21"/>
      <c r="P3118" s="21"/>
      <c r="Q3118" s="21"/>
      <c r="R3118" s="21"/>
    </row>
    <row r="3119" spans="2:18" x14ac:dyDescent="0.35">
      <c r="B3119" s="17"/>
      <c r="C3119" s="18"/>
      <c r="D3119" s="21"/>
      <c r="E3119" s="21"/>
      <c r="F3119" s="21"/>
      <c r="G3119" s="21"/>
      <c r="H3119" s="21"/>
      <c r="I3119" s="21"/>
      <c r="J3119" s="21"/>
      <c r="K3119" s="21"/>
      <c r="L3119" s="21"/>
      <c r="M3119" s="21"/>
      <c r="N3119" s="21"/>
      <c r="O3119" s="21"/>
      <c r="P3119" s="21"/>
      <c r="Q3119" s="21"/>
      <c r="R3119" s="21"/>
    </row>
    <row r="3120" spans="2:18" x14ac:dyDescent="0.35">
      <c r="B3120" s="17"/>
      <c r="C3120" s="18"/>
      <c r="D3120" s="21"/>
      <c r="E3120" s="21"/>
      <c r="F3120" s="21"/>
      <c r="G3120" s="21"/>
      <c r="H3120" s="21"/>
      <c r="I3120" s="21"/>
      <c r="J3120" s="21"/>
      <c r="K3120" s="21"/>
      <c r="L3120" s="21"/>
      <c r="M3120" s="21"/>
      <c r="N3120" s="21"/>
      <c r="O3120" s="21"/>
      <c r="P3120" s="21"/>
      <c r="Q3120" s="21"/>
      <c r="R3120" s="21"/>
    </row>
    <row r="3121" spans="2:18" x14ac:dyDescent="0.35">
      <c r="B3121" s="17"/>
      <c r="C3121" s="18"/>
      <c r="D3121" s="21"/>
      <c r="E3121" s="21"/>
      <c r="F3121" s="21"/>
      <c r="G3121" s="21"/>
      <c r="H3121" s="21"/>
      <c r="I3121" s="21"/>
      <c r="J3121" s="21"/>
      <c r="K3121" s="21"/>
      <c r="L3121" s="21"/>
      <c r="M3121" s="21"/>
      <c r="N3121" s="21"/>
      <c r="O3121" s="21"/>
      <c r="P3121" s="21"/>
      <c r="Q3121" s="21"/>
      <c r="R3121" s="21"/>
    </row>
    <row r="3122" spans="2:18" x14ac:dyDescent="0.35">
      <c r="B3122" s="17"/>
      <c r="C3122" s="18"/>
      <c r="D3122" s="21"/>
      <c r="E3122" s="21"/>
      <c r="F3122" s="21"/>
      <c r="G3122" s="21"/>
      <c r="H3122" s="21"/>
      <c r="I3122" s="21"/>
      <c r="J3122" s="21"/>
      <c r="K3122" s="21"/>
      <c r="L3122" s="21"/>
      <c r="M3122" s="21"/>
      <c r="N3122" s="21"/>
      <c r="O3122" s="21"/>
      <c r="P3122" s="21"/>
      <c r="Q3122" s="21"/>
      <c r="R3122" s="21"/>
    </row>
    <row r="3123" spans="2:18" x14ac:dyDescent="0.35">
      <c r="B3123" s="17"/>
      <c r="C3123" s="18"/>
      <c r="D3123" s="21"/>
      <c r="E3123" s="21"/>
      <c r="F3123" s="21"/>
      <c r="G3123" s="21"/>
      <c r="H3123" s="21"/>
      <c r="I3123" s="21"/>
      <c r="J3123" s="21"/>
      <c r="K3123" s="21"/>
      <c r="L3123" s="21"/>
      <c r="M3123" s="21"/>
      <c r="N3123" s="21"/>
      <c r="O3123" s="21"/>
      <c r="P3123" s="21"/>
      <c r="Q3123" s="21"/>
      <c r="R3123" s="21"/>
    </row>
    <row r="3124" spans="2:18" x14ac:dyDescent="0.35">
      <c r="B3124" s="17"/>
      <c r="C3124" s="18"/>
      <c r="D3124" s="21"/>
      <c r="E3124" s="21"/>
      <c r="F3124" s="21"/>
      <c r="G3124" s="21"/>
      <c r="H3124" s="21"/>
      <c r="I3124" s="21"/>
      <c r="J3124" s="21"/>
      <c r="K3124" s="21"/>
      <c r="L3124" s="21"/>
      <c r="M3124" s="21"/>
      <c r="N3124" s="21"/>
      <c r="O3124" s="21"/>
      <c r="P3124" s="21"/>
      <c r="Q3124" s="21"/>
      <c r="R3124" s="21"/>
    </row>
    <row r="3125" spans="2:18" x14ac:dyDescent="0.35">
      <c r="B3125" s="17"/>
      <c r="C3125" s="18"/>
      <c r="D3125" s="21"/>
      <c r="E3125" s="21"/>
      <c r="F3125" s="21"/>
      <c r="G3125" s="21"/>
      <c r="H3125" s="21"/>
      <c r="I3125" s="21"/>
      <c r="J3125" s="21"/>
      <c r="K3125" s="21"/>
      <c r="L3125" s="21"/>
      <c r="M3125" s="21"/>
      <c r="N3125" s="21"/>
      <c r="O3125" s="21"/>
      <c r="P3125" s="21"/>
      <c r="Q3125" s="21"/>
      <c r="R3125" s="21"/>
    </row>
    <row r="3126" spans="2:18" x14ac:dyDescent="0.35">
      <c r="B3126" s="17"/>
      <c r="C3126" s="18"/>
      <c r="D3126" s="21"/>
      <c r="E3126" s="21"/>
      <c r="F3126" s="21"/>
      <c r="G3126" s="21"/>
      <c r="H3126" s="21"/>
      <c r="I3126" s="21"/>
      <c r="J3126" s="21"/>
      <c r="K3126" s="21"/>
      <c r="L3126" s="21"/>
      <c r="M3126" s="21"/>
      <c r="N3126" s="21"/>
      <c r="O3126" s="21"/>
      <c r="P3126" s="21"/>
      <c r="Q3126" s="21"/>
      <c r="R3126" s="21"/>
    </row>
    <row r="3127" spans="2:18" x14ac:dyDescent="0.35">
      <c r="B3127" s="17"/>
      <c r="C3127" s="18"/>
      <c r="D3127" s="21"/>
      <c r="E3127" s="21"/>
      <c r="F3127" s="21"/>
      <c r="G3127" s="21"/>
      <c r="H3127" s="21"/>
      <c r="I3127" s="21"/>
      <c r="J3127" s="21"/>
      <c r="K3127" s="21"/>
      <c r="L3127" s="21"/>
      <c r="M3127" s="21"/>
      <c r="N3127" s="21"/>
      <c r="O3127" s="21"/>
      <c r="P3127" s="21"/>
      <c r="Q3127" s="21"/>
      <c r="R3127" s="21"/>
    </row>
    <row r="3128" spans="2:18" x14ac:dyDescent="0.35">
      <c r="B3128" s="17"/>
      <c r="C3128" s="18"/>
      <c r="D3128" s="21"/>
      <c r="E3128" s="21"/>
      <c r="F3128" s="21"/>
      <c r="G3128" s="21"/>
      <c r="H3128" s="21"/>
      <c r="I3128" s="21"/>
      <c r="J3128" s="21"/>
      <c r="K3128" s="21"/>
      <c r="L3128" s="21"/>
      <c r="M3128" s="21"/>
      <c r="N3128" s="21"/>
      <c r="O3128" s="21"/>
      <c r="P3128" s="21"/>
      <c r="Q3128" s="21"/>
      <c r="R3128" s="21"/>
    </row>
    <row r="3129" spans="2:18" x14ac:dyDescent="0.35">
      <c r="B3129" s="17"/>
      <c r="C3129" s="18"/>
      <c r="D3129" s="21"/>
      <c r="E3129" s="21"/>
      <c r="F3129" s="21"/>
      <c r="G3129" s="21"/>
      <c r="H3129" s="21"/>
      <c r="I3129" s="21"/>
      <c r="J3129" s="21"/>
      <c r="K3129" s="21"/>
      <c r="L3129" s="21"/>
      <c r="M3129" s="21"/>
      <c r="N3129" s="21"/>
      <c r="O3129" s="21"/>
      <c r="P3129" s="21"/>
      <c r="Q3129" s="21"/>
      <c r="R3129" s="21"/>
    </row>
    <row r="3130" spans="2:18" x14ac:dyDescent="0.35">
      <c r="B3130" s="17"/>
      <c r="C3130" s="18"/>
      <c r="D3130" s="21"/>
      <c r="E3130" s="21"/>
      <c r="F3130" s="21"/>
      <c r="G3130" s="21"/>
      <c r="H3130" s="21"/>
      <c r="I3130" s="21"/>
      <c r="J3130" s="21"/>
      <c r="K3130" s="21"/>
      <c r="L3130" s="21"/>
      <c r="M3130" s="21"/>
      <c r="N3130" s="21"/>
      <c r="O3130" s="21"/>
      <c r="P3130" s="21"/>
      <c r="Q3130" s="21"/>
      <c r="R3130" s="21"/>
    </row>
    <row r="3131" spans="2:18" x14ac:dyDescent="0.35">
      <c r="B3131" s="17"/>
      <c r="C3131" s="18"/>
      <c r="D3131" s="21"/>
      <c r="E3131" s="21"/>
      <c r="F3131" s="21"/>
      <c r="G3131" s="21"/>
      <c r="H3131" s="21"/>
      <c r="I3131" s="21"/>
      <c r="J3131" s="21"/>
      <c r="K3131" s="21"/>
      <c r="L3131" s="21"/>
      <c r="M3131" s="21"/>
      <c r="N3131" s="21"/>
      <c r="O3131" s="21"/>
      <c r="P3131" s="21"/>
      <c r="Q3131" s="21"/>
      <c r="R3131" s="21"/>
    </row>
    <row r="3132" spans="2:18" x14ac:dyDescent="0.35">
      <c r="B3132" s="17"/>
      <c r="C3132" s="18"/>
      <c r="D3132" s="21"/>
      <c r="E3132" s="21"/>
      <c r="F3132" s="21"/>
      <c r="G3132" s="21"/>
      <c r="H3132" s="21"/>
      <c r="I3132" s="21"/>
      <c r="J3132" s="21"/>
      <c r="K3132" s="21"/>
      <c r="L3132" s="21"/>
      <c r="M3132" s="21"/>
      <c r="N3132" s="21"/>
      <c r="O3132" s="21"/>
      <c r="P3132" s="21"/>
      <c r="Q3132" s="21"/>
      <c r="R3132" s="21"/>
    </row>
    <row r="3133" spans="2:18" x14ac:dyDescent="0.35">
      <c r="B3133" s="17"/>
      <c r="C3133" s="13"/>
      <c r="D3133" s="14"/>
      <c r="E3133" s="14"/>
      <c r="F3133" s="14"/>
      <c r="G3133" s="14"/>
      <c r="H3133" s="14"/>
      <c r="I3133" s="14"/>
      <c r="J3133" s="14"/>
      <c r="K3133" s="14"/>
      <c r="L3133" s="14"/>
      <c r="M3133" s="14"/>
      <c r="N3133" s="14"/>
      <c r="O3133" s="14"/>
      <c r="P3133" s="14"/>
      <c r="Q3133" s="14"/>
      <c r="R3133" s="14"/>
    </row>
    <row r="3134" spans="2:18" x14ac:dyDescent="0.35">
      <c r="B3134" s="17"/>
      <c r="C3134" s="13"/>
      <c r="D3134" s="14"/>
      <c r="E3134" s="14"/>
      <c r="F3134" s="14"/>
      <c r="G3134" s="14"/>
      <c r="H3134" s="14"/>
      <c r="I3134" s="14"/>
      <c r="J3134" s="14"/>
      <c r="K3134" s="14"/>
      <c r="L3134" s="14"/>
      <c r="M3134" s="14"/>
      <c r="N3134" s="14"/>
      <c r="O3134" s="14"/>
      <c r="P3134" s="14"/>
      <c r="Q3134" s="14"/>
      <c r="R3134" s="14"/>
    </row>
    <row r="3135" spans="2:18" x14ac:dyDescent="0.35">
      <c r="B3135" s="17"/>
      <c r="C3135" s="13"/>
      <c r="D3135" s="14"/>
      <c r="E3135" s="14"/>
      <c r="F3135" s="14"/>
      <c r="G3135" s="14"/>
      <c r="H3135" s="14"/>
      <c r="I3135" s="14"/>
      <c r="J3135" s="14"/>
      <c r="K3135" s="14"/>
      <c r="L3135" s="14"/>
      <c r="M3135" s="14"/>
      <c r="N3135" s="14"/>
      <c r="O3135" s="14"/>
      <c r="P3135" s="14"/>
      <c r="Q3135" s="14"/>
      <c r="R3135" s="14"/>
    </row>
    <row r="3136" spans="2:18" x14ac:dyDescent="0.35">
      <c r="B3136" s="17"/>
      <c r="C3136" s="13"/>
      <c r="D3136" s="14"/>
      <c r="E3136" s="14"/>
      <c r="F3136" s="14"/>
      <c r="G3136" s="14"/>
      <c r="H3136" s="14"/>
      <c r="I3136" s="14"/>
      <c r="J3136" s="14"/>
      <c r="K3136" s="14"/>
      <c r="L3136" s="14"/>
      <c r="M3136" s="14"/>
      <c r="N3136" s="14"/>
      <c r="O3136" s="14"/>
      <c r="P3136" s="14"/>
      <c r="Q3136" s="14"/>
      <c r="R3136" s="14"/>
    </row>
    <row r="3137" spans="2:18" x14ac:dyDescent="0.35">
      <c r="B3137" s="17"/>
      <c r="C3137" s="13"/>
      <c r="D3137" s="14"/>
      <c r="E3137" s="14"/>
      <c r="F3137" s="14"/>
      <c r="G3137" s="14"/>
      <c r="H3137" s="14"/>
      <c r="I3137" s="14"/>
      <c r="J3137" s="14"/>
      <c r="K3137" s="14"/>
      <c r="L3137" s="14"/>
      <c r="M3137" s="14"/>
      <c r="N3137" s="14"/>
      <c r="O3137" s="14"/>
      <c r="P3137" s="14"/>
      <c r="Q3137" s="14"/>
      <c r="R3137" s="14"/>
    </row>
    <row r="3138" spans="2:18" x14ac:dyDescent="0.35">
      <c r="B3138" s="17"/>
      <c r="C3138" s="13"/>
      <c r="D3138" s="14"/>
      <c r="E3138" s="14"/>
      <c r="F3138" s="14"/>
      <c r="G3138" s="14"/>
      <c r="H3138" s="14"/>
      <c r="I3138" s="14"/>
      <c r="J3138" s="14"/>
      <c r="K3138" s="14"/>
      <c r="L3138" s="14"/>
      <c r="M3138" s="14"/>
      <c r="N3138" s="14"/>
      <c r="O3138" s="14"/>
      <c r="P3138" s="14"/>
      <c r="Q3138" s="14"/>
      <c r="R3138" s="14"/>
    </row>
    <row r="3139" spans="2:18" x14ac:dyDescent="0.35">
      <c r="B3139" s="17"/>
      <c r="C3139" s="13"/>
      <c r="D3139" s="14"/>
      <c r="E3139" s="14"/>
      <c r="F3139" s="14"/>
      <c r="G3139" s="14"/>
      <c r="H3139" s="14"/>
      <c r="I3139" s="14"/>
      <c r="J3139" s="14"/>
      <c r="K3139" s="14"/>
      <c r="L3139" s="14"/>
      <c r="M3139" s="14"/>
      <c r="N3139" s="14"/>
      <c r="O3139" s="14"/>
      <c r="P3139" s="14"/>
      <c r="Q3139" s="14"/>
      <c r="R3139" s="14"/>
    </row>
    <row r="3140" spans="2:18" x14ac:dyDescent="0.35">
      <c r="B3140" s="17"/>
      <c r="C3140" s="18"/>
      <c r="D3140" s="21"/>
      <c r="E3140" s="21"/>
      <c r="F3140" s="21"/>
      <c r="G3140" s="21"/>
      <c r="H3140" s="21"/>
      <c r="I3140" s="21"/>
      <c r="J3140" s="21"/>
      <c r="K3140" s="21"/>
      <c r="L3140" s="21"/>
      <c r="M3140" s="21"/>
      <c r="N3140" s="21"/>
      <c r="O3140" s="21"/>
      <c r="P3140" s="21"/>
      <c r="Q3140" s="21"/>
      <c r="R3140" s="21"/>
    </row>
    <row r="3141" spans="2:18" x14ac:dyDescent="0.35">
      <c r="B3141" s="17"/>
      <c r="C3141" s="18"/>
      <c r="D3141" s="21"/>
      <c r="E3141" s="21"/>
      <c r="F3141" s="21"/>
      <c r="G3141" s="21"/>
      <c r="H3141" s="21"/>
      <c r="I3141" s="21"/>
      <c r="J3141" s="21"/>
      <c r="K3141" s="21"/>
      <c r="L3141" s="21"/>
      <c r="M3141" s="21"/>
      <c r="N3141" s="21"/>
      <c r="O3141" s="21"/>
      <c r="P3141" s="21"/>
      <c r="Q3141" s="21"/>
      <c r="R3141" s="21"/>
    </row>
    <row r="3142" spans="2:18" x14ac:dyDescent="0.35">
      <c r="B3142" s="17"/>
      <c r="C3142" s="18"/>
      <c r="D3142" s="21"/>
      <c r="E3142" s="21"/>
      <c r="F3142" s="21"/>
      <c r="G3142" s="21"/>
      <c r="H3142" s="21"/>
      <c r="I3142" s="21"/>
      <c r="J3142" s="21"/>
      <c r="K3142" s="21"/>
      <c r="L3142" s="21"/>
      <c r="M3142" s="21"/>
      <c r="N3142" s="21"/>
      <c r="O3142" s="21"/>
      <c r="P3142" s="21"/>
      <c r="Q3142" s="21"/>
      <c r="R3142" s="21"/>
    </row>
    <row r="3143" spans="2:18" x14ac:dyDescent="0.35">
      <c r="B3143" s="17"/>
      <c r="C3143" s="18"/>
      <c r="D3143" s="21"/>
      <c r="E3143" s="21"/>
      <c r="F3143" s="21"/>
      <c r="G3143" s="21"/>
      <c r="H3143" s="21"/>
      <c r="I3143" s="21"/>
      <c r="J3143" s="21"/>
      <c r="K3143" s="21"/>
      <c r="L3143" s="21"/>
      <c r="M3143" s="21"/>
      <c r="N3143" s="21"/>
      <c r="O3143" s="21"/>
      <c r="P3143" s="21"/>
      <c r="Q3143" s="21"/>
      <c r="R3143" s="21"/>
    </row>
    <row r="3144" spans="2:18" x14ac:dyDescent="0.35">
      <c r="B3144" s="17"/>
      <c r="C3144" s="18"/>
      <c r="D3144" s="21"/>
      <c r="E3144" s="21"/>
      <c r="F3144" s="21"/>
      <c r="G3144" s="21"/>
      <c r="H3144" s="21"/>
      <c r="I3144" s="21"/>
      <c r="J3144" s="21"/>
      <c r="K3144" s="21"/>
      <c r="L3144" s="21"/>
      <c r="M3144" s="21"/>
      <c r="N3144" s="21"/>
      <c r="O3144" s="21"/>
      <c r="P3144" s="21"/>
      <c r="Q3144" s="21"/>
      <c r="R3144" s="21"/>
    </row>
    <row r="3145" spans="2:18" x14ac:dyDescent="0.35">
      <c r="B3145" s="17"/>
      <c r="C3145" s="19"/>
      <c r="D3145" s="21"/>
      <c r="E3145" s="21"/>
      <c r="F3145" s="21"/>
      <c r="G3145" s="21"/>
      <c r="H3145" s="21"/>
      <c r="I3145" s="21"/>
      <c r="J3145" s="21"/>
      <c r="K3145" s="21"/>
      <c r="L3145" s="21"/>
      <c r="M3145" s="21"/>
      <c r="N3145" s="21"/>
      <c r="O3145" s="21"/>
      <c r="P3145" s="21"/>
      <c r="Q3145" s="21"/>
      <c r="R3145" s="21"/>
    </row>
    <row r="3146" spans="2:18" x14ac:dyDescent="0.35">
      <c r="B3146" s="17"/>
      <c r="C3146" s="19"/>
      <c r="D3146" s="21"/>
      <c r="E3146" s="21"/>
      <c r="F3146" s="21"/>
      <c r="G3146" s="21"/>
      <c r="H3146" s="21"/>
      <c r="I3146" s="21"/>
      <c r="J3146" s="21"/>
      <c r="K3146" s="21"/>
      <c r="L3146" s="21"/>
      <c r="M3146" s="21"/>
      <c r="N3146" s="21"/>
      <c r="O3146" s="21"/>
      <c r="P3146" s="21"/>
      <c r="Q3146" s="21"/>
      <c r="R3146" s="21"/>
    </row>
    <row r="3147" spans="2:18" x14ac:dyDescent="0.35">
      <c r="B3147" s="17"/>
      <c r="C3147" s="19"/>
      <c r="D3147" s="21"/>
      <c r="E3147" s="21"/>
      <c r="F3147" s="21"/>
      <c r="G3147" s="21"/>
      <c r="H3147" s="21"/>
      <c r="I3147" s="21"/>
      <c r="J3147" s="21"/>
      <c r="K3147" s="21"/>
      <c r="L3147" s="21"/>
      <c r="M3147" s="21"/>
      <c r="N3147" s="21"/>
      <c r="O3147" s="21"/>
      <c r="P3147" s="21"/>
      <c r="Q3147" s="21"/>
      <c r="R3147" s="21"/>
    </row>
    <row r="3148" spans="2:18" x14ac:dyDescent="0.35">
      <c r="B3148" s="17"/>
      <c r="C3148" s="19"/>
      <c r="D3148" s="21"/>
      <c r="E3148" s="21"/>
      <c r="F3148" s="21"/>
      <c r="G3148" s="21"/>
      <c r="H3148" s="21"/>
      <c r="I3148" s="21"/>
      <c r="J3148" s="21"/>
      <c r="K3148" s="21"/>
      <c r="L3148" s="21"/>
      <c r="M3148" s="21"/>
      <c r="N3148" s="21"/>
      <c r="O3148" s="21"/>
      <c r="P3148" s="21"/>
      <c r="Q3148" s="21"/>
      <c r="R3148" s="21"/>
    </row>
    <row r="3149" spans="2:18" x14ac:dyDescent="0.35">
      <c r="B3149" s="17"/>
      <c r="C3149" s="13"/>
      <c r="D3149" s="14"/>
      <c r="E3149" s="14"/>
      <c r="F3149" s="14"/>
      <c r="G3149" s="14"/>
      <c r="H3149" s="14"/>
      <c r="I3149" s="14"/>
      <c r="J3149" s="14"/>
      <c r="K3149" s="14"/>
      <c r="L3149" s="14"/>
      <c r="M3149" s="14"/>
      <c r="N3149" s="14"/>
      <c r="O3149" s="14"/>
      <c r="P3149" s="14"/>
      <c r="Q3149" s="14"/>
      <c r="R3149" s="14"/>
    </row>
    <row r="3150" spans="2:18" x14ac:dyDescent="0.35">
      <c r="B3150" s="17"/>
      <c r="C3150" s="13"/>
      <c r="D3150" s="14"/>
      <c r="E3150" s="14"/>
      <c r="F3150" s="14"/>
      <c r="G3150" s="14"/>
      <c r="H3150" s="14"/>
      <c r="I3150" s="14"/>
      <c r="J3150" s="14"/>
      <c r="K3150" s="14"/>
      <c r="L3150" s="14"/>
      <c r="M3150" s="14"/>
      <c r="N3150" s="14"/>
      <c r="O3150" s="14"/>
      <c r="P3150" s="14"/>
      <c r="Q3150" s="14"/>
      <c r="R3150" s="14"/>
    </row>
    <row r="3151" spans="2:18" x14ac:dyDescent="0.35">
      <c r="B3151" s="17"/>
      <c r="C3151" s="13"/>
      <c r="D3151" s="14"/>
      <c r="E3151" s="14"/>
      <c r="F3151" s="14"/>
      <c r="G3151" s="14"/>
      <c r="H3151" s="14"/>
      <c r="I3151" s="14"/>
      <c r="J3151" s="14"/>
      <c r="K3151" s="14"/>
      <c r="L3151" s="14"/>
      <c r="M3151" s="14"/>
      <c r="N3151" s="14"/>
      <c r="O3151" s="14"/>
      <c r="P3151" s="14"/>
      <c r="Q3151" s="14"/>
      <c r="R3151" s="14"/>
    </row>
    <row r="3152" spans="2:18" x14ac:dyDescent="0.35">
      <c r="B3152" s="17"/>
      <c r="C3152" s="13"/>
      <c r="D3152" s="14"/>
      <c r="E3152" s="14"/>
      <c r="F3152" s="14"/>
      <c r="G3152" s="14"/>
      <c r="H3152" s="14"/>
      <c r="I3152" s="14"/>
      <c r="J3152" s="14"/>
      <c r="K3152" s="14"/>
      <c r="L3152" s="14"/>
      <c r="M3152" s="14"/>
      <c r="N3152" s="14"/>
      <c r="O3152" s="14"/>
      <c r="P3152" s="14"/>
      <c r="Q3152" s="14"/>
      <c r="R3152" s="14"/>
    </row>
    <row r="3153" spans="2:18" x14ac:dyDescent="0.35">
      <c r="B3153" s="17"/>
      <c r="C3153" s="13"/>
      <c r="D3153" s="14"/>
      <c r="E3153" s="14"/>
      <c r="F3153" s="14"/>
      <c r="G3153" s="14"/>
      <c r="H3153" s="14"/>
      <c r="I3153" s="14"/>
      <c r="J3153" s="14"/>
      <c r="K3153" s="14"/>
      <c r="L3153" s="14"/>
      <c r="M3153" s="14"/>
      <c r="N3153" s="14"/>
      <c r="O3153" s="14"/>
      <c r="P3153" s="14"/>
      <c r="Q3153" s="14"/>
      <c r="R3153" s="14"/>
    </row>
    <row r="3154" spans="2:18" x14ac:dyDescent="0.35">
      <c r="B3154" s="17"/>
      <c r="C3154" s="13"/>
      <c r="D3154" s="14"/>
      <c r="E3154" s="14"/>
      <c r="F3154" s="14"/>
      <c r="G3154" s="14"/>
      <c r="H3154" s="14"/>
      <c r="I3154" s="14"/>
      <c r="J3154" s="14"/>
      <c r="K3154" s="14"/>
      <c r="L3154" s="14"/>
      <c r="M3154" s="14"/>
      <c r="N3154" s="14"/>
      <c r="O3154" s="14"/>
      <c r="P3154" s="14"/>
      <c r="Q3154" s="14"/>
      <c r="R3154" s="14"/>
    </row>
    <row r="3155" spans="2:18" x14ac:dyDescent="0.35">
      <c r="B3155" s="17"/>
      <c r="C3155" s="13"/>
      <c r="D3155" s="14"/>
      <c r="E3155" s="14"/>
      <c r="F3155" s="14"/>
      <c r="G3155" s="14"/>
      <c r="H3155" s="14"/>
      <c r="I3155" s="14"/>
      <c r="J3155" s="14"/>
      <c r="K3155" s="14"/>
      <c r="L3155" s="14"/>
      <c r="M3155" s="14"/>
      <c r="N3155" s="14"/>
      <c r="O3155" s="14"/>
      <c r="P3155" s="14"/>
      <c r="Q3155" s="14"/>
      <c r="R3155" s="14"/>
    </row>
    <row r="3156" spans="2:18" x14ac:dyDescent="0.35">
      <c r="B3156" s="17"/>
      <c r="C3156" s="13"/>
      <c r="D3156" s="14"/>
      <c r="E3156" s="14"/>
      <c r="F3156" s="14"/>
      <c r="G3156" s="14"/>
      <c r="H3156" s="14"/>
      <c r="I3156" s="14"/>
      <c r="J3156" s="14"/>
      <c r="K3156" s="14"/>
      <c r="L3156" s="14"/>
      <c r="M3156" s="14"/>
      <c r="N3156" s="14"/>
      <c r="O3156" s="14"/>
      <c r="P3156" s="14"/>
      <c r="Q3156" s="14"/>
      <c r="R3156" s="14"/>
    </row>
    <row r="3157" spans="2:18" x14ac:dyDescent="0.35">
      <c r="B3157" s="17"/>
      <c r="C3157" s="13"/>
      <c r="D3157" s="14"/>
      <c r="E3157" s="14"/>
      <c r="F3157" s="14"/>
      <c r="G3157" s="14"/>
      <c r="H3157" s="14"/>
      <c r="I3157" s="14"/>
      <c r="J3157" s="14"/>
      <c r="K3157" s="14"/>
      <c r="L3157" s="14"/>
      <c r="M3157" s="14"/>
      <c r="N3157" s="14"/>
      <c r="O3157" s="14"/>
      <c r="P3157" s="14"/>
      <c r="Q3157" s="14"/>
      <c r="R3157" s="14"/>
    </row>
    <row r="3158" spans="2:18" x14ac:dyDescent="0.35">
      <c r="B3158" s="17"/>
      <c r="C3158" s="13"/>
      <c r="D3158" s="14"/>
      <c r="E3158" s="14"/>
      <c r="F3158" s="14"/>
      <c r="G3158" s="14"/>
      <c r="H3158" s="14"/>
      <c r="I3158" s="14"/>
      <c r="J3158" s="14"/>
      <c r="K3158" s="14"/>
      <c r="L3158" s="14"/>
      <c r="M3158" s="14"/>
      <c r="N3158" s="14"/>
      <c r="O3158" s="14"/>
      <c r="P3158" s="14"/>
      <c r="Q3158" s="14"/>
      <c r="R3158" s="14"/>
    </row>
    <row r="3159" spans="2:18" x14ac:dyDescent="0.35">
      <c r="B3159" s="17"/>
      <c r="C3159" s="13"/>
      <c r="D3159" s="14"/>
      <c r="E3159" s="14"/>
      <c r="F3159" s="14"/>
      <c r="G3159" s="14"/>
      <c r="H3159" s="14"/>
      <c r="I3159" s="14"/>
      <c r="J3159" s="14"/>
      <c r="K3159" s="14"/>
      <c r="L3159" s="14"/>
      <c r="M3159" s="14"/>
      <c r="N3159" s="14"/>
      <c r="O3159" s="14"/>
      <c r="P3159" s="14"/>
      <c r="Q3159" s="14"/>
      <c r="R3159" s="14"/>
    </row>
    <row r="3160" spans="2:18" x14ac:dyDescent="0.35">
      <c r="B3160" s="17"/>
      <c r="C3160" s="13"/>
      <c r="D3160" s="14"/>
      <c r="E3160" s="14"/>
      <c r="F3160" s="14"/>
      <c r="G3160" s="14"/>
      <c r="H3160" s="14"/>
      <c r="I3160" s="14"/>
      <c r="J3160" s="14"/>
      <c r="K3160" s="14"/>
      <c r="L3160" s="14"/>
      <c r="M3160" s="14"/>
      <c r="N3160" s="14"/>
      <c r="O3160" s="14"/>
      <c r="P3160" s="14"/>
      <c r="Q3160" s="14"/>
      <c r="R3160" s="14"/>
    </row>
    <row r="3161" spans="2:18" x14ac:dyDescent="0.35">
      <c r="B3161" s="17"/>
      <c r="C3161" s="13"/>
      <c r="D3161" s="14"/>
      <c r="E3161" s="14"/>
      <c r="F3161" s="14"/>
      <c r="G3161" s="14"/>
      <c r="H3161" s="14"/>
      <c r="I3161" s="14"/>
      <c r="J3161" s="14"/>
      <c r="K3161" s="14"/>
      <c r="L3161" s="14"/>
      <c r="M3161" s="14"/>
      <c r="N3161" s="14"/>
      <c r="O3161" s="14"/>
      <c r="P3161" s="14"/>
      <c r="Q3161" s="14"/>
      <c r="R3161" s="14"/>
    </row>
    <row r="3162" spans="2:18" x14ac:dyDescent="0.35">
      <c r="B3162" s="17"/>
      <c r="C3162" s="13"/>
      <c r="D3162" s="14"/>
      <c r="E3162" s="14"/>
      <c r="F3162" s="14"/>
      <c r="G3162" s="14"/>
      <c r="H3162" s="14"/>
      <c r="I3162" s="14"/>
      <c r="J3162" s="14"/>
      <c r="K3162" s="14"/>
      <c r="L3162" s="14"/>
      <c r="M3162" s="14"/>
      <c r="N3162" s="14"/>
      <c r="O3162" s="14"/>
      <c r="P3162" s="14"/>
      <c r="Q3162" s="14"/>
      <c r="R3162" s="14"/>
    </row>
    <row r="3163" spans="2:18" x14ac:dyDescent="0.35">
      <c r="B3163" s="17"/>
      <c r="C3163" s="13"/>
      <c r="D3163" s="14"/>
      <c r="E3163" s="14"/>
      <c r="F3163" s="14"/>
      <c r="G3163" s="14"/>
      <c r="H3163" s="14"/>
      <c r="I3163" s="14"/>
      <c r="J3163" s="14"/>
      <c r="K3163" s="14"/>
      <c r="L3163" s="14"/>
      <c r="M3163" s="14"/>
      <c r="N3163" s="14"/>
      <c r="O3163" s="14"/>
      <c r="P3163" s="14"/>
      <c r="Q3163" s="14"/>
      <c r="R3163" s="14"/>
    </row>
    <row r="3164" spans="2:18" x14ac:dyDescent="0.35">
      <c r="B3164" s="17"/>
      <c r="C3164" s="18"/>
      <c r="D3164" s="21"/>
      <c r="E3164" s="21"/>
      <c r="F3164" s="21"/>
      <c r="G3164" s="21"/>
      <c r="H3164" s="21"/>
      <c r="I3164" s="21"/>
      <c r="J3164" s="21"/>
      <c r="K3164" s="21"/>
      <c r="L3164" s="21"/>
      <c r="M3164" s="21"/>
      <c r="N3164" s="21"/>
      <c r="O3164" s="21"/>
      <c r="P3164" s="21"/>
      <c r="Q3164" s="21"/>
      <c r="R3164" s="21"/>
    </row>
    <row r="3165" spans="2:18" x14ac:dyDescent="0.35">
      <c r="B3165" s="17"/>
      <c r="C3165" s="18"/>
      <c r="D3165" s="21"/>
      <c r="E3165" s="21"/>
      <c r="F3165" s="21"/>
      <c r="G3165" s="21"/>
      <c r="H3165" s="21"/>
      <c r="I3165" s="21"/>
      <c r="J3165" s="21"/>
      <c r="K3165" s="21"/>
      <c r="L3165" s="21"/>
      <c r="M3165" s="21"/>
      <c r="N3165" s="21"/>
      <c r="O3165" s="21"/>
      <c r="P3165" s="21"/>
      <c r="Q3165" s="21"/>
      <c r="R3165" s="21"/>
    </row>
    <row r="3166" spans="2:18" x14ac:dyDescent="0.35">
      <c r="B3166" s="17"/>
      <c r="C3166" s="18"/>
      <c r="D3166" s="21"/>
      <c r="E3166" s="21"/>
      <c r="F3166" s="21"/>
      <c r="G3166" s="21"/>
      <c r="H3166" s="21"/>
      <c r="I3166" s="21"/>
      <c r="J3166" s="21"/>
      <c r="K3166" s="21"/>
      <c r="L3166" s="21"/>
      <c r="M3166" s="21"/>
      <c r="N3166" s="21"/>
      <c r="O3166" s="21"/>
      <c r="P3166" s="21"/>
      <c r="Q3166" s="21"/>
      <c r="R3166" s="21"/>
    </row>
    <row r="3167" spans="2:18" x14ac:dyDescent="0.35">
      <c r="B3167" s="17"/>
      <c r="C3167" s="18"/>
      <c r="D3167" s="21"/>
      <c r="E3167" s="21"/>
      <c r="F3167" s="21"/>
      <c r="G3167" s="21"/>
      <c r="H3167" s="21"/>
      <c r="I3167" s="21"/>
      <c r="J3167" s="21"/>
      <c r="K3167" s="21"/>
      <c r="L3167" s="21"/>
      <c r="M3167" s="21"/>
      <c r="N3167" s="21"/>
      <c r="O3167" s="21"/>
      <c r="P3167" s="21"/>
      <c r="Q3167" s="21"/>
      <c r="R3167" s="21"/>
    </row>
    <row r="3168" spans="2:18" x14ac:dyDescent="0.35">
      <c r="B3168" s="17"/>
      <c r="C3168" s="18"/>
      <c r="D3168" s="21"/>
      <c r="E3168" s="21"/>
      <c r="F3168" s="21"/>
      <c r="G3168" s="21"/>
      <c r="H3168" s="21"/>
      <c r="I3168" s="21"/>
      <c r="J3168" s="21"/>
      <c r="K3168" s="21"/>
      <c r="L3168" s="21"/>
      <c r="M3168" s="21"/>
      <c r="N3168" s="21"/>
      <c r="O3168" s="21"/>
      <c r="P3168" s="21"/>
      <c r="Q3168" s="21"/>
      <c r="R3168" s="21"/>
    </row>
    <row r="3169" spans="2:18" x14ac:dyDescent="0.35">
      <c r="B3169" s="17"/>
      <c r="C3169" s="18"/>
      <c r="D3169" s="21"/>
      <c r="E3169" s="21"/>
      <c r="F3169" s="21"/>
      <c r="G3169" s="21"/>
      <c r="H3169" s="21"/>
      <c r="I3169" s="21"/>
      <c r="J3169" s="21"/>
      <c r="K3169" s="21"/>
      <c r="L3169" s="21"/>
      <c r="M3169" s="21"/>
      <c r="N3169" s="21"/>
      <c r="O3169" s="21"/>
      <c r="P3169" s="21"/>
      <c r="Q3169" s="21"/>
      <c r="R3169" s="21"/>
    </row>
    <row r="3170" spans="2:18" x14ac:dyDescent="0.35">
      <c r="B3170" s="17"/>
      <c r="C3170" s="18"/>
      <c r="D3170" s="21"/>
      <c r="E3170" s="21"/>
      <c r="F3170" s="21"/>
      <c r="G3170" s="21"/>
      <c r="H3170" s="21"/>
      <c r="I3170" s="21"/>
      <c r="J3170" s="21"/>
      <c r="K3170" s="21"/>
      <c r="L3170" s="21"/>
      <c r="M3170" s="21"/>
      <c r="N3170" s="21"/>
      <c r="O3170" s="21"/>
      <c r="P3170" s="21"/>
      <c r="Q3170" s="21"/>
      <c r="R3170" s="21"/>
    </row>
    <row r="3171" spans="2:18" x14ac:dyDescent="0.35">
      <c r="B3171" s="17"/>
      <c r="C3171" s="18"/>
      <c r="D3171" s="21"/>
      <c r="E3171" s="21"/>
      <c r="F3171" s="21"/>
      <c r="G3171" s="21"/>
      <c r="H3171" s="21"/>
      <c r="I3171" s="21"/>
      <c r="J3171" s="21"/>
      <c r="K3171" s="21"/>
      <c r="L3171" s="21"/>
      <c r="M3171" s="21"/>
      <c r="N3171" s="21"/>
      <c r="O3171" s="21"/>
      <c r="P3171" s="21"/>
      <c r="Q3171" s="21"/>
      <c r="R3171" s="21"/>
    </row>
    <row r="3172" spans="2:18" x14ac:dyDescent="0.35">
      <c r="B3172" s="17"/>
      <c r="C3172" s="18"/>
      <c r="D3172" s="21"/>
      <c r="E3172" s="21"/>
      <c r="F3172" s="21"/>
      <c r="G3172" s="21"/>
      <c r="H3172" s="21"/>
      <c r="I3172" s="21"/>
      <c r="J3172" s="21"/>
      <c r="K3172" s="21"/>
      <c r="L3172" s="21"/>
      <c r="M3172" s="21"/>
      <c r="N3172" s="21"/>
      <c r="O3172" s="21"/>
      <c r="P3172" s="21"/>
      <c r="Q3172" s="21"/>
      <c r="R3172" s="21"/>
    </row>
    <row r="3173" spans="2:18" x14ac:dyDescent="0.35">
      <c r="B3173" s="17"/>
      <c r="C3173" s="18"/>
      <c r="D3173" s="21"/>
      <c r="E3173" s="21"/>
      <c r="F3173" s="21"/>
      <c r="G3173" s="21"/>
      <c r="H3173" s="21"/>
      <c r="I3173" s="21"/>
      <c r="J3173" s="21"/>
      <c r="K3173" s="21"/>
      <c r="L3173" s="21"/>
      <c r="M3173" s="21"/>
      <c r="N3173" s="21"/>
      <c r="O3173" s="21"/>
      <c r="P3173" s="21"/>
      <c r="Q3173" s="21"/>
      <c r="R3173" s="21"/>
    </row>
    <row r="3174" spans="2:18" x14ac:dyDescent="0.35">
      <c r="B3174" s="17"/>
      <c r="C3174" s="18"/>
      <c r="D3174" s="21"/>
      <c r="E3174" s="21"/>
      <c r="F3174" s="21"/>
      <c r="G3174" s="21"/>
      <c r="H3174" s="21"/>
      <c r="I3174" s="21"/>
      <c r="J3174" s="21"/>
      <c r="K3174" s="21"/>
      <c r="L3174" s="21"/>
      <c r="M3174" s="21"/>
      <c r="N3174" s="21"/>
      <c r="O3174" s="21"/>
      <c r="P3174" s="21"/>
      <c r="Q3174" s="21"/>
      <c r="R3174" s="21"/>
    </row>
    <row r="3175" spans="2:18" x14ac:dyDescent="0.35">
      <c r="B3175" s="17"/>
      <c r="C3175" s="18"/>
      <c r="D3175" s="21"/>
      <c r="E3175" s="21"/>
      <c r="F3175" s="21"/>
      <c r="G3175" s="21"/>
      <c r="H3175" s="21"/>
      <c r="I3175" s="21"/>
      <c r="J3175" s="21"/>
      <c r="K3175" s="21"/>
      <c r="L3175" s="21"/>
      <c r="M3175" s="21"/>
      <c r="N3175" s="21"/>
      <c r="O3175" s="21"/>
      <c r="P3175" s="21"/>
      <c r="Q3175" s="21"/>
      <c r="R3175" s="21"/>
    </row>
    <row r="3176" spans="2:18" x14ac:dyDescent="0.35">
      <c r="B3176" s="17"/>
      <c r="C3176" s="18"/>
      <c r="D3176" s="21"/>
      <c r="E3176" s="21"/>
      <c r="F3176" s="21"/>
      <c r="G3176" s="21"/>
      <c r="H3176" s="21"/>
      <c r="I3176" s="21"/>
      <c r="J3176" s="21"/>
      <c r="K3176" s="21"/>
      <c r="L3176" s="21"/>
      <c r="M3176" s="21"/>
      <c r="N3176" s="21"/>
      <c r="O3176" s="21"/>
      <c r="P3176" s="21"/>
      <c r="Q3176" s="21"/>
      <c r="R3176" s="21"/>
    </row>
    <row r="3177" spans="2:18" x14ac:dyDescent="0.35">
      <c r="B3177" s="17"/>
      <c r="C3177" s="18"/>
      <c r="D3177" s="21"/>
      <c r="E3177" s="21"/>
      <c r="F3177" s="21"/>
      <c r="G3177" s="21"/>
      <c r="H3177" s="21"/>
      <c r="I3177" s="21"/>
      <c r="J3177" s="21"/>
      <c r="K3177" s="21"/>
      <c r="L3177" s="21"/>
      <c r="M3177" s="21"/>
      <c r="N3177" s="21"/>
      <c r="O3177" s="21"/>
      <c r="P3177" s="21"/>
      <c r="Q3177" s="21"/>
      <c r="R3177" s="21"/>
    </row>
    <row r="3178" spans="2:18" x14ac:dyDescent="0.35">
      <c r="B3178" s="17"/>
      <c r="C3178" s="18"/>
      <c r="D3178" s="21"/>
      <c r="E3178" s="21"/>
      <c r="F3178" s="21"/>
      <c r="G3178" s="21"/>
      <c r="H3178" s="21"/>
      <c r="I3178" s="21"/>
      <c r="J3178" s="21"/>
      <c r="K3178" s="21"/>
      <c r="L3178" s="21"/>
      <c r="M3178" s="21"/>
      <c r="N3178" s="21"/>
      <c r="O3178" s="21"/>
      <c r="P3178" s="21"/>
      <c r="Q3178" s="21"/>
      <c r="R3178" s="21"/>
    </row>
    <row r="3179" spans="2:18" x14ac:dyDescent="0.35">
      <c r="B3179" s="17"/>
      <c r="C3179" s="18"/>
      <c r="D3179" s="21"/>
      <c r="E3179" s="21"/>
      <c r="F3179" s="21"/>
      <c r="G3179" s="21"/>
      <c r="H3179" s="21"/>
      <c r="I3179" s="21"/>
      <c r="J3179" s="21"/>
      <c r="K3179" s="21"/>
      <c r="L3179" s="21"/>
      <c r="M3179" s="21"/>
      <c r="N3179" s="21"/>
      <c r="O3179" s="21"/>
      <c r="P3179" s="21"/>
      <c r="Q3179" s="21"/>
      <c r="R3179" s="21"/>
    </row>
    <row r="3180" spans="2:18" x14ac:dyDescent="0.35">
      <c r="B3180" s="17"/>
      <c r="C3180" s="13"/>
      <c r="D3180" s="14"/>
      <c r="E3180" s="14"/>
      <c r="F3180" s="14"/>
      <c r="G3180" s="14"/>
      <c r="H3180" s="14"/>
      <c r="I3180" s="14"/>
      <c r="J3180" s="14"/>
      <c r="K3180" s="14"/>
      <c r="L3180" s="14"/>
      <c r="M3180" s="14"/>
      <c r="N3180" s="14"/>
      <c r="O3180" s="14"/>
      <c r="P3180" s="14"/>
      <c r="Q3180" s="14"/>
      <c r="R3180" s="14"/>
    </row>
    <row r="3181" spans="2:18" x14ac:dyDescent="0.35">
      <c r="B3181" s="17"/>
      <c r="C3181" s="13"/>
      <c r="D3181" s="14"/>
      <c r="E3181" s="14"/>
      <c r="F3181" s="14"/>
      <c r="G3181" s="14"/>
      <c r="H3181" s="14"/>
      <c r="I3181" s="14"/>
      <c r="J3181" s="14"/>
      <c r="K3181" s="14"/>
      <c r="L3181" s="14"/>
      <c r="M3181" s="14"/>
      <c r="N3181" s="14"/>
      <c r="O3181" s="14"/>
      <c r="P3181" s="14"/>
      <c r="Q3181" s="14"/>
      <c r="R3181" s="14"/>
    </row>
    <row r="3182" spans="2:18" x14ac:dyDescent="0.35">
      <c r="B3182" s="17"/>
      <c r="C3182" s="13"/>
      <c r="D3182" s="14"/>
      <c r="E3182" s="14"/>
      <c r="F3182" s="14"/>
      <c r="G3182" s="14"/>
      <c r="H3182" s="14"/>
      <c r="I3182" s="14"/>
      <c r="J3182" s="14"/>
      <c r="K3182" s="14"/>
      <c r="L3182" s="14"/>
      <c r="M3182" s="14"/>
      <c r="N3182" s="14"/>
      <c r="O3182" s="14"/>
      <c r="P3182" s="14"/>
      <c r="Q3182" s="14"/>
      <c r="R3182" s="14"/>
    </row>
    <row r="3183" spans="2:18" x14ac:dyDescent="0.35">
      <c r="B3183" s="17"/>
      <c r="C3183" s="13"/>
      <c r="D3183" s="14"/>
      <c r="E3183" s="14"/>
      <c r="F3183" s="14"/>
      <c r="G3183" s="14"/>
      <c r="H3183" s="14"/>
      <c r="I3183" s="14"/>
      <c r="J3183" s="14"/>
      <c r="K3183" s="14"/>
      <c r="L3183" s="14"/>
      <c r="M3183" s="14"/>
      <c r="N3183" s="14"/>
      <c r="O3183" s="14"/>
      <c r="P3183" s="14"/>
      <c r="Q3183" s="14"/>
      <c r="R3183" s="14"/>
    </row>
    <row r="3184" spans="2:18" x14ac:dyDescent="0.35">
      <c r="B3184" s="17"/>
      <c r="C3184" s="13"/>
      <c r="D3184" s="14"/>
      <c r="E3184" s="14"/>
      <c r="F3184" s="14"/>
      <c r="G3184" s="14"/>
      <c r="H3184" s="14"/>
      <c r="I3184" s="14"/>
      <c r="J3184" s="14"/>
      <c r="K3184" s="14"/>
      <c r="L3184" s="14"/>
      <c r="M3184" s="14"/>
      <c r="N3184" s="14"/>
      <c r="O3184" s="14"/>
      <c r="P3184" s="14"/>
      <c r="Q3184" s="14"/>
      <c r="R3184" s="14"/>
    </row>
    <row r="3185" spans="2:18" x14ac:dyDescent="0.35">
      <c r="B3185" s="17"/>
      <c r="C3185" s="13"/>
      <c r="D3185" s="14"/>
      <c r="E3185" s="14"/>
      <c r="F3185" s="14"/>
      <c r="G3185" s="14"/>
      <c r="H3185" s="14"/>
      <c r="I3185" s="14"/>
      <c r="J3185" s="14"/>
      <c r="K3185" s="14"/>
      <c r="L3185" s="14"/>
      <c r="M3185" s="14"/>
      <c r="N3185" s="14"/>
      <c r="O3185" s="14"/>
      <c r="P3185" s="14"/>
      <c r="Q3185" s="14"/>
      <c r="R3185" s="14"/>
    </row>
    <row r="3186" spans="2:18" x14ac:dyDescent="0.35">
      <c r="B3186" s="17"/>
      <c r="C3186" s="13"/>
      <c r="D3186" s="14"/>
      <c r="E3186" s="14"/>
      <c r="F3186" s="14"/>
      <c r="G3186" s="14"/>
      <c r="H3186" s="14"/>
      <c r="I3186" s="14"/>
      <c r="J3186" s="14"/>
      <c r="K3186" s="14"/>
      <c r="L3186" s="14"/>
      <c r="M3186" s="14"/>
      <c r="N3186" s="14"/>
      <c r="O3186" s="14"/>
      <c r="P3186" s="14"/>
      <c r="Q3186" s="14"/>
      <c r="R3186" s="14"/>
    </row>
    <row r="3187" spans="2:18" x14ac:dyDescent="0.35">
      <c r="D3187"/>
      <c r="E3187"/>
      <c r="F3187"/>
      <c r="G3187"/>
      <c r="H3187"/>
      <c r="I3187"/>
      <c r="J3187"/>
      <c r="K3187"/>
    </row>
    <row r="3188" spans="2:18" x14ac:dyDescent="0.35">
      <c r="D3188"/>
      <c r="E3188"/>
      <c r="F3188"/>
      <c r="G3188"/>
      <c r="H3188"/>
      <c r="I3188"/>
      <c r="J3188"/>
      <c r="K3188"/>
    </row>
    <row r="3189" spans="2:18" x14ac:dyDescent="0.35">
      <c r="D3189"/>
      <c r="E3189"/>
      <c r="F3189"/>
      <c r="G3189"/>
      <c r="H3189"/>
      <c r="I3189"/>
      <c r="J3189"/>
      <c r="K3189"/>
    </row>
    <row r="3190" spans="2:18" x14ac:dyDescent="0.35">
      <c r="D3190"/>
      <c r="E3190"/>
      <c r="F3190"/>
      <c r="G3190"/>
      <c r="H3190"/>
      <c r="I3190"/>
      <c r="J3190"/>
      <c r="K3190"/>
    </row>
    <row r="3191" spans="2:18" x14ac:dyDescent="0.35">
      <c r="D3191"/>
      <c r="E3191"/>
      <c r="F3191"/>
      <c r="G3191"/>
      <c r="H3191"/>
      <c r="I3191"/>
      <c r="J3191"/>
      <c r="K3191"/>
    </row>
    <row r="3192" spans="2:18" x14ac:dyDescent="0.35">
      <c r="D3192"/>
      <c r="E3192"/>
      <c r="F3192"/>
      <c r="G3192"/>
      <c r="H3192"/>
      <c r="I3192"/>
      <c r="J3192"/>
      <c r="K3192"/>
    </row>
    <row r="3193" spans="2:18" x14ac:dyDescent="0.35">
      <c r="D3193"/>
      <c r="E3193"/>
      <c r="F3193"/>
      <c r="G3193"/>
      <c r="H3193"/>
      <c r="I3193"/>
      <c r="J3193"/>
      <c r="K3193"/>
    </row>
  </sheetData>
  <mergeCells count="1">
    <mergeCell ref="A1:K3"/>
  </mergeCells>
  <conditionalFormatting sqref="A1626:A1673">
    <cfRule type="cellIs" dxfId="112" priority="12" operator="equal">
      <formula>0</formula>
    </cfRule>
  </conditionalFormatting>
  <conditionalFormatting sqref="A2119:A2166">
    <cfRule type="cellIs" dxfId="111" priority="5" operator="equal">
      <formula>0</formula>
    </cfRule>
  </conditionalFormatting>
  <conditionalFormatting sqref="A6:P6 A1200:P1200 A1201:A1208 A1734:Q1734">
    <cfRule type="cellIs" dxfId="110" priority="2" operator="equal">
      <formula>0</formula>
    </cfRule>
  </conditionalFormatting>
  <conditionalFormatting sqref="Q1241">
    <cfRule type="cellIs" dxfId="109" priority="6" operator="equal">
      <formula>0</formula>
    </cfRule>
  </conditionalFormatting>
  <conditionalFormatting sqref="R1603">
    <cfRule type="cellIs" dxfId="108" priority="9"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Home</vt:lpstr>
      <vt:lpstr>Value</vt:lpstr>
      <vt:lpstr>Master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 System</dc:creator>
  <cp:lastModifiedBy>Vijay Budhwani</cp:lastModifiedBy>
  <dcterms:created xsi:type="dcterms:W3CDTF">2025-09-29T15:19:06Z</dcterms:created>
  <dcterms:modified xsi:type="dcterms:W3CDTF">2026-04-29T06:57:05Z</dcterms:modified>
</cp:coreProperties>
</file>